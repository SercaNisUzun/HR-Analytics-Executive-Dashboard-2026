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rca\Downloads\"/>
    </mc:Choice>
  </mc:AlternateContent>
  <xr:revisionPtr revIDLastSave="0" documentId="13_ncr:1_{D589C953-4E50-4513-92DE-3A7B06BBFB5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01_Personel_Verisi" sheetId="1" r:id="rId1"/>
    <sheet name="02_Hesaplamalar" sheetId="2" r:id="rId2"/>
    <sheet name="03_Pivotlar" sheetId="3" r:id="rId3"/>
    <sheet name="04_Dashboard" sheetId="4" r:id="rId4"/>
    <sheet name="05_Dokumantasyon" sheetId="5" r:id="rId5"/>
  </sheets>
  <definedNames>
    <definedName name="_xlnm._FilterDatabase" localSheetId="0" hidden="1">'01_Personel_Verisi'!$AG$1:$AH$1001</definedName>
    <definedName name="Dilimleyici_Cinsiyet">#N/A</definedName>
    <definedName name="Dilimleyici_Departman">#N/A</definedName>
    <definedName name="Dilimleyici_Lokasyon">#N/A</definedName>
    <definedName name="Dilimleyici_Yaka_Tipi">#N/A</definedName>
  </definedNames>
  <calcPr calcId="191029"/>
  <pivotCaches>
    <pivotCache cacheId="4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M8" i="4"/>
  <c r="E6" i="2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2" i="1"/>
  <c r="E5" i="2"/>
  <c r="E4" i="2"/>
  <c r="E3" i="2"/>
  <c r="E2" i="2"/>
  <c r="N5" i="4"/>
  <c r="L5" i="4"/>
  <c r="J5" i="4"/>
  <c r="F5" i="4"/>
  <c r="D5" i="4"/>
  <c r="B5" i="4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2" i="1"/>
  <c r="B4" i="2"/>
  <c r="B22" i="2"/>
  <c r="B21" i="2"/>
  <c r="B20" i="2"/>
  <c r="B19" i="2"/>
  <c r="AH3" i="1" a="1"/>
  <c r="AH3" i="1" s="1"/>
  <c r="AH4" i="1" a="1"/>
  <c r="AH4" i="1" s="1"/>
  <c r="AH5" i="1" a="1"/>
  <c r="AH5" i="1" s="1"/>
  <c r="AH6" i="1" a="1"/>
  <c r="AH6" i="1"/>
  <c r="AH7" i="1" a="1"/>
  <c r="AH7" i="1" s="1"/>
  <c r="AH8" i="1" a="1"/>
  <c r="AH8" i="1" s="1"/>
  <c r="AH9" i="1" a="1"/>
  <c r="AH9" i="1"/>
  <c r="AH10" i="1" a="1"/>
  <c r="AH10" i="1"/>
  <c r="AH11" i="1" a="1"/>
  <c r="AH11" i="1" s="1"/>
  <c r="AH12" i="1" a="1"/>
  <c r="AH12" i="1" s="1"/>
  <c r="AH13" i="1" a="1"/>
  <c r="AH13" i="1"/>
  <c r="AH14" i="1" a="1"/>
  <c r="AH14" i="1"/>
  <c r="AH15" i="1" a="1"/>
  <c r="AH15" i="1" s="1"/>
  <c r="AH16" i="1" a="1"/>
  <c r="AH16" i="1" s="1"/>
  <c r="AH17" i="1" a="1"/>
  <c r="AH17" i="1"/>
  <c r="AH18" i="1" a="1"/>
  <c r="AH18" i="1"/>
  <c r="AH19" i="1" a="1"/>
  <c r="AH19" i="1" s="1"/>
  <c r="AH20" i="1" a="1"/>
  <c r="AH20" i="1" s="1"/>
  <c r="AH21" i="1" a="1"/>
  <c r="AH21" i="1"/>
  <c r="AH22" i="1" a="1"/>
  <c r="AH22" i="1"/>
  <c r="AH23" i="1" a="1"/>
  <c r="AH23" i="1" s="1"/>
  <c r="AH24" i="1" a="1"/>
  <c r="AH24" i="1" s="1"/>
  <c r="AH25" i="1" a="1"/>
  <c r="AH25" i="1"/>
  <c r="AH26" i="1" a="1"/>
  <c r="AH26" i="1"/>
  <c r="AH27" i="1" a="1"/>
  <c r="AH27" i="1" s="1"/>
  <c r="AH28" i="1" a="1"/>
  <c r="AH28" i="1" s="1"/>
  <c r="AH29" i="1" a="1"/>
  <c r="AH29" i="1"/>
  <c r="AH30" i="1" a="1"/>
  <c r="AH30" i="1"/>
  <c r="AH31" i="1" a="1"/>
  <c r="AH31" i="1" s="1"/>
  <c r="AH32" i="1" a="1"/>
  <c r="AH32" i="1" s="1"/>
  <c r="AH33" i="1" a="1"/>
  <c r="AH33" i="1"/>
  <c r="AH34" i="1" a="1"/>
  <c r="AH34" i="1"/>
  <c r="AH35" i="1" a="1"/>
  <c r="AH35" i="1" s="1"/>
  <c r="AH36" i="1" a="1"/>
  <c r="AH36" i="1" s="1"/>
  <c r="AH37" i="1" a="1"/>
  <c r="AH37" i="1"/>
  <c r="AH38" i="1" a="1"/>
  <c r="AH38" i="1"/>
  <c r="AH39" i="1" a="1"/>
  <c r="AH39" i="1" s="1"/>
  <c r="AH40" i="1" a="1"/>
  <c r="AH40" i="1" s="1"/>
  <c r="AH41" i="1" a="1"/>
  <c r="AH41" i="1"/>
  <c r="AH42" i="1" a="1"/>
  <c r="AH42" i="1"/>
  <c r="AH43" i="1" a="1"/>
  <c r="AH43" i="1" s="1"/>
  <c r="AH44" i="1" a="1"/>
  <c r="AH44" i="1" s="1"/>
  <c r="AH45" i="1" a="1"/>
  <c r="AH45" i="1"/>
  <c r="AH46" i="1" a="1"/>
  <c r="AH46" i="1"/>
  <c r="AH47" i="1" a="1"/>
  <c r="AH47" i="1" s="1"/>
  <c r="AH48" i="1" a="1"/>
  <c r="AH48" i="1" s="1"/>
  <c r="AH49" i="1" a="1"/>
  <c r="AH49" i="1"/>
  <c r="AH50" i="1" a="1"/>
  <c r="AH50" i="1"/>
  <c r="AH51" i="1" a="1"/>
  <c r="AH51" i="1" s="1"/>
  <c r="AH52" i="1" a="1"/>
  <c r="AH52" i="1" s="1"/>
  <c r="AH53" i="1" a="1"/>
  <c r="AH53" i="1"/>
  <c r="AH54" i="1" a="1"/>
  <c r="AH54" i="1"/>
  <c r="AH55" i="1" a="1"/>
  <c r="AH55" i="1" s="1"/>
  <c r="AH56" i="1" a="1"/>
  <c r="AH56" i="1" s="1"/>
  <c r="AH57" i="1" a="1"/>
  <c r="AH57" i="1"/>
  <c r="AH58" i="1" a="1"/>
  <c r="AH58" i="1"/>
  <c r="AH59" i="1" a="1"/>
  <c r="AH59" i="1" s="1"/>
  <c r="AH60" i="1" a="1"/>
  <c r="AH60" i="1" s="1"/>
  <c r="AH61" i="1" a="1"/>
  <c r="AH61" i="1"/>
  <c r="AH62" i="1" a="1"/>
  <c r="AH62" i="1"/>
  <c r="AH63" i="1" a="1"/>
  <c r="AH63" i="1" s="1"/>
  <c r="AH64" i="1" a="1"/>
  <c r="AH64" i="1" s="1"/>
  <c r="AH65" i="1" a="1"/>
  <c r="AH65" i="1"/>
  <c r="AH66" i="1" a="1"/>
  <c r="AH66" i="1"/>
  <c r="AH67" i="1" a="1"/>
  <c r="AH67" i="1" s="1"/>
  <c r="AH68" i="1" a="1"/>
  <c r="AH68" i="1" s="1"/>
  <c r="AH69" i="1" a="1"/>
  <c r="AH69" i="1" s="1"/>
  <c r="AH70" i="1" a="1"/>
  <c r="AH70" i="1" s="1"/>
  <c r="AH71" i="1" a="1"/>
  <c r="AH71" i="1" s="1"/>
  <c r="AH72" i="1" a="1"/>
  <c r="AH72" i="1" s="1"/>
  <c r="AH73" i="1" a="1"/>
  <c r="AH73" i="1" s="1"/>
  <c r="AH74" i="1" a="1"/>
  <c r="AH74" i="1" s="1"/>
  <c r="AH75" i="1" a="1"/>
  <c r="AH75" i="1" s="1"/>
  <c r="AH76" i="1" a="1"/>
  <c r="AH76" i="1" s="1"/>
  <c r="AH77" i="1" a="1"/>
  <c r="AH77" i="1"/>
  <c r="AH78" i="1" a="1"/>
  <c r="AH78" i="1" s="1"/>
  <c r="AH79" i="1" a="1"/>
  <c r="AH79" i="1" s="1"/>
  <c r="AH80" i="1" a="1"/>
  <c r="AH80" i="1" s="1"/>
  <c r="AH81" i="1" a="1"/>
  <c r="AH81" i="1"/>
  <c r="AH82" i="1" a="1"/>
  <c r="AH82" i="1"/>
  <c r="AH83" i="1" a="1"/>
  <c r="AH83" i="1" s="1"/>
  <c r="AH84" i="1" a="1"/>
  <c r="AH84" i="1" s="1"/>
  <c r="AH85" i="1" a="1"/>
  <c r="AH85" i="1" s="1"/>
  <c r="AH86" i="1" a="1"/>
  <c r="AH86" i="1"/>
  <c r="AH87" i="1" a="1"/>
  <c r="AH87" i="1" s="1"/>
  <c r="AH88" i="1" a="1"/>
  <c r="AH88" i="1" s="1"/>
  <c r="AH89" i="1" a="1"/>
  <c r="AH89" i="1" s="1"/>
  <c r="AH90" i="1" a="1"/>
  <c r="AH90" i="1" s="1"/>
  <c r="AH91" i="1" a="1"/>
  <c r="AH91" i="1" s="1"/>
  <c r="AH92" i="1" a="1"/>
  <c r="AH92" i="1" s="1"/>
  <c r="AH93" i="1" a="1"/>
  <c r="AH93" i="1"/>
  <c r="AH94" i="1" a="1"/>
  <c r="AH94" i="1" s="1"/>
  <c r="AH95" i="1" a="1"/>
  <c r="AH95" i="1" s="1"/>
  <c r="AH96" i="1" a="1"/>
  <c r="AH96" i="1" s="1"/>
  <c r="AH97" i="1" a="1"/>
  <c r="AH97" i="1"/>
  <c r="AH98" i="1" a="1"/>
  <c r="AH98" i="1"/>
  <c r="AH99" i="1" a="1"/>
  <c r="AH99" i="1" s="1"/>
  <c r="AH100" i="1" a="1"/>
  <c r="AH100" i="1" s="1"/>
  <c r="AH101" i="1" a="1"/>
  <c r="AH101" i="1" s="1"/>
  <c r="AH102" i="1" a="1"/>
  <c r="AH102" i="1"/>
  <c r="AH103" i="1" a="1"/>
  <c r="AH103" i="1" s="1"/>
  <c r="AH104" i="1" a="1"/>
  <c r="AH104" i="1" s="1"/>
  <c r="AH105" i="1" a="1"/>
  <c r="AH105" i="1" s="1"/>
  <c r="AH106" i="1" a="1"/>
  <c r="AH106" i="1" s="1"/>
  <c r="AH107" i="1" a="1"/>
  <c r="AH107" i="1" s="1"/>
  <c r="AH108" i="1" a="1"/>
  <c r="AH108" i="1" s="1"/>
  <c r="AH109" i="1" a="1"/>
  <c r="AH109" i="1"/>
  <c r="AH110" i="1" a="1"/>
  <c r="AH110" i="1" s="1"/>
  <c r="AH111" i="1" a="1"/>
  <c r="AH111" i="1" s="1"/>
  <c r="AH112" i="1" a="1"/>
  <c r="AH112" i="1" s="1"/>
  <c r="AH113" i="1" a="1"/>
  <c r="AH113" i="1"/>
  <c r="AH114" i="1" a="1"/>
  <c r="AH114" i="1"/>
  <c r="AH115" i="1" a="1"/>
  <c r="AH115" i="1" s="1"/>
  <c r="AH116" i="1" a="1"/>
  <c r="AH116" i="1" s="1"/>
  <c r="AH117" i="1" a="1"/>
  <c r="AH117" i="1" s="1"/>
  <c r="AH118" i="1" a="1"/>
  <c r="AH118" i="1"/>
  <c r="AH119" i="1" a="1"/>
  <c r="AH119" i="1" s="1"/>
  <c r="AH120" i="1" a="1"/>
  <c r="AH120" i="1" s="1"/>
  <c r="AH121" i="1" a="1"/>
  <c r="AH121" i="1" s="1"/>
  <c r="AH122" i="1" a="1"/>
  <c r="AH122" i="1" s="1"/>
  <c r="AH123" i="1" a="1"/>
  <c r="AH123" i="1" s="1"/>
  <c r="AH124" i="1" a="1"/>
  <c r="AH124" i="1" s="1"/>
  <c r="AH125" i="1" a="1"/>
  <c r="AH125" i="1"/>
  <c r="AH126" i="1" a="1"/>
  <c r="AH126" i="1" s="1"/>
  <c r="AH127" i="1" a="1"/>
  <c r="AH127" i="1" s="1"/>
  <c r="AH128" i="1" a="1"/>
  <c r="AH128" i="1" s="1"/>
  <c r="AH129" i="1" a="1"/>
  <c r="AH129" i="1"/>
  <c r="AH130" i="1" a="1"/>
  <c r="AH130" i="1"/>
  <c r="AH131" i="1" a="1"/>
  <c r="AH131" i="1" s="1"/>
  <c r="AH132" i="1" a="1"/>
  <c r="AH132" i="1" s="1"/>
  <c r="AH133" i="1" a="1"/>
  <c r="AH133" i="1" s="1"/>
  <c r="AH134" i="1" a="1"/>
  <c r="AH134" i="1"/>
  <c r="AH135" i="1" a="1"/>
  <c r="AH135" i="1" s="1"/>
  <c r="AH136" i="1" a="1"/>
  <c r="AH136" i="1" s="1"/>
  <c r="AH137" i="1" a="1"/>
  <c r="AH137" i="1" s="1"/>
  <c r="AH138" i="1" a="1"/>
  <c r="AH138" i="1" s="1"/>
  <c r="AH139" i="1" a="1"/>
  <c r="AH139" i="1" s="1"/>
  <c r="AH140" i="1" a="1"/>
  <c r="AH140" i="1" s="1"/>
  <c r="AH141" i="1" a="1"/>
  <c r="AH141" i="1"/>
  <c r="AH142" i="1" a="1"/>
  <c r="AH142" i="1" s="1"/>
  <c r="AH143" i="1" a="1"/>
  <c r="AH143" i="1" s="1"/>
  <c r="AH144" i="1" a="1"/>
  <c r="AH144" i="1" s="1"/>
  <c r="AH145" i="1" a="1"/>
  <c r="AH145" i="1"/>
  <c r="AH146" i="1" a="1"/>
  <c r="AH146" i="1"/>
  <c r="AH147" i="1" a="1"/>
  <c r="AH147" i="1" s="1"/>
  <c r="AH148" i="1" a="1"/>
  <c r="AH148" i="1" s="1"/>
  <c r="AH149" i="1" a="1"/>
  <c r="AH149" i="1" s="1"/>
  <c r="AH150" i="1" a="1"/>
  <c r="AH150" i="1"/>
  <c r="AH151" i="1" a="1"/>
  <c r="AH151" i="1" s="1"/>
  <c r="AH152" i="1" a="1"/>
  <c r="AH152" i="1" s="1"/>
  <c r="AH153" i="1" a="1"/>
  <c r="AH153" i="1" s="1"/>
  <c r="AH154" i="1" a="1"/>
  <c r="AH154" i="1" s="1"/>
  <c r="AH155" i="1" a="1"/>
  <c r="AH155" i="1" s="1"/>
  <c r="AH156" i="1" a="1"/>
  <c r="AH156" i="1" s="1"/>
  <c r="AH157" i="1" a="1"/>
  <c r="AH157" i="1"/>
  <c r="AH158" i="1" a="1"/>
  <c r="AH158" i="1" s="1"/>
  <c r="AH159" i="1" a="1"/>
  <c r="AH159" i="1" s="1"/>
  <c r="AH160" i="1" a="1"/>
  <c r="AH160" i="1" s="1"/>
  <c r="AH161" i="1" a="1"/>
  <c r="AH161" i="1"/>
  <c r="AH162" i="1" a="1"/>
  <c r="AH162" i="1"/>
  <c r="AH163" i="1" a="1"/>
  <c r="AH163" i="1" s="1"/>
  <c r="AH164" i="1" a="1"/>
  <c r="AH164" i="1" s="1"/>
  <c r="AH165" i="1" a="1"/>
  <c r="AH165" i="1" s="1"/>
  <c r="AH166" i="1" a="1"/>
  <c r="AH166" i="1"/>
  <c r="AH167" i="1" a="1"/>
  <c r="AH167" i="1" s="1"/>
  <c r="AH168" i="1" a="1"/>
  <c r="AH168" i="1" s="1"/>
  <c r="AH169" i="1" a="1"/>
  <c r="AH169" i="1" s="1"/>
  <c r="AH170" i="1" a="1"/>
  <c r="AH170" i="1" s="1"/>
  <c r="AH171" i="1" a="1"/>
  <c r="AH171" i="1" s="1"/>
  <c r="AH172" i="1" a="1"/>
  <c r="AH172" i="1" s="1"/>
  <c r="AH173" i="1" a="1"/>
  <c r="AH173" i="1"/>
  <c r="AH174" i="1" a="1"/>
  <c r="AH174" i="1" s="1"/>
  <c r="AH175" i="1" a="1"/>
  <c r="AH175" i="1" s="1"/>
  <c r="AH176" i="1" a="1"/>
  <c r="AH176" i="1" s="1"/>
  <c r="AH177" i="1" a="1"/>
  <c r="AH177" i="1"/>
  <c r="AH178" i="1" a="1"/>
  <c r="AH178" i="1"/>
  <c r="AH179" i="1" a="1"/>
  <c r="AH179" i="1" s="1"/>
  <c r="AH180" i="1" a="1"/>
  <c r="AH180" i="1" s="1"/>
  <c r="AH181" i="1" a="1"/>
  <c r="AH181" i="1" s="1"/>
  <c r="AH182" i="1" a="1"/>
  <c r="AH182" i="1"/>
  <c r="AH183" i="1" a="1"/>
  <c r="AH183" i="1" s="1"/>
  <c r="AH184" i="1" a="1"/>
  <c r="AH184" i="1" s="1"/>
  <c r="AH185" i="1" a="1"/>
  <c r="AH185" i="1" s="1"/>
  <c r="AH186" i="1" a="1"/>
  <c r="AH186" i="1" s="1"/>
  <c r="AH187" i="1" a="1"/>
  <c r="AH187" i="1" s="1"/>
  <c r="AH188" i="1" a="1"/>
  <c r="AH188" i="1" s="1"/>
  <c r="AH189" i="1" a="1"/>
  <c r="AH189" i="1"/>
  <c r="AH190" i="1" a="1"/>
  <c r="AH190" i="1" s="1"/>
  <c r="AH191" i="1" a="1"/>
  <c r="AH191" i="1" s="1"/>
  <c r="AH192" i="1" a="1"/>
  <c r="AH192" i="1" s="1"/>
  <c r="AH193" i="1" a="1"/>
  <c r="AH193" i="1"/>
  <c r="AH194" i="1" a="1"/>
  <c r="AH194" i="1"/>
  <c r="AH195" i="1" a="1"/>
  <c r="AH195" i="1" s="1"/>
  <c r="AH196" i="1" a="1"/>
  <c r="AH196" i="1" s="1"/>
  <c r="AH197" i="1" a="1"/>
  <c r="AH197" i="1" s="1"/>
  <c r="AH198" i="1" a="1"/>
  <c r="AH198" i="1"/>
  <c r="AH199" i="1" a="1"/>
  <c r="AH199" i="1" s="1"/>
  <c r="AH200" i="1" a="1"/>
  <c r="AH200" i="1" s="1"/>
  <c r="AH201" i="1" a="1"/>
  <c r="AH201" i="1" s="1"/>
  <c r="AH202" i="1" a="1"/>
  <c r="AH202" i="1" s="1"/>
  <c r="AH203" i="1" a="1"/>
  <c r="AH203" i="1" s="1"/>
  <c r="AH204" i="1" a="1"/>
  <c r="AH204" i="1" s="1"/>
  <c r="AH205" i="1" a="1"/>
  <c r="AH205" i="1"/>
  <c r="AH206" i="1" a="1"/>
  <c r="AH206" i="1" s="1"/>
  <c r="AH207" i="1" a="1"/>
  <c r="AH207" i="1" s="1"/>
  <c r="AH208" i="1" a="1"/>
  <c r="AH208" i="1" s="1"/>
  <c r="AH209" i="1" a="1"/>
  <c r="AH209" i="1"/>
  <c r="AH210" i="1" a="1"/>
  <c r="AH210" i="1"/>
  <c r="AH211" i="1" a="1"/>
  <c r="AH211" i="1" s="1"/>
  <c r="AH212" i="1" a="1"/>
  <c r="AH212" i="1" s="1"/>
  <c r="AH213" i="1" a="1"/>
  <c r="AH213" i="1" s="1"/>
  <c r="AH214" i="1" a="1"/>
  <c r="AH214" i="1"/>
  <c r="AH215" i="1" a="1"/>
  <c r="AH215" i="1" s="1"/>
  <c r="AH216" i="1" a="1"/>
  <c r="AH216" i="1" s="1"/>
  <c r="AH217" i="1" a="1"/>
  <c r="AH217" i="1" s="1"/>
  <c r="AH218" i="1" a="1"/>
  <c r="AH218" i="1" s="1"/>
  <c r="AH219" i="1" a="1"/>
  <c r="AH219" i="1" s="1"/>
  <c r="AH220" i="1" a="1"/>
  <c r="AH220" i="1" s="1"/>
  <c r="AH221" i="1" a="1"/>
  <c r="AH221" i="1"/>
  <c r="AH222" i="1" a="1"/>
  <c r="AH222" i="1" s="1"/>
  <c r="AH223" i="1" a="1"/>
  <c r="AH223" i="1" s="1"/>
  <c r="AH224" i="1" a="1"/>
  <c r="AH224" i="1" s="1"/>
  <c r="AH225" i="1" a="1"/>
  <c r="AH225" i="1"/>
  <c r="AH226" i="1" a="1"/>
  <c r="AH226" i="1"/>
  <c r="AH227" i="1" a="1"/>
  <c r="AH227" i="1" s="1"/>
  <c r="AH228" i="1" a="1"/>
  <c r="AH228" i="1" s="1"/>
  <c r="AH229" i="1" a="1"/>
  <c r="AH229" i="1" s="1"/>
  <c r="AH230" i="1" a="1"/>
  <c r="AH230" i="1" s="1"/>
  <c r="AH231" i="1" a="1"/>
  <c r="AH231" i="1" s="1"/>
  <c r="AH232" i="1" a="1"/>
  <c r="AH232" i="1" s="1"/>
  <c r="AH233" i="1" a="1"/>
  <c r="AH233" i="1" s="1"/>
  <c r="AH234" i="1" a="1"/>
  <c r="AH234" i="1" s="1"/>
  <c r="AH235" i="1" a="1"/>
  <c r="AH235" i="1" s="1"/>
  <c r="AH236" i="1" a="1"/>
  <c r="AH236" i="1" s="1"/>
  <c r="AH237" i="1" a="1"/>
  <c r="AH237" i="1"/>
  <c r="AH238" i="1" a="1"/>
  <c r="AH238" i="1" s="1"/>
  <c r="AH239" i="1" a="1"/>
  <c r="AH239" i="1" s="1"/>
  <c r="AH240" i="1" a="1"/>
  <c r="AH240" i="1" s="1"/>
  <c r="AH241" i="1" a="1"/>
  <c r="AH241" i="1" s="1"/>
  <c r="AH242" i="1" a="1"/>
  <c r="AH242" i="1"/>
  <c r="AH243" i="1" a="1"/>
  <c r="AH243" i="1" s="1"/>
  <c r="AH244" i="1" a="1"/>
  <c r="AH244" i="1" s="1"/>
  <c r="AH245" i="1" a="1"/>
  <c r="AH245" i="1" s="1"/>
  <c r="AH246" i="1" a="1"/>
  <c r="AH246" i="1" s="1"/>
  <c r="AH247" i="1" a="1"/>
  <c r="AH247" i="1" s="1"/>
  <c r="AH248" i="1" a="1"/>
  <c r="AH248" i="1" s="1"/>
  <c r="AH249" i="1" a="1"/>
  <c r="AH249" i="1" s="1"/>
  <c r="AH250" i="1" a="1"/>
  <c r="AH250" i="1" s="1"/>
  <c r="AH251" i="1" a="1"/>
  <c r="AH251" i="1" s="1"/>
  <c r="AH252" i="1" a="1"/>
  <c r="AH252" i="1" s="1"/>
  <c r="AH253" i="1" a="1"/>
  <c r="AH253" i="1"/>
  <c r="AH254" i="1" a="1"/>
  <c r="AH254" i="1" s="1"/>
  <c r="AH255" i="1" a="1"/>
  <c r="AH255" i="1" s="1"/>
  <c r="AH256" i="1" a="1"/>
  <c r="AH256" i="1" s="1"/>
  <c r="AH257" i="1" a="1"/>
  <c r="AH257" i="1" s="1"/>
  <c r="AH258" i="1" a="1"/>
  <c r="AH258" i="1"/>
  <c r="AH259" i="1" a="1"/>
  <c r="AH259" i="1" s="1"/>
  <c r="AH260" i="1" a="1"/>
  <c r="AH260" i="1" s="1"/>
  <c r="AH261" i="1" a="1"/>
  <c r="AH261" i="1" s="1"/>
  <c r="AH262" i="1" a="1"/>
  <c r="AH262" i="1" s="1"/>
  <c r="AH263" i="1" a="1"/>
  <c r="AH263" i="1" s="1"/>
  <c r="AH264" i="1" a="1"/>
  <c r="AH264" i="1" s="1"/>
  <c r="AH265" i="1" a="1"/>
  <c r="AH265" i="1" s="1"/>
  <c r="AH266" i="1" a="1"/>
  <c r="AH266" i="1" s="1"/>
  <c r="AH267" i="1" a="1"/>
  <c r="AH267" i="1" s="1"/>
  <c r="AH268" i="1" a="1"/>
  <c r="AH268" i="1" s="1"/>
  <c r="AH269" i="1" a="1"/>
  <c r="AH269" i="1"/>
  <c r="AH270" i="1" a="1"/>
  <c r="AH270" i="1" s="1"/>
  <c r="AH271" i="1" a="1"/>
  <c r="AH271" i="1" s="1"/>
  <c r="AH272" i="1" a="1"/>
  <c r="AH272" i="1" s="1"/>
  <c r="AH273" i="1" a="1"/>
  <c r="AH273" i="1" s="1"/>
  <c r="AH274" i="1" a="1"/>
  <c r="AH274" i="1"/>
  <c r="AH275" i="1" a="1"/>
  <c r="AH275" i="1" s="1"/>
  <c r="AH276" i="1" a="1"/>
  <c r="AH276" i="1" s="1"/>
  <c r="AH277" i="1" a="1"/>
  <c r="AH277" i="1" s="1"/>
  <c r="AH278" i="1" a="1"/>
  <c r="AH278" i="1" s="1"/>
  <c r="AH279" i="1" a="1"/>
  <c r="AH279" i="1" s="1"/>
  <c r="AH280" i="1" a="1"/>
  <c r="AH280" i="1" s="1"/>
  <c r="AH281" i="1" a="1"/>
  <c r="AH281" i="1" s="1"/>
  <c r="AH282" i="1" a="1"/>
  <c r="AH282" i="1" s="1"/>
  <c r="AH283" i="1" a="1"/>
  <c r="AH283" i="1" s="1"/>
  <c r="AH284" i="1" a="1"/>
  <c r="AH284" i="1" s="1"/>
  <c r="AH285" i="1" a="1"/>
  <c r="AH285" i="1"/>
  <c r="AH286" i="1" a="1"/>
  <c r="AH286" i="1" s="1"/>
  <c r="AH287" i="1" a="1"/>
  <c r="AH287" i="1" s="1"/>
  <c r="AH288" i="1" a="1"/>
  <c r="AH288" i="1" s="1"/>
  <c r="AH289" i="1" a="1"/>
  <c r="AH289" i="1" s="1"/>
  <c r="AH290" i="1" a="1"/>
  <c r="AH290" i="1"/>
  <c r="AH291" i="1" a="1"/>
  <c r="AH291" i="1" s="1"/>
  <c r="AH292" i="1" a="1"/>
  <c r="AH292" i="1" s="1"/>
  <c r="AH293" i="1" a="1"/>
  <c r="AH293" i="1" s="1"/>
  <c r="AH294" i="1" a="1"/>
  <c r="AH294" i="1" s="1"/>
  <c r="AH295" i="1" a="1"/>
  <c r="AH295" i="1" s="1"/>
  <c r="AH296" i="1" a="1"/>
  <c r="AH296" i="1" s="1"/>
  <c r="AH297" i="1" a="1"/>
  <c r="AH297" i="1" s="1"/>
  <c r="AH298" i="1" a="1"/>
  <c r="AH298" i="1" s="1"/>
  <c r="AH299" i="1" a="1"/>
  <c r="AH299" i="1" s="1"/>
  <c r="AH300" i="1" a="1"/>
  <c r="AH300" i="1" s="1"/>
  <c r="AH301" i="1" a="1"/>
  <c r="AH301" i="1"/>
  <c r="AH302" i="1" a="1"/>
  <c r="AH302" i="1" s="1"/>
  <c r="AH303" i="1" a="1"/>
  <c r="AH303" i="1" s="1"/>
  <c r="AH304" i="1" a="1"/>
  <c r="AH304" i="1" s="1"/>
  <c r="AH305" i="1" a="1"/>
  <c r="AH305" i="1" s="1"/>
  <c r="AH306" i="1" a="1"/>
  <c r="AH306" i="1"/>
  <c r="AH307" i="1" a="1"/>
  <c r="AH307" i="1" s="1"/>
  <c r="AH308" i="1" a="1"/>
  <c r="AH308" i="1" s="1"/>
  <c r="AH309" i="1" a="1"/>
  <c r="AH309" i="1" s="1"/>
  <c r="AH310" i="1" a="1"/>
  <c r="AH310" i="1" s="1"/>
  <c r="AH311" i="1" a="1"/>
  <c r="AH311" i="1" s="1"/>
  <c r="AH312" i="1" a="1"/>
  <c r="AH312" i="1" s="1"/>
  <c r="AH313" i="1" a="1"/>
  <c r="AH313" i="1" s="1"/>
  <c r="AH314" i="1" a="1"/>
  <c r="AH314" i="1" s="1"/>
  <c r="AH315" i="1" a="1"/>
  <c r="AH315" i="1" s="1"/>
  <c r="AH316" i="1" a="1"/>
  <c r="AH316" i="1" s="1"/>
  <c r="AH317" i="1" a="1"/>
  <c r="AH317" i="1"/>
  <c r="AH318" i="1" a="1"/>
  <c r="AH318" i="1" s="1"/>
  <c r="AH319" i="1" a="1"/>
  <c r="AH319" i="1" s="1"/>
  <c r="AH320" i="1" a="1"/>
  <c r="AH320" i="1" s="1"/>
  <c r="AH321" i="1" a="1"/>
  <c r="AH321" i="1" s="1"/>
  <c r="AH322" i="1" a="1"/>
  <c r="AH322" i="1"/>
  <c r="AH323" i="1" a="1"/>
  <c r="AH323" i="1" s="1"/>
  <c r="AH324" i="1" a="1"/>
  <c r="AH324" i="1" s="1"/>
  <c r="AH325" i="1" a="1"/>
  <c r="AH325" i="1"/>
  <c r="AH326" i="1" a="1"/>
  <c r="AH326" i="1"/>
  <c r="AH327" i="1" a="1"/>
  <c r="AH327" i="1"/>
  <c r="AH328" i="1" a="1"/>
  <c r="AH328" i="1" s="1"/>
  <c r="AH329" i="1" a="1"/>
  <c r="AH329" i="1" s="1"/>
  <c r="AH330" i="1" a="1"/>
  <c r="AH330" i="1" s="1"/>
  <c r="AH331" i="1" a="1"/>
  <c r="AH331" i="1"/>
  <c r="AH332" i="1" a="1"/>
  <c r="AH332" i="1" s="1"/>
  <c r="AH333" i="1" a="1"/>
  <c r="AH333" i="1"/>
  <c r="AH334" i="1" a="1"/>
  <c r="AH334" i="1"/>
  <c r="AH335" i="1" a="1"/>
  <c r="AH335" i="1"/>
  <c r="AH336" i="1" a="1"/>
  <c r="AH336" i="1" s="1"/>
  <c r="AH337" i="1" a="1"/>
  <c r="AH337" i="1" s="1"/>
  <c r="AH338" i="1" a="1"/>
  <c r="AH338" i="1" s="1"/>
  <c r="AH339" i="1" a="1"/>
  <c r="AH339" i="1" s="1"/>
  <c r="AH340" i="1" a="1"/>
  <c r="AH340" i="1" s="1"/>
  <c r="AH341" i="1" a="1"/>
  <c r="AH341" i="1"/>
  <c r="AH342" i="1" a="1"/>
  <c r="AH342" i="1"/>
  <c r="AH343" i="1" a="1"/>
  <c r="AH343" i="1"/>
  <c r="AH344" i="1" a="1"/>
  <c r="AH344" i="1"/>
  <c r="AH345" i="1" a="1"/>
  <c r="AH345" i="1"/>
  <c r="AH346" i="1" a="1"/>
  <c r="AH346" i="1"/>
  <c r="AH347" i="1" a="1"/>
  <c r="AH347" i="1"/>
  <c r="AH348" i="1" a="1"/>
  <c r="AH348" i="1"/>
  <c r="AH349" i="1" a="1"/>
  <c r="AH349" i="1"/>
  <c r="AH350" i="1" a="1"/>
  <c r="AH350" i="1"/>
  <c r="AH351" i="1" a="1"/>
  <c r="AH351" i="1"/>
  <c r="AH352" i="1" a="1"/>
  <c r="AH352" i="1"/>
  <c r="AH353" i="1" a="1"/>
  <c r="AH353" i="1"/>
  <c r="AH354" i="1" a="1"/>
  <c r="AH354" i="1"/>
  <c r="AH355" i="1" a="1"/>
  <c r="AH355" i="1"/>
  <c r="AH356" i="1" a="1"/>
  <c r="AH356" i="1"/>
  <c r="AH357" i="1" a="1"/>
  <c r="AH357" i="1"/>
  <c r="AH358" i="1" a="1"/>
  <c r="AH358" i="1"/>
  <c r="AH359" i="1" a="1"/>
  <c r="AH359" i="1"/>
  <c r="AH360" i="1" a="1"/>
  <c r="AH360" i="1"/>
  <c r="AH361" i="1" a="1"/>
  <c r="AH361" i="1"/>
  <c r="AH362" i="1" a="1"/>
  <c r="AH362" i="1"/>
  <c r="AH363" i="1" a="1"/>
  <c r="AH363" i="1"/>
  <c r="AH364" i="1" a="1"/>
  <c r="AH364" i="1"/>
  <c r="AH365" i="1" a="1"/>
  <c r="AH365" i="1"/>
  <c r="AH366" i="1" a="1"/>
  <c r="AH366" i="1"/>
  <c r="AH367" i="1" a="1"/>
  <c r="AH367" i="1"/>
  <c r="AH368" i="1" a="1"/>
  <c r="AH368" i="1"/>
  <c r="AH369" i="1" a="1"/>
  <c r="AH369" i="1" s="1"/>
  <c r="AH370" i="1" a="1"/>
  <c r="AH370" i="1"/>
  <c r="AH371" i="1" a="1"/>
  <c r="AH371" i="1"/>
  <c r="AH372" i="1" a="1"/>
  <c r="AH372" i="1"/>
  <c r="AH373" i="1" a="1"/>
  <c r="AH373" i="1" s="1"/>
  <c r="AH374" i="1" a="1"/>
  <c r="AH374" i="1"/>
  <c r="AH375" i="1" a="1"/>
  <c r="AH375" i="1"/>
  <c r="AH376" i="1" a="1"/>
  <c r="AH376" i="1"/>
  <c r="AH377" i="1" a="1"/>
  <c r="AH377" i="1" s="1"/>
  <c r="AH378" i="1" a="1"/>
  <c r="AH378" i="1"/>
  <c r="AH379" i="1" a="1"/>
  <c r="AH379" i="1" s="1"/>
  <c r="AH380" i="1" a="1"/>
  <c r="AH380" i="1"/>
  <c r="AH381" i="1" a="1"/>
  <c r="AH381" i="1"/>
  <c r="AH382" i="1" a="1"/>
  <c r="AH382" i="1"/>
  <c r="AH383" i="1" a="1"/>
  <c r="AH383" i="1" s="1"/>
  <c r="AH384" i="1" a="1"/>
  <c r="AH384" i="1"/>
  <c r="AH385" i="1" a="1"/>
  <c r="AH385" i="1" s="1"/>
  <c r="AH386" i="1" a="1"/>
  <c r="AH386" i="1"/>
  <c r="AH387" i="1" a="1"/>
  <c r="AH387" i="1" s="1"/>
  <c r="AH388" i="1" a="1"/>
  <c r="AH388" i="1"/>
  <c r="AH389" i="1" a="1"/>
  <c r="AH389" i="1"/>
  <c r="AH390" i="1" a="1"/>
  <c r="AH390" i="1"/>
  <c r="AH391" i="1" a="1"/>
  <c r="AH391" i="1" s="1"/>
  <c r="AH392" i="1" a="1"/>
  <c r="AH392" i="1" s="1"/>
  <c r="AH393" i="1" a="1"/>
  <c r="AH393" i="1"/>
  <c r="AH394" i="1" a="1"/>
  <c r="AH394" i="1"/>
  <c r="AH395" i="1" a="1"/>
  <c r="AH395" i="1" s="1"/>
  <c r="AH396" i="1" a="1"/>
  <c r="AH396" i="1" s="1"/>
  <c r="AH397" i="1" a="1"/>
  <c r="AH397" i="1" s="1"/>
  <c r="AH398" i="1" a="1"/>
  <c r="AH398" i="1"/>
  <c r="AH399" i="1" a="1"/>
  <c r="AH399" i="1" s="1"/>
  <c r="AH400" i="1" a="1"/>
  <c r="AH400" i="1" s="1"/>
  <c r="AH401" i="1" a="1"/>
  <c r="AH401" i="1"/>
  <c r="AH402" i="1" a="1"/>
  <c r="AH402" i="1"/>
  <c r="AH403" i="1" a="1"/>
  <c r="AH403" i="1" s="1"/>
  <c r="AH404" i="1" a="1"/>
  <c r="AH404" i="1" s="1"/>
  <c r="AH405" i="1" a="1"/>
  <c r="AH405" i="1"/>
  <c r="AH406" i="1" a="1"/>
  <c r="AH406" i="1"/>
  <c r="AH407" i="1" a="1"/>
  <c r="AH407" i="1" s="1"/>
  <c r="AH408" i="1" a="1"/>
  <c r="AH408" i="1" s="1"/>
  <c r="AH409" i="1" a="1"/>
  <c r="AH409" i="1"/>
  <c r="AH410" i="1" a="1"/>
  <c r="AH410" i="1"/>
  <c r="AH411" i="1" a="1"/>
  <c r="AH411" i="1" s="1"/>
  <c r="AH412" i="1" a="1"/>
  <c r="AH412" i="1" s="1"/>
  <c r="AH413" i="1" a="1"/>
  <c r="AH413" i="1" s="1"/>
  <c r="AH414" i="1" a="1"/>
  <c r="AH414" i="1"/>
  <c r="AH415" i="1" a="1"/>
  <c r="AH415" i="1" s="1"/>
  <c r="AH416" i="1" a="1"/>
  <c r="AH416" i="1" s="1"/>
  <c r="AH417" i="1" a="1"/>
  <c r="AH417" i="1"/>
  <c r="AH418" i="1" a="1"/>
  <c r="AH418" i="1"/>
  <c r="AH419" i="1" a="1"/>
  <c r="AH419" i="1" s="1"/>
  <c r="AH420" i="1" a="1"/>
  <c r="AH420" i="1" s="1"/>
  <c r="AH421" i="1" a="1"/>
  <c r="AH421" i="1"/>
  <c r="AH422" i="1" a="1"/>
  <c r="AH422" i="1"/>
  <c r="AH423" i="1" a="1"/>
  <c r="AH423" i="1" s="1"/>
  <c r="AH424" i="1" a="1"/>
  <c r="AH424" i="1" s="1"/>
  <c r="AH425" i="1" a="1"/>
  <c r="AH425" i="1"/>
  <c r="AH426" i="1" a="1"/>
  <c r="AH426" i="1"/>
  <c r="AH427" i="1" a="1"/>
  <c r="AH427" i="1" s="1"/>
  <c r="AH428" i="1" a="1"/>
  <c r="AH428" i="1" s="1"/>
  <c r="AH429" i="1" a="1"/>
  <c r="AH429" i="1" s="1"/>
  <c r="AH430" i="1" a="1"/>
  <c r="AH430" i="1"/>
  <c r="AH431" i="1" a="1"/>
  <c r="AH431" i="1" s="1"/>
  <c r="AH432" i="1" a="1"/>
  <c r="AH432" i="1" s="1"/>
  <c r="AH433" i="1" a="1"/>
  <c r="AH433" i="1"/>
  <c r="AH434" i="1" a="1"/>
  <c r="AH434" i="1"/>
  <c r="AH435" i="1" a="1"/>
  <c r="AH435" i="1" s="1"/>
  <c r="AH436" i="1" a="1"/>
  <c r="AH436" i="1" s="1"/>
  <c r="AH437" i="1" a="1"/>
  <c r="AH437" i="1"/>
  <c r="AH438" i="1" a="1"/>
  <c r="AH438" i="1"/>
  <c r="AH439" i="1" a="1"/>
  <c r="AH439" i="1" s="1"/>
  <c r="AH440" i="1" a="1"/>
  <c r="AH440" i="1" s="1"/>
  <c r="AH441" i="1" a="1"/>
  <c r="AH441" i="1"/>
  <c r="AH442" i="1" a="1"/>
  <c r="AH442" i="1"/>
  <c r="AH443" i="1" a="1"/>
  <c r="AH443" i="1" s="1"/>
  <c r="AH444" i="1" a="1"/>
  <c r="AH444" i="1" s="1"/>
  <c r="AH445" i="1" a="1"/>
  <c r="AH445" i="1" s="1"/>
  <c r="AH446" i="1" a="1"/>
  <c r="AH446" i="1"/>
  <c r="AH447" i="1" a="1"/>
  <c r="AH447" i="1" s="1"/>
  <c r="AH448" i="1" a="1"/>
  <c r="AH448" i="1" s="1"/>
  <c r="AH449" i="1" a="1"/>
  <c r="AH449" i="1"/>
  <c r="AH450" i="1" a="1"/>
  <c r="AH450" i="1" s="1"/>
  <c r="AH451" i="1" a="1"/>
  <c r="AH451" i="1" s="1"/>
  <c r="AH452" i="1" a="1"/>
  <c r="AH452" i="1" s="1"/>
  <c r="AH453" i="1" a="1"/>
  <c r="AH453" i="1"/>
  <c r="AH454" i="1" a="1"/>
  <c r="AH454" i="1"/>
  <c r="AH455" i="1" a="1"/>
  <c r="AH455" i="1" s="1"/>
  <c r="AH456" i="1" a="1"/>
  <c r="AH456" i="1" s="1"/>
  <c r="AH457" i="1" a="1"/>
  <c r="AH457" i="1"/>
  <c r="AH458" i="1" a="1"/>
  <c r="AH458" i="1"/>
  <c r="AH459" i="1" a="1"/>
  <c r="AH459" i="1" s="1"/>
  <c r="AH460" i="1" a="1"/>
  <c r="AH460" i="1" s="1"/>
  <c r="AH461" i="1" a="1"/>
  <c r="AH461" i="1" s="1"/>
  <c r="AH462" i="1" a="1"/>
  <c r="AH462" i="1"/>
  <c r="AH463" i="1" a="1"/>
  <c r="AH463" i="1" s="1"/>
  <c r="AH464" i="1" a="1"/>
  <c r="AH464" i="1" s="1"/>
  <c r="AH465" i="1" a="1"/>
  <c r="AH465" i="1"/>
  <c r="AH466" i="1" a="1"/>
  <c r="AH466" i="1" s="1"/>
  <c r="AH467" i="1" a="1"/>
  <c r="AH467" i="1" s="1"/>
  <c r="AH468" i="1" a="1"/>
  <c r="AH468" i="1" s="1"/>
  <c r="AH469" i="1" a="1"/>
  <c r="AH469" i="1"/>
  <c r="AH470" i="1" a="1"/>
  <c r="AH470" i="1" s="1"/>
  <c r="AH471" i="1" a="1"/>
  <c r="AH471" i="1" s="1"/>
  <c r="AH472" i="1" a="1"/>
  <c r="AH472" i="1" s="1"/>
  <c r="AH473" i="1" a="1"/>
  <c r="AH473" i="1"/>
  <c r="AH474" i="1" a="1"/>
  <c r="AH474" i="1"/>
  <c r="AH475" i="1" a="1"/>
  <c r="AH475" i="1" s="1"/>
  <c r="AH476" i="1" a="1"/>
  <c r="AH476" i="1" s="1"/>
  <c r="AH477" i="1" a="1"/>
  <c r="AH477" i="1" s="1"/>
  <c r="AH478" i="1" a="1"/>
  <c r="AH478" i="1"/>
  <c r="AH479" i="1" a="1"/>
  <c r="AH479" i="1" s="1"/>
  <c r="AH480" i="1" a="1"/>
  <c r="AH480" i="1" s="1"/>
  <c r="AH481" i="1" a="1"/>
  <c r="AH481" i="1" s="1"/>
  <c r="AH482" i="1" a="1"/>
  <c r="AH482" i="1" s="1"/>
  <c r="AH483" i="1" a="1"/>
  <c r="AH483" i="1" s="1"/>
  <c r="AH484" i="1" a="1"/>
  <c r="AH484" i="1" s="1"/>
  <c r="AH485" i="1" a="1"/>
  <c r="AH485" i="1"/>
  <c r="AH486" i="1" a="1"/>
  <c r="AH486" i="1" s="1"/>
  <c r="AH487" i="1" a="1"/>
  <c r="AH487" i="1" s="1"/>
  <c r="AH488" i="1" a="1"/>
  <c r="AH488" i="1" s="1"/>
  <c r="AH489" i="1" a="1"/>
  <c r="AH489" i="1"/>
  <c r="AH490" i="1" a="1"/>
  <c r="AH490" i="1"/>
  <c r="AH491" i="1" a="1"/>
  <c r="AH491" i="1" s="1"/>
  <c r="AH492" i="1" a="1"/>
  <c r="AH492" i="1" s="1"/>
  <c r="AH493" i="1" a="1"/>
  <c r="AH493" i="1" s="1"/>
  <c r="AH494" i="1" a="1"/>
  <c r="AH494" i="1"/>
  <c r="AH495" i="1" a="1"/>
  <c r="AH495" i="1" s="1"/>
  <c r="AH496" i="1" a="1"/>
  <c r="AH496" i="1" s="1"/>
  <c r="AH497" i="1" a="1"/>
  <c r="AH497" i="1" s="1"/>
  <c r="AH498" i="1" a="1"/>
  <c r="AH498" i="1" s="1"/>
  <c r="AH499" i="1" a="1"/>
  <c r="AH499" i="1" s="1"/>
  <c r="AH500" i="1" a="1"/>
  <c r="AH500" i="1" s="1"/>
  <c r="AH501" i="1" a="1"/>
  <c r="AH501" i="1"/>
  <c r="AH502" i="1" a="1"/>
  <c r="AH502" i="1" s="1"/>
  <c r="AH503" i="1" a="1"/>
  <c r="AH503" i="1" s="1"/>
  <c r="AH504" i="1" a="1"/>
  <c r="AH504" i="1" s="1"/>
  <c r="AH505" i="1" a="1"/>
  <c r="AH505" i="1"/>
  <c r="AH506" i="1" a="1"/>
  <c r="AH506" i="1"/>
  <c r="AH507" i="1" a="1"/>
  <c r="AH507" i="1" s="1"/>
  <c r="AH508" i="1" a="1"/>
  <c r="AH508" i="1" s="1"/>
  <c r="AH509" i="1" a="1"/>
  <c r="AH509" i="1" s="1"/>
  <c r="AH510" i="1" a="1"/>
  <c r="AH510" i="1"/>
  <c r="AH511" i="1" a="1"/>
  <c r="AH511" i="1" s="1"/>
  <c r="AH512" i="1" a="1"/>
  <c r="AH512" i="1" s="1"/>
  <c r="AH513" i="1" a="1"/>
  <c r="AH513" i="1" s="1"/>
  <c r="AH514" i="1" a="1"/>
  <c r="AH514" i="1" s="1"/>
  <c r="AH515" i="1" a="1"/>
  <c r="AH515" i="1" s="1"/>
  <c r="AH516" i="1" a="1"/>
  <c r="AH516" i="1" s="1"/>
  <c r="AH517" i="1" a="1"/>
  <c r="AH517" i="1"/>
  <c r="AH518" i="1" a="1"/>
  <c r="AH518" i="1" s="1"/>
  <c r="AH519" i="1" a="1"/>
  <c r="AH519" i="1" s="1"/>
  <c r="AH520" i="1" a="1"/>
  <c r="AH520" i="1" s="1"/>
  <c r="AH521" i="1" a="1"/>
  <c r="AH521" i="1"/>
  <c r="AH522" i="1" a="1"/>
  <c r="AH522" i="1"/>
  <c r="AH523" i="1" a="1"/>
  <c r="AH523" i="1" s="1"/>
  <c r="AH524" i="1" a="1"/>
  <c r="AH524" i="1" s="1"/>
  <c r="AH525" i="1" a="1"/>
  <c r="AH525" i="1" s="1"/>
  <c r="AH526" i="1" a="1"/>
  <c r="AH526" i="1"/>
  <c r="AH527" i="1" a="1"/>
  <c r="AH527" i="1" s="1"/>
  <c r="AH528" i="1" a="1"/>
  <c r="AH528" i="1" s="1"/>
  <c r="AH529" i="1" a="1"/>
  <c r="AH529" i="1" s="1"/>
  <c r="AH530" i="1" a="1"/>
  <c r="AH530" i="1" s="1"/>
  <c r="AH531" i="1" a="1"/>
  <c r="AH531" i="1" s="1"/>
  <c r="AH532" i="1" a="1"/>
  <c r="AH532" i="1" s="1"/>
  <c r="AH533" i="1" a="1"/>
  <c r="AH533" i="1"/>
  <c r="AH534" i="1" a="1"/>
  <c r="AH534" i="1" s="1"/>
  <c r="AH535" i="1" a="1"/>
  <c r="AH535" i="1" s="1"/>
  <c r="AH536" i="1" a="1"/>
  <c r="AH536" i="1" s="1"/>
  <c r="AH537" i="1" a="1"/>
  <c r="AH537" i="1"/>
  <c r="AH538" i="1" a="1"/>
  <c r="AH538" i="1"/>
  <c r="AH539" i="1" a="1"/>
  <c r="AH539" i="1" s="1"/>
  <c r="AH540" i="1" a="1"/>
  <c r="AH540" i="1" s="1"/>
  <c r="AH541" i="1" a="1"/>
  <c r="AH541" i="1" s="1"/>
  <c r="AH542" i="1" a="1"/>
  <c r="AH542" i="1"/>
  <c r="AH543" i="1" a="1"/>
  <c r="AH543" i="1" s="1"/>
  <c r="AH544" i="1" a="1"/>
  <c r="AH544" i="1" s="1"/>
  <c r="AH545" i="1" a="1"/>
  <c r="AH545" i="1" s="1"/>
  <c r="AH546" i="1" a="1"/>
  <c r="AH546" i="1" s="1"/>
  <c r="AH547" i="1" a="1"/>
  <c r="AH547" i="1" s="1"/>
  <c r="AH548" i="1" a="1"/>
  <c r="AH548" i="1" s="1"/>
  <c r="AH549" i="1" a="1"/>
  <c r="AH549" i="1"/>
  <c r="AH550" i="1" a="1"/>
  <c r="AH550" i="1" s="1"/>
  <c r="AH551" i="1" a="1"/>
  <c r="AH551" i="1" s="1"/>
  <c r="AH552" i="1" a="1"/>
  <c r="AH552" i="1" s="1"/>
  <c r="AH553" i="1" a="1"/>
  <c r="AH553" i="1"/>
  <c r="AH554" i="1" a="1"/>
  <c r="AH554" i="1"/>
  <c r="AH555" i="1" a="1"/>
  <c r="AH555" i="1" s="1"/>
  <c r="AH556" i="1" a="1"/>
  <c r="AH556" i="1" s="1"/>
  <c r="AH557" i="1" a="1"/>
  <c r="AH557" i="1" s="1"/>
  <c r="AH558" i="1" a="1"/>
  <c r="AH558" i="1"/>
  <c r="AH559" i="1" a="1"/>
  <c r="AH559" i="1" s="1"/>
  <c r="AH560" i="1" a="1"/>
  <c r="AH560" i="1" s="1"/>
  <c r="AH561" i="1" a="1"/>
  <c r="AH561" i="1" s="1"/>
  <c r="AH562" i="1" a="1"/>
  <c r="AH562" i="1" s="1"/>
  <c r="AH563" i="1" a="1"/>
  <c r="AH563" i="1" s="1"/>
  <c r="AH564" i="1" a="1"/>
  <c r="AH564" i="1" s="1"/>
  <c r="AH565" i="1" a="1"/>
  <c r="AH565" i="1"/>
  <c r="AH566" i="1" a="1"/>
  <c r="AH566" i="1" s="1"/>
  <c r="AH567" i="1" a="1"/>
  <c r="AH567" i="1" s="1"/>
  <c r="AH568" i="1" a="1"/>
  <c r="AH568" i="1" s="1"/>
  <c r="AH569" i="1" a="1"/>
  <c r="AH569" i="1"/>
  <c r="AH570" i="1" a="1"/>
  <c r="AH570" i="1"/>
  <c r="AH571" i="1" a="1"/>
  <c r="AH571" i="1" s="1"/>
  <c r="AH572" i="1" a="1"/>
  <c r="AH572" i="1" s="1"/>
  <c r="AH573" i="1" a="1"/>
  <c r="AH573" i="1" s="1"/>
  <c r="AH574" i="1" a="1"/>
  <c r="AH574" i="1"/>
  <c r="AH575" i="1" a="1"/>
  <c r="AH575" i="1" s="1"/>
  <c r="AH576" i="1" a="1"/>
  <c r="AH576" i="1" s="1"/>
  <c r="AH577" i="1" a="1"/>
  <c r="AH577" i="1" s="1"/>
  <c r="AH578" i="1" a="1"/>
  <c r="AH578" i="1" s="1"/>
  <c r="AH579" i="1" a="1"/>
  <c r="AH579" i="1" s="1"/>
  <c r="AH580" i="1" a="1"/>
  <c r="AH580" i="1" s="1"/>
  <c r="AH581" i="1" a="1"/>
  <c r="AH581" i="1"/>
  <c r="AH582" i="1" a="1"/>
  <c r="AH582" i="1" s="1"/>
  <c r="AH583" i="1" a="1"/>
  <c r="AH583" i="1" s="1"/>
  <c r="AH584" i="1" a="1"/>
  <c r="AH584" i="1" s="1"/>
  <c r="AH585" i="1" a="1"/>
  <c r="AH585" i="1"/>
  <c r="AH586" i="1" a="1"/>
  <c r="AH586" i="1"/>
  <c r="AH587" i="1" a="1"/>
  <c r="AH587" i="1" s="1"/>
  <c r="AH588" i="1" a="1"/>
  <c r="AH588" i="1" s="1"/>
  <c r="AH589" i="1" a="1"/>
  <c r="AH589" i="1" s="1"/>
  <c r="AH590" i="1" a="1"/>
  <c r="AH590" i="1"/>
  <c r="AH591" i="1" a="1"/>
  <c r="AH591" i="1" s="1"/>
  <c r="AH592" i="1" a="1"/>
  <c r="AH592" i="1" s="1"/>
  <c r="AH593" i="1" a="1"/>
  <c r="AH593" i="1" s="1"/>
  <c r="AH594" i="1" a="1"/>
  <c r="AH594" i="1" s="1"/>
  <c r="AH595" i="1" a="1"/>
  <c r="AH595" i="1" s="1"/>
  <c r="AH596" i="1" a="1"/>
  <c r="AH596" i="1" s="1"/>
  <c r="AH597" i="1" a="1"/>
  <c r="AH597" i="1"/>
  <c r="AH598" i="1" a="1"/>
  <c r="AH598" i="1" s="1"/>
  <c r="AH599" i="1" a="1"/>
  <c r="AH599" i="1" s="1"/>
  <c r="AH600" i="1" a="1"/>
  <c r="AH600" i="1" s="1"/>
  <c r="AH601" i="1" a="1"/>
  <c r="AH601" i="1"/>
  <c r="AH602" i="1" a="1"/>
  <c r="AH602" i="1"/>
  <c r="AH603" i="1" a="1"/>
  <c r="AH603" i="1" s="1"/>
  <c r="AH604" i="1" a="1"/>
  <c r="AH604" i="1" s="1"/>
  <c r="AH605" i="1" a="1"/>
  <c r="AH605" i="1" s="1"/>
  <c r="AH606" i="1" a="1"/>
  <c r="AH606" i="1"/>
  <c r="AH607" i="1" a="1"/>
  <c r="AH607" i="1" s="1"/>
  <c r="AH608" i="1" a="1"/>
  <c r="AH608" i="1" s="1"/>
  <c r="AH609" i="1" a="1"/>
  <c r="AH609" i="1" s="1"/>
  <c r="AH610" i="1" a="1"/>
  <c r="AH610" i="1" s="1"/>
  <c r="AH611" i="1" a="1"/>
  <c r="AH611" i="1" s="1"/>
  <c r="AH612" i="1" a="1"/>
  <c r="AH612" i="1" s="1"/>
  <c r="AH613" i="1" a="1"/>
  <c r="AH613" i="1"/>
  <c r="AH614" i="1" a="1"/>
  <c r="AH614" i="1" s="1"/>
  <c r="AH615" i="1" a="1"/>
  <c r="AH615" i="1" s="1"/>
  <c r="AH616" i="1" a="1"/>
  <c r="AH616" i="1" s="1"/>
  <c r="AH617" i="1" a="1"/>
  <c r="AH617" i="1"/>
  <c r="AH618" i="1" a="1"/>
  <c r="AH618" i="1"/>
  <c r="AH619" i="1" a="1"/>
  <c r="AH619" i="1" s="1"/>
  <c r="AH620" i="1" a="1"/>
  <c r="AH620" i="1" s="1"/>
  <c r="AH621" i="1" a="1"/>
  <c r="AH621" i="1" s="1"/>
  <c r="AH622" i="1" a="1"/>
  <c r="AH622" i="1"/>
  <c r="AH623" i="1" a="1"/>
  <c r="AH623" i="1" s="1"/>
  <c r="AH624" i="1" a="1"/>
  <c r="AH624" i="1" s="1"/>
  <c r="AH625" i="1" a="1"/>
  <c r="AH625" i="1" s="1"/>
  <c r="AH626" i="1" a="1"/>
  <c r="AH626" i="1" s="1"/>
  <c r="AH627" i="1" a="1"/>
  <c r="AH627" i="1" s="1"/>
  <c r="AH628" i="1" a="1"/>
  <c r="AH628" i="1" s="1"/>
  <c r="AH629" i="1" a="1"/>
  <c r="AH629" i="1"/>
  <c r="AH630" i="1" a="1"/>
  <c r="AH630" i="1" s="1"/>
  <c r="AH631" i="1" a="1"/>
  <c r="AH631" i="1" s="1"/>
  <c r="AH632" i="1" a="1"/>
  <c r="AH632" i="1" s="1"/>
  <c r="AH633" i="1" a="1"/>
  <c r="AH633" i="1"/>
  <c r="AH634" i="1" a="1"/>
  <c r="AH634" i="1"/>
  <c r="AH635" i="1" a="1"/>
  <c r="AH635" i="1" s="1"/>
  <c r="AH636" i="1" a="1"/>
  <c r="AH636" i="1" s="1"/>
  <c r="AH637" i="1" a="1"/>
  <c r="AH637" i="1" s="1"/>
  <c r="AH638" i="1" a="1"/>
  <c r="AH638" i="1"/>
  <c r="AH639" i="1" a="1"/>
  <c r="AH639" i="1" s="1"/>
  <c r="AH640" i="1" a="1"/>
  <c r="AH640" i="1" s="1"/>
  <c r="AH641" i="1" a="1"/>
  <c r="AH641" i="1" s="1"/>
  <c r="AH642" i="1" a="1"/>
  <c r="AH642" i="1" s="1"/>
  <c r="AH643" i="1" a="1"/>
  <c r="AH643" i="1" s="1"/>
  <c r="AH644" i="1" a="1"/>
  <c r="AH644" i="1" s="1"/>
  <c r="AH645" i="1" a="1"/>
  <c r="AH645" i="1"/>
  <c r="AH646" i="1" a="1"/>
  <c r="AH646" i="1" s="1"/>
  <c r="AH647" i="1" a="1"/>
  <c r="AH647" i="1" s="1"/>
  <c r="AH648" i="1" a="1"/>
  <c r="AH648" i="1" s="1"/>
  <c r="AH649" i="1" a="1"/>
  <c r="AH649" i="1"/>
  <c r="AH650" i="1" a="1"/>
  <c r="AH650" i="1"/>
  <c r="AH651" i="1" a="1"/>
  <c r="AH651" i="1" s="1"/>
  <c r="AH652" i="1" a="1"/>
  <c r="AH652" i="1" s="1"/>
  <c r="AH653" i="1" a="1"/>
  <c r="AH653" i="1" s="1"/>
  <c r="AH654" i="1" a="1"/>
  <c r="AH654" i="1"/>
  <c r="AH655" i="1" a="1"/>
  <c r="AH655" i="1" s="1"/>
  <c r="AH656" i="1" a="1"/>
  <c r="AH656" i="1" s="1"/>
  <c r="AH657" i="1" a="1"/>
  <c r="AH657" i="1" s="1"/>
  <c r="AH658" i="1" a="1"/>
  <c r="AH658" i="1" s="1"/>
  <c r="AH659" i="1" a="1"/>
  <c r="AH659" i="1" s="1"/>
  <c r="AH660" i="1" a="1"/>
  <c r="AH660" i="1" s="1"/>
  <c r="AH661" i="1" a="1"/>
  <c r="AH661" i="1"/>
  <c r="AH662" i="1" a="1"/>
  <c r="AH662" i="1" s="1"/>
  <c r="AH663" i="1" a="1"/>
  <c r="AH663" i="1" s="1"/>
  <c r="AH664" i="1" a="1"/>
  <c r="AH664" i="1" s="1"/>
  <c r="AH665" i="1" a="1"/>
  <c r="AH665" i="1"/>
  <c r="AH666" i="1" a="1"/>
  <c r="AH666" i="1"/>
  <c r="AH667" i="1" a="1"/>
  <c r="AH667" i="1" s="1"/>
  <c r="AH668" i="1" a="1"/>
  <c r="AH668" i="1" s="1"/>
  <c r="AH669" i="1" a="1"/>
  <c r="AH669" i="1" s="1"/>
  <c r="AH670" i="1" a="1"/>
  <c r="AH670" i="1"/>
  <c r="AH671" i="1" a="1"/>
  <c r="AH671" i="1" s="1"/>
  <c r="AH672" i="1" a="1"/>
  <c r="AH672" i="1" s="1"/>
  <c r="AH673" i="1" a="1"/>
  <c r="AH673" i="1" s="1"/>
  <c r="AH674" i="1" a="1"/>
  <c r="AH674" i="1" s="1"/>
  <c r="AH675" i="1" a="1"/>
  <c r="AH675" i="1" s="1"/>
  <c r="AH676" i="1" a="1"/>
  <c r="AH676" i="1" s="1"/>
  <c r="AH677" i="1" a="1"/>
  <c r="AH677" i="1"/>
  <c r="AH678" i="1" a="1"/>
  <c r="AH678" i="1" s="1"/>
  <c r="AH679" i="1" a="1"/>
  <c r="AH679" i="1" s="1"/>
  <c r="AH680" i="1" a="1"/>
  <c r="AH680" i="1" s="1"/>
  <c r="AH681" i="1" a="1"/>
  <c r="AH681" i="1"/>
  <c r="AH682" i="1" a="1"/>
  <c r="AH682" i="1"/>
  <c r="AH683" i="1" a="1"/>
  <c r="AH683" i="1" s="1"/>
  <c r="AH684" i="1" a="1"/>
  <c r="AH684" i="1" s="1"/>
  <c r="AH685" i="1" a="1"/>
  <c r="AH685" i="1" s="1"/>
  <c r="AH686" i="1" a="1"/>
  <c r="AH686" i="1"/>
  <c r="AH687" i="1" a="1"/>
  <c r="AH687" i="1" s="1"/>
  <c r="AH688" i="1" a="1"/>
  <c r="AH688" i="1" s="1"/>
  <c r="AH689" i="1" a="1"/>
  <c r="AH689" i="1" s="1"/>
  <c r="AH690" i="1" a="1"/>
  <c r="AH690" i="1" s="1"/>
  <c r="AH691" i="1" a="1"/>
  <c r="AH691" i="1" s="1"/>
  <c r="AH692" i="1" a="1"/>
  <c r="AH692" i="1" s="1"/>
  <c r="AH693" i="1" a="1"/>
  <c r="AH693" i="1"/>
  <c r="AH694" i="1" a="1"/>
  <c r="AH694" i="1" s="1"/>
  <c r="AH695" i="1" a="1"/>
  <c r="AH695" i="1" s="1"/>
  <c r="AH696" i="1" a="1"/>
  <c r="AH696" i="1" s="1"/>
  <c r="AH697" i="1" a="1"/>
  <c r="AH697" i="1"/>
  <c r="AH698" i="1" a="1"/>
  <c r="AH698" i="1"/>
  <c r="AH699" i="1" a="1"/>
  <c r="AH699" i="1" s="1"/>
  <c r="AH700" i="1" a="1"/>
  <c r="AH700" i="1" s="1"/>
  <c r="AH701" i="1" a="1"/>
  <c r="AH701" i="1" s="1"/>
  <c r="AH702" i="1" a="1"/>
  <c r="AH702" i="1"/>
  <c r="AH703" i="1" a="1"/>
  <c r="AH703" i="1" s="1"/>
  <c r="AH704" i="1" a="1"/>
  <c r="AH704" i="1" s="1"/>
  <c r="AH705" i="1" a="1"/>
  <c r="AH705" i="1" s="1"/>
  <c r="AH706" i="1" a="1"/>
  <c r="AH706" i="1" s="1"/>
  <c r="AH707" i="1" a="1"/>
  <c r="AH707" i="1" s="1"/>
  <c r="AH708" i="1" a="1"/>
  <c r="AH708" i="1" s="1"/>
  <c r="AH709" i="1" a="1"/>
  <c r="AH709" i="1"/>
  <c r="AH710" i="1" a="1"/>
  <c r="AH710" i="1" s="1"/>
  <c r="AH711" i="1" a="1"/>
  <c r="AH711" i="1" s="1"/>
  <c r="AH712" i="1" a="1"/>
  <c r="AH712" i="1" s="1"/>
  <c r="AH713" i="1" a="1"/>
  <c r="AH713" i="1"/>
  <c r="AH714" i="1" a="1"/>
  <c r="AH714" i="1"/>
  <c r="AH715" i="1" a="1"/>
  <c r="AH715" i="1" s="1"/>
  <c r="AH716" i="1" a="1"/>
  <c r="AH716" i="1" s="1"/>
  <c r="AH717" i="1" a="1"/>
  <c r="AH717" i="1" s="1"/>
  <c r="AH718" i="1" a="1"/>
  <c r="AH718" i="1"/>
  <c r="AH719" i="1" a="1"/>
  <c r="AH719" i="1" s="1"/>
  <c r="AH720" i="1" a="1"/>
  <c r="AH720" i="1" s="1"/>
  <c r="AH721" i="1" a="1"/>
  <c r="AH721" i="1" s="1"/>
  <c r="AH722" i="1" a="1"/>
  <c r="AH722" i="1" s="1"/>
  <c r="AH723" i="1" a="1"/>
  <c r="AH723" i="1" s="1"/>
  <c r="AH724" i="1" a="1"/>
  <c r="AH724" i="1" s="1"/>
  <c r="AH725" i="1" a="1"/>
  <c r="AH725" i="1"/>
  <c r="AH726" i="1" a="1"/>
  <c r="AH726" i="1" s="1"/>
  <c r="AH727" i="1" a="1"/>
  <c r="AH727" i="1" s="1"/>
  <c r="AH728" i="1" a="1"/>
  <c r="AH728" i="1" s="1"/>
  <c r="AH729" i="1" a="1"/>
  <c r="AH729" i="1"/>
  <c r="AH730" i="1" a="1"/>
  <c r="AH730" i="1"/>
  <c r="AH731" i="1" a="1"/>
  <c r="AH731" i="1" s="1"/>
  <c r="AH732" i="1" a="1"/>
  <c r="AH732" i="1"/>
  <c r="AH733" i="1" a="1"/>
  <c r="AH733" i="1"/>
  <c r="AH734" i="1" a="1"/>
  <c r="AH734" i="1" s="1"/>
  <c r="AH735" i="1" a="1"/>
  <c r="AH735" i="1" s="1"/>
  <c r="AH736" i="1" a="1"/>
  <c r="AH736" i="1"/>
  <c r="AH737" i="1" a="1"/>
  <c r="AH737" i="1"/>
  <c r="AH738" i="1" a="1"/>
  <c r="AH738" i="1" s="1"/>
  <c r="AH739" i="1" a="1"/>
  <c r="AH739" i="1" s="1"/>
  <c r="AH740" i="1" a="1"/>
  <c r="AH740" i="1"/>
  <c r="AH741" i="1" a="1"/>
  <c r="AH741" i="1"/>
  <c r="AH742" i="1" a="1"/>
  <c r="AH742" i="1" s="1"/>
  <c r="AH743" i="1" a="1"/>
  <c r="AH743" i="1" s="1"/>
  <c r="AH744" i="1" a="1"/>
  <c r="AH744" i="1"/>
  <c r="AH745" i="1" a="1"/>
  <c r="AH745" i="1"/>
  <c r="AH746" i="1" a="1"/>
  <c r="AH746" i="1" s="1"/>
  <c r="AH747" i="1" a="1"/>
  <c r="AH747" i="1" s="1"/>
  <c r="AH748" i="1" a="1"/>
  <c r="AH748" i="1"/>
  <c r="AH749" i="1" a="1"/>
  <c r="AH749" i="1"/>
  <c r="AH750" i="1" a="1"/>
  <c r="AH750" i="1" s="1"/>
  <c r="AH751" i="1" a="1"/>
  <c r="AH751" i="1" s="1"/>
  <c r="AH752" i="1" a="1"/>
  <c r="AH752" i="1"/>
  <c r="AH753" i="1" a="1"/>
  <c r="AH753" i="1"/>
  <c r="AH754" i="1" a="1"/>
  <c r="AH754" i="1" s="1"/>
  <c r="AH755" i="1" a="1"/>
  <c r="AH755" i="1" s="1"/>
  <c r="AH756" i="1" a="1"/>
  <c r="AH756" i="1"/>
  <c r="AH757" i="1" a="1"/>
  <c r="AH757" i="1"/>
  <c r="AH758" i="1" a="1"/>
  <c r="AH758" i="1" s="1"/>
  <c r="AH759" i="1" a="1"/>
  <c r="AH759" i="1" s="1"/>
  <c r="AH760" i="1" a="1"/>
  <c r="AH760" i="1"/>
  <c r="AH761" i="1" a="1"/>
  <c r="AH761" i="1"/>
  <c r="AH762" i="1" a="1"/>
  <c r="AH762" i="1" s="1"/>
  <c r="AH763" i="1" a="1"/>
  <c r="AH763" i="1" s="1"/>
  <c r="AH764" i="1" a="1"/>
  <c r="AH764" i="1"/>
  <c r="AH765" i="1" a="1"/>
  <c r="AH765" i="1"/>
  <c r="AH766" i="1" a="1"/>
  <c r="AH766" i="1" s="1"/>
  <c r="AH767" i="1" a="1"/>
  <c r="AH767" i="1" s="1"/>
  <c r="AH768" i="1" a="1"/>
  <c r="AH768" i="1"/>
  <c r="AH769" i="1" a="1"/>
  <c r="AH769" i="1"/>
  <c r="AH770" i="1" a="1"/>
  <c r="AH770" i="1" s="1"/>
  <c r="AH771" i="1" a="1"/>
  <c r="AH771" i="1" s="1"/>
  <c r="AH772" i="1" a="1"/>
  <c r="AH772" i="1"/>
  <c r="AH773" i="1" a="1"/>
  <c r="AH773" i="1"/>
  <c r="AH774" i="1" a="1"/>
  <c r="AH774" i="1" s="1"/>
  <c r="AH775" i="1" a="1"/>
  <c r="AH775" i="1" s="1"/>
  <c r="AH776" i="1" a="1"/>
  <c r="AH776" i="1"/>
  <c r="AH777" i="1" a="1"/>
  <c r="AH777" i="1"/>
  <c r="AH778" i="1" a="1"/>
  <c r="AH778" i="1" s="1"/>
  <c r="AH779" i="1" a="1"/>
  <c r="AH779" i="1" s="1"/>
  <c r="AH780" i="1" a="1"/>
  <c r="AH780" i="1"/>
  <c r="AH781" i="1" a="1"/>
  <c r="AH781" i="1"/>
  <c r="AH782" i="1" a="1"/>
  <c r="AH782" i="1" s="1"/>
  <c r="AH783" i="1" a="1"/>
  <c r="AH783" i="1" s="1"/>
  <c r="AH784" i="1" a="1"/>
  <c r="AH784" i="1"/>
  <c r="AH785" i="1" a="1"/>
  <c r="AH785" i="1"/>
  <c r="AH786" i="1" a="1"/>
  <c r="AH786" i="1" s="1"/>
  <c r="AH787" i="1" a="1"/>
  <c r="AH787" i="1" s="1"/>
  <c r="AH788" i="1" a="1"/>
  <c r="AH788" i="1"/>
  <c r="AH789" i="1" a="1"/>
  <c r="AH789" i="1"/>
  <c r="AH790" i="1" a="1"/>
  <c r="AH790" i="1" s="1"/>
  <c r="AH791" i="1" a="1"/>
  <c r="AH791" i="1" s="1"/>
  <c r="AH792" i="1" a="1"/>
  <c r="AH792" i="1"/>
  <c r="AH793" i="1" a="1"/>
  <c r="AH793" i="1"/>
  <c r="AH794" i="1" a="1"/>
  <c r="AH794" i="1" s="1"/>
  <c r="AH795" i="1" a="1"/>
  <c r="AH795" i="1" s="1"/>
  <c r="AH796" i="1" a="1"/>
  <c r="AH796" i="1"/>
  <c r="AH797" i="1" a="1"/>
  <c r="AH797" i="1"/>
  <c r="AH798" i="1" a="1"/>
  <c r="AH798" i="1" s="1"/>
  <c r="AH799" i="1" a="1"/>
  <c r="AH799" i="1" s="1"/>
  <c r="AH800" i="1" a="1"/>
  <c r="AH800" i="1"/>
  <c r="AH801" i="1" a="1"/>
  <c r="AH801" i="1"/>
  <c r="AH802" i="1" a="1"/>
  <c r="AH802" i="1" s="1"/>
  <c r="AH803" i="1" a="1"/>
  <c r="AH803" i="1" s="1"/>
  <c r="AH804" i="1" a="1"/>
  <c r="AH804" i="1"/>
  <c r="AH805" i="1" a="1"/>
  <c r="AH805" i="1"/>
  <c r="AH806" i="1" a="1"/>
  <c r="AH806" i="1" s="1"/>
  <c r="AH807" i="1" a="1"/>
  <c r="AH807" i="1" s="1"/>
  <c r="AH808" i="1" a="1"/>
  <c r="AH808" i="1"/>
  <c r="AH809" i="1" a="1"/>
  <c r="AH809" i="1"/>
  <c r="AH810" i="1" a="1"/>
  <c r="AH810" i="1" s="1"/>
  <c r="AH811" i="1" a="1"/>
  <c r="AH811" i="1" s="1"/>
  <c r="AH812" i="1" a="1"/>
  <c r="AH812" i="1"/>
  <c r="AH813" i="1" a="1"/>
  <c r="AH813" i="1"/>
  <c r="AH814" i="1" a="1"/>
  <c r="AH814" i="1" s="1"/>
  <c r="AH815" i="1" a="1"/>
  <c r="AH815" i="1" s="1"/>
  <c r="AH816" i="1" a="1"/>
  <c r="AH816" i="1"/>
  <c r="AH817" i="1" a="1"/>
  <c r="AH817" i="1"/>
  <c r="AH818" i="1" a="1"/>
  <c r="AH818" i="1" s="1"/>
  <c r="AH819" i="1" a="1"/>
  <c r="AH819" i="1" s="1"/>
  <c r="AH820" i="1" a="1"/>
  <c r="AH820" i="1"/>
  <c r="AH821" i="1" a="1"/>
  <c r="AH821" i="1"/>
  <c r="AH822" i="1" a="1"/>
  <c r="AH822" i="1" s="1"/>
  <c r="AH823" i="1" a="1"/>
  <c r="AH823" i="1" s="1"/>
  <c r="AH824" i="1" a="1"/>
  <c r="AH824" i="1"/>
  <c r="AH825" i="1" a="1"/>
  <c r="AH825" i="1"/>
  <c r="AH826" i="1" a="1"/>
  <c r="AH826" i="1" s="1"/>
  <c r="AH827" i="1" a="1"/>
  <c r="AH827" i="1" s="1"/>
  <c r="AH828" i="1" a="1"/>
  <c r="AH828" i="1"/>
  <c r="AH829" i="1" a="1"/>
  <c r="AH829" i="1"/>
  <c r="AH830" i="1" a="1"/>
  <c r="AH830" i="1" s="1"/>
  <c r="AH831" i="1" a="1"/>
  <c r="AH831" i="1" s="1"/>
  <c r="AH832" i="1" a="1"/>
  <c r="AH832" i="1"/>
  <c r="AH833" i="1" a="1"/>
  <c r="AH833" i="1"/>
  <c r="AH834" i="1" a="1"/>
  <c r="AH834" i="1" s="1"/>
  <c r="AH835" i="1" a="1"/>
  <c r="AH835" i="1" s="1"/>
  <c r="AH836" i="1" a="1"/>
  <c r="AH836" i="1"/>
  <c r="AH837" i="1" a="1"/>
  <c r="AH837" i="1"/>
  <c r="AH838" i="1" a="1"/>
  <c r="AH838" i="1" s="1"/>
  <c r="AH839" i="1" a="1"/>
  <c r="AH839" i="1" s="1"/>
  <c r="AH840" i="1" a="1"/>
  <c r="AH840" i="1"/>
  <c r="AH841" i="1" a="1"/>
  <c r="AH841" i="1"/>
  <c r="AH842" i="1" a="1"/>
  <c r="AH842" i="1" s="1"/>
  <c r="AH843" i="1" a="1"/>
  <c r="AH843" i="1" s="1"/>
  <c r="AH844" i="1" a="1"/>
  <c r="AH844" i="1"/>
  <c r="AH845" i="1" a="1"/>
  <c r="AH845" i="1"/>
  <c r="AH846" i="1" a="1"/>
  <c r="AH846" i="1" s="1"/>
  <c r="AH847" i="1" a="1"/>
  <c r="AH847" i="1" s="1"/>
  <c r="AH848" i="1" a="1"/>
  <c r="AH848" i="1"/>
  <c r="AH849" i="1" a="1"/>
  <c r="AH849" i="1"/>
  <c r="AH850" i="1" a="1"/>
  <c r="AH850" i="1" s="1"/>
  <c r="AH851" i="1" a="1"/>
  <c r="AH851" i="1" s="1"/>
  <c r="AH852" i="1" a="1"/>
  <c r="AH852" i="1"/>
  <c r="AH853" i="1" a="1"/>
  <c r="AH853" i="1"/>
  <c r="AH854" i="1" a="1"/>
  <c r="AH854" i="1" s="1"/>
  <c r="AH855" i="1" a="1"/>
  <c r="AH855" i="1" s="1"/>
  <c r="AH856" i="1" a="1"/>
  <c r="AH856" i="1"/>
  <c r="AH857" i="1" a="1"/>
  <c r="AH857" i="1"/>
  <c r="AH858" i="1" a="1"/>
  <c r="AH858" i="1" s="1"/>
  <c r="AH859" i="1" a="1"/>
  <c r="AH859" i="1" s="1"/>
  <c r="AH860" i="1" a="1"/>
  <c r="AH860" i="1"/>
  <c r="AH861" i="1" a="1"/>
  <c r="AH861" i="1"/>
  <c r="AH862" i="1" a="1"/>
  <c r="AH862" i="1" s="1"/>
  <c r="AH863" i="1" a="1"/>
  <c r="AH863" i="1" s="1"/>
  <c r="AH864" i="1" a="1"/>
  <c r="AH864" i="1"/>
  <c r="AH865" i="1" a="1"/>
  <c r="AH865" i="1"/>
  <c r="AH866" i="1" a="1"/>
  <c r="AH866" i="1" s="1"/>
  <c r="AH867" i="1" a="1"/>
  <c r="AH867" i="1" s="1"/>
  <c r="AH868" i="1" a="1"/>
  <c r="AH868" i="1"/>
  <c r="AH869" i="1" a="1"/>
  <c r="AH869" i="1"/>
  <c r="AH870" i="1" a="1"/>
  <c r="AH870" i="1" s="1"/>
  <c r="AH871" i="1" a="1"/>
  <c r="AH871" i="1" s="1"/>
  <c r="AH872" i="1" a="1"/>
  <c r="AH872" i="1" s="1"/>
  <c r="AH873" i="1" a="1"/>
  <c r="AH873" i="1"/>
  <c r="AH874" i="1" a="1"/>
  <c r="AH874" i="1" s="1"/>
  <c r="AH875" i="1" a="1"/>
  <c r="AH875" i="1" s="1"/>
  <c r="AH876" i="1" a="1"/>
  <c r="AH876" i="1" s="1"/>
  <c r="AH877" i="1" a="1"/>
  <c r="AH877" i="1"/>
  <c r="AH878" i="1" a="1"/>
  <c r="AH878" i="1" s="1"/>
  <c r="AH879" i="1" a="1"/>
  <c r="AH879" i="1" s="1"/>
  <c r="AH880" i="1" a="1"/>
  <c r="AH880" i="1" s="1"/>
  <c r="AH881" i="1" a="1"/>
  <c r="AH881" i="1"/>
  <c r="AH882" i="1" a="1"/>
  <c r="AH882" i="1" s="1"/>
  <c r="AH883" i="1" a="1"/>
  <c r="AH883" i="1" s="1"/>
  <c r="AH884" i="1" a="1"/>
  <c r="AH884" i="1" s="1"/>
  <c r="AH885" i="1" a="1"/>
  <c r="AH885" i="1"/>
  <c r="AH886" i="1" a="1"/>
  <c r="AH886" i="1" s="1"/>
  <c r="AH887" i="1" a="1"/>
  <c r="AH887" i="1" s="1"/>
  <c r="AH888" i="1" a="1"/>
  <c r="AH888" i="1" s="1"/>
  <c r="AH889" i="1" a="1"/>
  <c r="AH889" i="1"/>
  <c r="AH890" i="1" a="1"/>
  <c r="AH890" i="1" s="1"/>
  <c r="AH891" i="1" a="1"/>
  <c r="AH891" i="1" s="1"/>
  <c r="AH892" i="1" a="1"/>
  <c r="AH892" i="1" s="1"/>
  <c r="AH893" i="1" a="1"/>
  <c r="AH893" i="1"/>
  <c r="AH894" i="1" a="1"/>
  <c r="AH894" i="1" s="1"/>
  <c r="AH895" i="1" a="1"/>
  <c r="AH895" i="1" s="1"/>
  <c r="AH896" i="1" a="1"/>
  <c r="AH896" i="1" s="1"/>
  <c r="AH897" i="1" a="1"/>
  <c r="AH897" i="1"/>
  <c r="AH898" i="1" a="1"/>
  <c r="AH898" i="1" s="1"/>
  <c r="AH899" i="1" a="1"/>
  <c r="AH899" i="1" s="1"/>
  <c r="AH900" i="1" a="1"/>
  <c r="AH900" i="1" s="1"/>
  <c r="AH901" i="1" a="1"/>
  <c r="AH901" i="1"/>
  <c r="AH902" i="1" a="1"/>
  <c r="AH902" i="1" s="1"/>
  <c r="AH903" i="1" a="1"/>
  <c r="AH903" i="1" s="1"/>
  <c r="AH904" i="1" a="1"/>
  <c r="AH904" i="1" s="1"/>
  <c r="AH905" i="1" a="1"/>
  <c r="AH905" i="1"/>
  <c r="AH906" i="1" a="1"/>
  <c r="AH906" i="1" s="1"/>
  <c r="AH907" i="1" a="1"/>
  <c r="AH907" i="1" s="1"/>
  <c r="AH908" i="1" a="1"/>
  <c r="AH908" i="1" s="1"/>
  <c r="AH909" i="1" a="1"/>
  <c r="AH909" i="1"/>
  <c r="AH910" i="1" a="1"/>
  <c r="AH910" i="1" s="1"/>
  <c r="AH911" i="1" a="1"/>
  <c r="AH911" i="1" s="1"/>
  <c r="AH912" i="1" a="1"/>
  <c r="AH912" i="1" s="1"/>
  <c r="AH913" i="1" a="1"/>
  <c r="AH913" i="1"/>
  <c r="AH914" i="1" a="1"/>
  <c r="AH914" i="1" s="1"/>
  <c r="AH915" i="1" a="1"/>
  <c r="AH915" i="1" s="1"/>
  <c r="AH916" i="1" a="1"/>
  <c r="AH916" i="1" s="1"/>
  <c r="AH917" i="1" a="1"/>
  <c r="AH917" i="1"/>
  <c r="AH918" i="1" a="1"/>
  <c r="AH918" i="1" s="1"/>
  <c r="AH919" i="1" a="1"/>
  <c r="AH919" i="1" s="1"/>
  <c r="AH920" i="1" a="1"/>
  <c r="AH920" i="1" s="1"/>
  <c r="AH921" i="1" a="1"/>
  <c r="AH921" i="1"/>
  <c r="AH922" i="1" a="1"/>
  <c r="AH922" i="1" s="1"/>
  <c r="AH923" i="1" a="1"/>
  <c r="AH923" i="1" s="1"/>
  <c r="AH924" i="1" a="1"/>
  <c r="AH924" i="1" s="1"/>
  <c r="AH925" i="1" a="1"/>
  <c r="AH925" i="1"/>
  <c r="AH926" i="1" a="1"/>
  <c r="AH926" i="1" s="1"/>
  <c r="AH927" i="1" a="1"/>
  <c r="AH927" i="1" s="1"/>
  <c r="AH928" i="1" a="1"/>
  <c r="AH928" i="1" s="1"/>
  <c r="AH929" i="1" a="1"/>
  <c r="AH929" i="1"/>
  <c r="AH930" i="1" a="1"/>
  <c r="AH930" i="1" s="1"/>
  <c r="AH931" i="1" a="1"/>
  <c r="AH931" i="1" s="1"/>
  <c r="AH932" i="1" a="1"/>
  <c r="AH932" i="1" s="1"/>
  <c r="AH933" i="1" a="1"/>
  <c r="AH933" i="1"/>
  <c r="AH934" i="1" a="1"/>
  <c r="AH934" i="1" s="1"/>
  <c r="AH935" i="1" a="1"/>
  <c r="AH935" i="1" s="1"/>
  <c r="AH936" i="1" a="1"/>
  <c r="AH936" i="1" s="1"/>
  <c r="AH937" i="1" a="1"/>
  <c r="AH937" i="1"/>
  <c r="AH938" i="1" a="1"/>
  <c r="AH938" i="1" s="1"/>
  <c r="AH939" i="1" a="1"/>
  <c r="AH939" i="1" s="1"/>
  <c r="AH940" i="1" a="1"/>
  <c r="AH940" i="1" s="1"/>
  <c r="AH941" i="1" a="1"/>
  <c r="AH941" i="1"/>
  <c r="AH942" i="1" a="1"/>
  <c r="AH942" i="1" s="1"/>
  <c r="AH943" i="1" a="1"/>
  <c r="AH943" i="1" s="1"/>
  <c r="AH944" i="1" a="1"/>
  <c r="AH944" i="1" s="1"/>
  <c r="AH945" i="1" a="1"/>
  <c r="AH945" i="1"/>
  <c r="AH946" i="1" a="1"/>
  <c r="AH946" i="1" s="1"/>
  <c r="AH947" i="1" a="1"/>
  <c r="AH947" i="1" s="1"/>
  <c r="AH948" i="1" a="1"/>
  <c r="AH948" i="1" s="1"/>
  <c r="AH949" i="1" a="1"/>
  <c r="AH949" i="1"/>
  <c r="AH950" i="1" a="1"/>
  <c r="AH950" i="1" s="1"/>
  <c r="AH951" i="1" a="1"/>
  <c r="AH951" i="1" s="1"/>
  <c r="AH952" i="1" a="1"/>
  <c r="AH952" i="1" s="1"/>
  <c r="AH953" i="1" a="1"/>
  <c r="AH953" i="1"/>
  <c r="AH954" i="1" a="1"/>
  <c r="AH954" i="1" s="1"/>
  <c r="AH955" i="1" a="1"/>
  <c r="AH955" i="1" s="1"/>
  <c r="AH956" i="1" a="1"/>
  <c r="AH956" i="1" s="1"/>
  <c r="AH957" i="1" a="1"/>
  <c r="AH957" i="1"/>
  <c r="AH958" i="1" a="1"/>
  <c r="AH958" i="1" s="1"/>
  <c r="AH959" i="1" a="1"/>
  <c r="AH959" i="1" s="1"/>
  <c r="AH960" i="1" a="1"/>
  <c r="AH960" i="1" s="1"/>
  <c r="AH961" i="1" a="1"/>
  <c r="AH961" i="1"/>
  <c r="AH962" i="1" a="1"/>
  <c r="AH962" i="1" s="1"/>
  <c r="AH963" i="1" a="1"/>
  <c r="AH963" i="1" s="1"/>
  <c r="AH964" i="1" a="1"/>
  <c r="AH964" i="1" s="1"/>
  <c r="AH965" i="1" a="1"/>
  <c r="AH965" i="1"/>
  <c r="AH966" i="1" a="1"/>
  <c r="AH966" i="1" s="1"/>
  <c r="AH967" i="1" a="1"/>
  <c r="AH967" i="1" s="1"/>
  <c r="AH968" i="1" a="1"/>
  <c r="AH968" i="1" s="1"/>
  <c r="AH969" i="1" a="1"/>
  <c r="AH969" i="1"/>
  <c r="AH970" i="1" a="1"/>
  <c r="AH970" i="1" s="1"/>
  <c r="AH971" i="1" a="1"/>
  <c r="AH971" i="1" s="1"/>
  <c r="AH972" i="1" a="1"/>
  <c r="AH972" i="1" s="1"/>
  <c r="AH973" i="1" a="1"/>
  <c r="AH973" i="1"/>
  <c r="AH974" i="1" a="1"/>
  <c r="AH974" i="1" s="1"/>
  <c r="AH975" i="1" a="1"/>
  <c r="AH975" i="1" s="1"/>
  <c r="AH976" i="1" a="1"/>
  <c r="AH976" i="1" s="1"/>
  <c r="AH977" i="1" a="1"/>
  <c r="AH977" i="1"/>
  <c r="AH978" i="1" a="1"/>
  <c r="AH978" i="1" s="1"/>
  <c r="AH979" i="1" a="1"/>
  <c r="AH979" i="1" s="1"/>
  <c r="AH980" i="1" a="1"/>
  <c r="AH980" i="1" s="1"/>
  <c r="AH981" i="1" a="1"/>
  <c r="AH981" i="1"/>
  <c r="AH982" i="1" a="1"/>
  <c r="AH982" i="1" s="1"/>
  <c r="AH983" i="1" a="1"/>
  <c r="AH983" i="1" s="1"/>
  <c r="AH984" i="1" a="1"/>
  <c r="AH984" i="1" s="1"/>
  <c r="AH985" i="1" a="1"/>
  <c r="AH985" i="1"/>
  <c r="AH986" i="1" a="1"/>
  <c r="AH986" i="1" s="1"/>
  <c r="AH987" i="1" a="1"/>
  <c r="AH987" i="1" s="1"/>
  <c r="AH988" i="1" a="1"/>
  <c r="AH988" i="1" s="1"/>
  <c r="AH989" i="1" a="1"/>
  <c r="AH989" i="1"/>
  <c r="AH990" i="1" a="1"/>
  <c r="AH990" i="1" s="1"/>
  <c r="AH991" i="1" a="1"/>
  <c r="AH991" i="1" s="1"/>
  <c r="AH992" i="1" a="1"/>
  <c r="AH992" i="1" s="1"/>
  <c r="AH993" i="1" a="1"/>
  <c r="AH993" i="1"/>
  <c r="AH994" i="1" a="1"/>
  <c r="AH994" i="1" s="1"/>
  <c r="AH995" i="1" a="1"/>
  <c r="AH995" i="1" s="1"/>
  <c r="AH996" i="1" a="1"/>
  <c r="AH996" i="1" s="1"/>
  <c r="AH997" i="1" a="1"/>
  <c r="AH997" i="1"/>
  <c r="AH998" i="1" a="1"/>
  <c r="AH998" i="1" s="1"/>
  <c r="AH999" i="1" a="1"/>
  <c r="AH999" i="1" s="1"/>
  <c r="AH1000" i="1" a="1"/>
  <c r="AH1000" i="1" s="1"/>
  <c r="AH1001" i="1" a="1"/>
  <c r="AH1001" i="1"/>
  <c r="AH2" i="1" a="1"/>
  <c r="AH2" i="1" s="1"/>
  <c r="E16" i="2"/>
  <c r="E15" i="2"/>
  <c r="E14" i="2"/>
  <c r="E13" i="2"/>
  <c r="E12" i="2"/>
  <c r="D16" i="2"/>
  <c r="D15" i="2"/>
  <c r="D14" i="2"/>
  <c r="D13" i="2"/>
  <c r="D12" i="2"/>
  <c r="C16" i="2"/>
  <c r="C15" i="2"/>
  <c r="C14" i="2"/>
  <c r="C13" i="2"/>
  <c r="C12" i="2"/>
  <c r="B16" i="2"/>
  <c r="B15" i="2"/>
  <c r="B14" i="2"/>
  <c r="B13" i="2"/>
  <c r="B12" i="2"/>
  <c r="B9" i="2"/>
  <c r="B8" i="2"/>
  <c r="B7" i="2"/>
  <c r="B5" i="2"/>
  <c r="AG6" i="1"/>
  <c r="AI6" i="1" s="1" a="1"/>
  <c r="AI6" i="1" s="1"/>
  <c r="AG7" i="1"/>
  <c r="AI7" i="1" s="1" a="1"/>
  <c r="AI7" i="1" s="1"/>
  <c r="AG8" i="1"/>
  <c r="AI8" i="1" s="1" a="1"/>
  <c r="AI8" i="1" s="1"/>
  <c r="AG9" i="1"/>
  <c r="AI9" i="1" s="1" a="1"/>
  <c r="AI9" i="1" s="1"/>
  <c r="AG10" i="1"/>
  <c r="AI10" i="1" s="1" a="1"/>
  <c r="AI10" i="1" s="1"/>
  <c r="AG11" i="1"/>
  <c r="AI11" i="1" s="1" a="1"/>
  <c r="AI11" i="1" s="1"/>
  <c r="AG12" i="1"/>
  <c r="AI12" i="1" s="1" a="1"/>
  <c r="AI12" i="1" s="1"/>
  <c r="AG13" i="1"/>
  <c r="AI13" i="1" s="1" a="1"/>
  <c r="AI13" i="1" s="1"/>
  <c r="AG14" i="1"/>
  <c r="AI14" i="1" s="1" a="1"/>
  <c r="AI14" i="1" s="1"/>
  <c r="AG15" i="1"/>
  <c r="AI15" i="1" s="1" a="1"/>
  <c r="AI15" i="1" s="1"/>
  <c r="AG16" i="1"/>
  <c r="AI16" i="1" s="1" a="1"/>
  <c r="AI16" i="1" s="1"/>
  <c r="AG17" i="1"/>
  <c r="AI17" i="1" s="1" a="1"/>
  <c r="AI17" i="1" s="1"/>
  <c r="AG18" i="1"/>
  <c r="AI18" i="1" s="1" a="1"/>
  <c r="AI18" i="1" s="1"/>
  <c r="AG19" i="1"/>
  <c r="AI19" i="1" s="1" a="1"/>
  <c r="AI19" i="1" s="1"/>
  <c r="AG20" i="1"/>
  <c r="AI20" i="1" s="1" a="1"/>
  <c r="AI20" i="1" s="1"/>
  <c r="AG21" i="1"/>
  <c r="AI21" i="1" s="1" a="1"/>
  <c r="AI21" i="1" s="1"/>
  <c r="AG22" i="1"/>
  <c r="AI22" i="1" s="1" a="1"/>
  <c r="AI22" i="1" s="1"/>
  <c r="AG23" i="1"/>
  <c r="AI23" i="1" s="1" a="1"/>
  <c r="AI23" i="1" s="1"/>
  <c r="AG24" i="1"/>
  <c r="AI24" i="1" s="1" a="1"/>
  <c r="AI24" i="1" s="1"/>
  <c r="AG25" i="1"/>
  <c r="AI25" i="1" s="1" a="1"/>
  <c r="AI25" i="1" s="1"/>
  <c r="AG26" i="1"/>
  <c r="AI26" i="1" s="1" a="1"/>
  <c r="AI26" i="1" s="1"/>
  <c r="AG27" i="1"/>
  <c r="AI27" i="1" s="1" a="1"/>
  <c r="AI27" i="1" s="1"/>
  <c r="AG28" i="1"/>
  <c r="AI28" i="1" s="1" a="1"/>
  <c r="AI28" i="1" s="1"/>
  <c r="AG29" i="1"/>
  <c r="AI29" i="1" s="1" a="1"/>
  <c r="AI29" i="1" s="1"/>
  <c r="AG30" i="1"/>
  <c r="AI30" i="1" s="1" a="1"/>
  <c r="AI30" i="1" s="1"/>
  <c r="AG31" i="1"/>
  <c r="AI31" i="1" s="1" a="1"/>
  <c r="AI31" i="1" s="1"/>
  <c r="AG32" i="1"/>
  <c r="AI32" i="1" s="1" a="1"/>
  <c r="AI32" i="1" s="1"/>
  <c r="AG33" i="1"/>
  <c r="AI33" i="1" s="1" a="1"/>
  <c r="AI33" i="1" s="1"/>
  <c r="AG34" i="1"/>
  <c r="AI34" i="1" s="1" a="1"/>
  <c r="AI34" i="1" s="1"/>
  <c r="AG35" i="1"/>
  <c r="AI35" i="1" s="1" a="1"/>
  <c r="AI35" i="1" s="1"/>
  <c r="AG36" i="1"/>
  <c r="AI36" i="1" s="1" a="1"/>
  <c r="AI36" i="1" s="1"/>
  <c r="AG37" i="1"/>
  <c r="AI37" i="1" s="1" a="1"/>
  <c r="AI37" i="1" s="1"/>
  <c r="AG38" i="1"/>
  <c r="AI38" i="1" s="1" a="1"/>
  <c r="AI38" i="1" s="1"/>
  <c r="AG39" i="1"/>
  <c r="AI39" i="1" s="1" a="1"/>
  <c r="AI39" i="1" s="1"/>
  <c r="AG40" i="1"/>
  <c r="AI40" i="1" s="1" a="1"/>
  <c r="AI40" i="1" s="1"/>
  <c r="AG41" i="1"/>
  <c r="AI41" i="1" s="1" a="1"/>
  <c r="AI41" i="1" s="1"/>
  <c r="AG42" i="1"/>
  <c r="AI42" i="1" s="1" a="1"/>
  <c r="AI42" i="1" s="1"/>
  <c r="AG43" i="1"/>
  <c r="AI43" i="1" s="1" a="1"/>
  <c r="AI43" i="1" s="1"/>
  <c r="AG44" i="1"/>
  <c r="AI44" i="1" s="1" a="1"/>
  <c r="AI44" i="1" s="1"/>
  <c r="AG45" i="1"/>
  <c r="AI45" i="1" s="1" a="1"/>
  <c r="AI45" i="1" s="1"/>
  <c r="AG46" i="1"/>
  <c r="AI46" i="1" s="1" a="1"/>
  <c r="AI46" i="1" s="1"/>
  <c r="AG47" i="1"/>
  <c r="AI47" i="1" s="1" a="1"/>
  <c r="AI47" i="1" s="1"/>
  <c r="AG48" i="1"/>
  <c r="AI48" i="1" s="1" a="1"/>
  <c r="AI48" i="1" s="1"/>
  <c r="AG49" i="1"/>
  <c r="AI49" i="1" s="1" a="1"/>
  <c r="AI49" i="1" s="1"/>
  <c r="AG50" i="1"/>
  <c r="AI50" i="1" s="1" a="1"/>
  <c r="AI50" i="1" s="1"/>
  <c r="AG51" i="1"/>
  <c r="AI51" i="1" s="1" a="1"/>
  <c r="AI51" i="1" s="1"/>
  <c r="AG52" i="1"/>
  <c r="AI52" i="1" s="1" a="1"/>
  <c r="AI52" i="1" s="1"/>
  <c r="AG53" i="1"/>
  <c r="AI53" i="1" s="1" a="1"/>
  <c r="AI53" i="1" s="1"/>
  <c r="AG54" i="1"/>
  <c r="AI54" i="1" s="1" a="1"/>
  <c r="AI54" i="1" s="1"/>
  <c r="AG55" i="1"/>
  <c r="AI55" i="1" s="1" a="1"/>
  <c r="AI55" i="1" s="1"/>
  <c r="AG56" i="1"/>
  <c r="AI56" i="1" s="1" a="1"/>
  <c r="AI56" i="1" s="1"/>
  <c r="AG57" i="1"/>
  <c r="AI57" i="1" s="1" a="1"/>
  <c r="AI57" i="1" s="1"/>
  <c r="AG58" i="1"/>
  <c r="AI58" i="1" s="1" a="1"/>
  <c r="AI58" i="1" s="1"/>
  <c r="AG59" i="1"/>
  <c r="AI59" i="1" s="1" a="1"/>
  <c r="AI59" i="1" s="1"/>
  <c r="AG60" i="1"/>
  <c r="AI60" i="1" s="1" a="1"/>
  <c r="AI60" i="1" s="1"/>
  <c r="AG61" i="1"/>
  <c r="AI61" i="1" s="1" a="1"/>
  <c r="AI61" i="1" s="1"/>
  <c r="AG62" i="1"/>
  <c r="AI62" i="1" s="1" a="1"/>
  <c r="AI62" i="1" s="1"/>
  <c r="AG63" i="1"/>
  <c r="AI63" i="1" s="1" a="1"/>
  <c r="AI63" i="1" s="1"/>
  <c r="AG64" i="1"/>
  <c r="AI64" i="1" s="1" a="1"/>
  <c r="AI64" i="1" s="1"/>
  <c r="AG65" i="1"/>
  <c r="AI65" i="1" s="1" a="1"/>
  <c r="AI65" i="1" s="1"/>
  <c r="AG66" i="1"/>
  <c r="AI66" i="1" s="1" a="1"/>
  <c r="AI66" i="1" s="1"/>
  <c r="AG67" i="1"/>
  <c r="AI67" i="1" s="1" a="1"/>
  <c r="AI67" i="1" s="1"/>
  <c r="AG68" i="1"/>
  <c r="AI68" i="1" s="1" a="1"/>
  <c r="AI68" i="1" s="1"/>
  <c r="AG69" i="1"/>
  <c r="AI69" i="1" s="1" a="1"/>
  <c r="AI69" i="1" s="1"/>
  <c r="AG70" i="1"/>
  <c r="AI70" i="1" s="1" a="1"/>
  <c r="AI70" i="1" s="1"/>
  <c r="AG71" i="1"/>
  <c r="AI71" i="1" s="1" a="1"/>
  <c r="AI71" i="1" s="1"/>
  <c r="AG72" i="1"/>
  <c r="AI72" i="1" s="1" a="1"/>
  <c r="AI72" i="1" s="1"/>
  <c r="AG73" i="1"/>
  <c r="AI73" i="1" s="1" a="1"/>
  <c r="AI73" i="1" s="1"/>
  <c r="AG74" i="1"/>
  <c r="AI74" i="1" s="1" a="1"/>
  <c r="AI74" i="1" s="1"/>
  <c r="AG75" i="1"/>
  <c r="AI75" i="1" s="1" a="1"/>
  <c r="AI75" i="1" s="1"/>
  <c r="AG76" i="1"/>
  <c r="AI76" i="1" s="1" a="1"/>
  <c r="AI76" i="1" s="1"/>
  <c r="AG77" i="1"/>
  <c r="AI77" i="1" s="1" a="1"/>
  <c r="AI77" i="1" s="1"/>
  <c r="AG78" i="1"/>
  <c r="AI78" i="1" s="1" a="1"/>
  <c r="AI78" i="1" s="1"/>
  <c r="AG79" i="1"/>
  <c r="AI79" i="1" s="1" a="1"/>
  <c r="AI79" i="1" s="1"/>
  <c r="AG80" i="1"/>
  <c r="AI80" i="1" s="1" a="1"/>
  <c r="AI80" i="1" s="1"/>
  <c r="AG81" i="1"/>
  <c r="AI81" i="1" s="1" a="1"/>
  <c r="AI81" i="1" s="1"/>
  <c r="AG82" i="1"/>
  <c r="AI82" i="1" s="1" a="1"/>
  <c r="AI82" i="1" s="1"/>
  <c r="AG83" i="1"/>
  <c r="AI83" i="1" s="1" a="1"/>
  <c r="AI83" i="1" s="1"/>
  <c r="AG84" i="1"/>
  <c r="AI84" i="1" s="1" a="1"/>
  <c r="AI84" i="1" s="1"/>
  <c r="AG85" i="1"/>
  <c r="AI85" i="1" s="1" a="1"/>
  <c r="AI85" i="1" s="1"/>
  <c r="AG86" i="1"/>
  <c r="AI86" i="1" s="1" a="1"/>
  <c r="AI86" i="1" s="1"/>
  <c r="AG87" i="1"/>
  <c r="AI87" i="1" s="1" a="1"/>
  <c r="AI87" i="1" s="1"/>
  <c r="AG88" i="1"/>
  <c r="AI88" i="1" s="1" a="1"/>
  <c r="AI88" i="1" s="1"/>
  <c r="AG89" i="1"/>
  <c r="AI89" i="1" s="1" a="1"/>
  <c r="AI89" i="1" s="1"/>
  <c r="AG90" i="1"/>
  <c r="AI90" i="1" s="1" a="1"/>
  <c r="AI90" i="1" s="1"/>
  <c r="AG91" i="1"/>
  <c r="AI91" i="1" s="1" a="1"/>
  <c r="AI91" i="1" s="1"/>
  <c r="AG92" i="1"/>
  <c r="AI92" i="1" s="1" a="1"/>
  <c r="AI92" i="1" s="1"/>
  <c r="AG93" i="1"/>
  <c r="AI93" i="1" s="1" a="1"/>
  <c r="AI93" i="1" s="1"/>
  <c r="AG94" i="1"/>
  <c r="AI94" i="1" s="1" a="1"/>
  <c r="AI94" i="1" s="1"/>
  <c r="AG95" i="1"/>
  <c r="AI95" i="1" s="1" a="1"/>
  <c r="AI95" i="1" s="1"/>
  <c r="AG96" i="1"/>
  <c r="AI96" i="1" s="1" a="1"/>
  <c r="AI96" i="1" s="1"/>
  <c r="AG97" i="1"/>
  <c r="AI97" i="1" s="1" a="1"/>
  <c r="AI97" i="1" s="1"/>
  <c r="AG98" i="1"/>
  <c r="AI98" i="1" s="1" a="1"/>
  <c r="AI98" i="1" s="1"/>
  <c r="AG99" i="1"/>
  <c r="AI99" i="1" s="1" a="1"/>
  <c r="AI99" i="1" s="1"/>
  <c r="AG100" i="1"/>
  <c r="AI100" i="1" s="1" a="1"/>
  <c r="AI100" i="1" s="1"/>
  <c r="AG101" i="1"/>
  <c r="AI101" i="1" s="1" a="1"/>
  <c r="AI101" i="1" s="1"/>
  <c r="AG102" i="1"/>
  <c r="AI102" i="1" s="1" a="1"/>
  <c r="AI102" i="1" s="1"/>
  <c r="AG103" i="1"/>
  <c r="AI103" i="1" s="1" a="1"/>
  <c r="AI103" i="1" s="1"/>
  <c r="AG104" i="1"/>
  <c r="AI104" i="1" s="1" a="1"/>
  <c r="AI104" i="1" s="1"/>
  <c r="AG105" i="1"/>
  <c r="AI105" i="1" s="1" a="1"/>
  <c r="AI105" i="1" s="1"/>
  <c r="AG106" i="1"/>
  <c r="AI106" i="1" s="1" a="1"/>
  <c r="AI106" i="1" s="1"/>
  <c r="AG107" i="1"/>
  <c r="AI107" i="1" s="1" a="1"/>
  <c r="AI107" i="1" s="1"/>
  <c r="AG108" i="1"/>
  <c r="AI108" i="1" s="1" a="1"/>
  <c r="AI108" i="1" s="1"/>
  <c r="AG109" i="1"/>
  <c r="AI109" i="1" s="1" a="1"/>
  <c r="AI109" i="1" s="1"/>
  <c r="AG110" i="1"/>
  <c r="AI110" i="1" s="1" a="1"/>
  <c r="AI110" i="1" s="1"/>
  <c r="AG111" i="1"/>
  <c r="AI111" i="1" s="1" a="1"/>
  <c r="AI111" i="1" s="1"/>
  <c r="AG112" i="1"/>
  <c r="AI112" i="1" s="1" a="1"/>
  <c r="AI112" i="1" s="1"/>
  <c r="AG113" i="1"/>
  <c r="AI113" i="1" s="1" a="1"/>
  <c r="AI113" i="1" s="1"/>
  <c r="AG114" i="1"/>
  <c r="AI114" i="1" s="1" a="1"/>
  <c r="AI114" i="1" s="1"/>
  <c r="AG115" i="1"/>
  <c r="AI115" i="1" s="1" a="1"/>
  <c r="AI115" i="1" s="1"/>
  <c r="AG116" i="1"/>
  <c r="AI116" i="1" s="1" a="1"/>
  <c r="AI116" i="1" s="1"/>
  <c r="AG117" i="1"/>
  <c r="AI117" i="1" s="1" a="1"/>
  <c r="AI117" i="1" s="1"/>
  <c r="AG118" i="1"/>
  <c r="AI118" i="1" s="1" a="1"/>
  <c r="AI118" i="1" s="1"/>
  <c r="AG119" i="1"/>
  <c r="AI119" i="1" s="1" a="1"/>
  <c r="AI119" i="1" s="1"/>
  <c r="AG120" i="1"/>
  <c r="AI120" i="1" s="1" a="1"/>
  <c r="AI120" i="1" s="1"/>
  <c r="AG121" i="1"/>
  <c r="AI121" i="1" s="1" a="1"/>
  <c r="AI121" i="1" s="1"/>
  <c r="AG122" i="1"/>
  <c r="AI122" i="1" s="1" a="1"/>
  <c r="AI122" i="1" s="1"/>
  <c r="AG123" i="1"/>
  <c r="AI123" i="1" s="1" a="1"/>
  <c r="AI123" i="1" s="1"/>
  <c r="AG124" i="1"/>
  <c r="AI124" i="1" s="1" a="1"/>
  <c r="AI124" i="1" s="1"/>
  <c r="AG125" i="1"/>
  <c r="AI125" i="1" s="1" a="1"/>
  <c r="AI125" i="1" s="1"/>
  <c r="AG126" i="1"/>
  <c r="AI126" i="1" s="1" a="1"/>
  <c r="AI126" i="1" s="1"/>
  <c r="AG127" i="1"/>
  <c r="AI127" i="1" s="1" a="1"/>
  <c r="AI127" i="1" s="1"/>
  <c r="AG128" i="1"/>
  <c r="AI128" i="1" s="1" a="1"/>
  <c r="AI128" i="1" s="1"/>
  <c r="AG129" i="1"/>
  <c r="AI129" i="1" s="1" a="1"/>
  <c r="AI129" i="1" s="1"/>
  <c r="AG130" i="1"/>
  <c r="AI130" i="1" s="1" a="1"/>
  <c r="AI130" i="1" s="1"/>
  <c r="AG131" i="1"/>
  <c r="AI131" i="1" s="1" a="1"/>
  <c r="AI131" i="1" s="1"/>
  <c r="AG132" i="1"/>
  <c r="AI132" i="1" s="1" a="1"/>
  <c r="AI132" i="1" s="1"/>
  <c r="AG133" i="1"/>
  <c r="AI133" i="1" s="1" a="1"/>
  <c r="AI133" i="1" s="1"/>
  <c r="AG134" i="1"/>
  <c r="AI134" i="1" s="1" a="1"/>
  <c r="AI134" i="1" s="1"/>
  <c r="AG135" i="1"/>
  <c r="AI135" i="1" s="1" a="1"/>
  <c r="AI135" i="1" s="1"/>
  <c r="AG136" i="1"/>
  <c r="AI136" i="1" s="1" a="1"/>
  <c r="AI136" i="1" s="1"/>
  <c r="AG137" i="1"/>
  <c r="AI137" i="1" s="1" a="1"/>
  <c r="AI137" i="1" s="1"/>
  <c r="AG138" i="1"/>
  <c r="AI138" i="1" s="1" a="1"/>
  <c r="AI138" i="1" s="1"/>
  <c r="AG139" i="1"/>
  <c r="AI139" i="1" s="1" a="1"/>
  <c r="AI139" i="1" s="1"/>
  <c r="AG140" i="1"/>
  <c r="AI140" i="1" s="1" a="1"/>
  <c r="AI140" i="1" s="1"/>
  <c r="AG141" i="1"/>
  <c r="AI141" i="1" s="1" a="1"/>
  <c r="AI141" i="1" s="1"/>
  <c r="AG142" i="1"/>
  <c r="AI142" i="1" s="1" a="1"/>
  <c r="AI142" i="1" s="1"/>
  <c r="AG143" i="1"/>
  <c r="AI143" i="1" s="1" a="1"/>
  <c r="AI143" i="1" s="1"/>
  <c r="AG144" i="1"/>
  <c r="AI144" i="1" s="1" a="1"/>
  <c r="AI144" i="1" s="1"/>
  <c r="AG145" i="1"/>
  <c r="AI145" i="1" s="1" a="1"/>
  <c r="AI145" i="1" s="1"/>
  <c r="AG146" i="1"/>
  <c r="AI146" i="1" s="1" a="1"/>
  <c r="AI146" i="1" s="1"/>
  <c r="AG147" i="1"/>
  <c r="AI147" i="1" s="1" a="1"/>
  <c r="AI147" i="1" s="1"/>
  <c r="AG148" i="1"/>
  <c r="AI148" i="1" s="1" a="1"/>
  <c r="AI148" i="1" s="1"/>
  <c r="AG149" i="1"/>
  <c r="AI149" i="1" s="1" a="1"/>
  <c r="AI149" i="1" s="1"/>
  <c r="AG150" i="1"/>
  <c r="AI150" i="1" s="1" a="1"/>
  <c r="AI150" i="1" s="1"/>
  <c r="AG151" i="1"/>
  <c r="AI151" i="1" s="1" a="1"/>
  <c r="AI151" i="1" s="1"/>
  <c r="AG152" i="1"/>
  <c r="AI152" i="1" s="1" a="1"/>
  <c r="AI152" i="1" s="1"/>
  <c r="AG153" i="1"/>
  <c r="AI153" i="1" s="1" a="1"/>
  <c r="AI153" i="1" s="1"/>
  <c r="AG154" i="1"/>
  <c r="AI154" i="1" s="1" a="1"/>
  <c r="AI154" i="1" s="1"/>
  <c r="AG155" i="1"/>
  <c r="AI155" i="1" s="1" a="1"/>
  <c r="AI155" i="1" s="1"/>
  <c r="AG156" i="1"/>
  <c r="AI156" i="1" s="1" a="1"/>
  <c r="AI156" i="1" s="1"/>
  <c r="AG157" i="1"/>
  <c r="AI157" i="1" s="1" a="1"/>
  <c r="AI157" i="1" s="1"/>
  <c r="AG158" i="1"/>
  <c r="AI158" i="1" s="1" a="1"/>
  <c r="AI158" i="1" s="1"/>
  <c r="AG159" i="1"/>
  <c r="AI159" i="1" s="1" a="1"/>
  <c r="AI159" i="1" s="1"/>
  <c r="AG160" i="1"/>
  <c r="AI160" i="1" s="1" a="1"/>
  <c r="AI160" i="1" s="1"/>
  <c r="AG161" i="1"/>
  <c r="AI161" i="1" s="1" a="1"/>
  <c r="AI161" i="1" s="1"/>
  <c r="AG162" i="1"/>
  <c r="AI162" i="1" s="1" a="1"/>
  <c r="AI162" i="1" s="1"/>
  <c r="AG163" i="1"/>
  <c r="AI163" i="1" s="1" a="1"/>
  <c r="AI163" i="1" s="1"/>
  <c r="AG164" i="1"/>
  <c r="AI164" i="1" s="1" a="1"/>
  <c r="AI164" i="1" s="1"/>
  <c r="AG165" i="1"/>
  <c r="AI165" i="1" s="1" a="1"/>
  <c r="AI165" i="1" s="1"/>
  <c r="AG166" i="1"/>
  <c r="AI166" i="1" s="1" a="1"/>
  <c r="AI166" i="1" s="1"/>
  <c r="AG167" i="1"/>
  <c r="AI167" i="1" s="1" a="1"/>
  <c r="AI167" i="1" s="1"/>
  <c r="AG168" i="1"/>
  <c r="AI168" i="1" s="1" a="1"/>
  <c r="AI168" i="1" s="1"/>
  <c r="AG169" i="1"/>
  <c r="AI169" i="1" s="1" a="1"/>
  <c r="AI169" i="1" s="1"/>
  <c r="AG170" i="1"/>
  <c r="AI170" i="1" s="1" a="1"/>
  <c r="AI170" i="1" s="1"/>
  <c r="AG171" i="1"/>
  <c r="AI171" i="1" s="1" a="1"/>
  <c r="AI171" i="1" s="1"/>
  <c r="AG172" i="1"/>
  <c r="AI172" i="1" s="1" a="1"/>
  <c r="AI172" i="1" s="1"/>
  <c r="AG173" i="1"/>
  <c r="AI173" i="1" s="1" a="1"/>
  <c r="AI173" i="1" s="1"/>
  <c r="AG174" i="1"/>
  <c r="AI174" i="1" s="1" a="1"/>
  <c r="AI174" i="1" s="1"/>
  <c r="AG175" i="1"/>
  <c r="AI175" i="1" s="1" a="1"/>
  <c r="AI175" i="1" s="1"/>
  <c r="AG176" i="1"/>
  <c r="AI176" i="1" s="1" a="1"/>
  <c r="AI176" i="1" s="1"/>
  <c r="AG177" i="1"/>
  <c r="AI177" i="1" s="1" a="1"/>
  <c r="AI177" i="1" s="1"/>
  <c r="AG178" i="1"/>
  <c r="AI178" i="1" s="1" a="1"/>
  <c r="AI178" i="1" s="1"/>
  <c r="AG179" i="1"/>
  <c r="AI179" i="1" s="1" a="1"/>
  <c r="AI179" i="1" s="1"/>
  <c r="AG180" i="1"/>
  <c r="AI180" i="1" s="1" a="1"/>
  <c r="AI180" i="1" s="1"/>
  <c r="AG181" i="1"/>
  <c r="AI181" i="1" s="1" a="1"/>
  <c r="AI181" i="1" s="1"/>
  <c r="AG182" i="1"/>
  <c r="AI182" i="1" s="1" a="1"/>
  <c r="AI182" i="1" s="1"/>
  <c r="AG183" i="1"/>
  <c r="AI183" i="1" s="1" a="1"/>
  <c r="AI183" i="1" s="1"/>
  <c r="AG184" i="1"/>
  <c r="AI184" i="1" s="1" a="1"/>
  <c r="AI184" i="1" s="1"/>
  <c r="AG185" i="1"/>
  <c r="AI185" i="1" s="1" a="1"/>
  <c r="AI185" i="1" s="1"/>
  <c r="AG186" i="1"/>
  <c r="AI186" i="1" s="1" a="1"/>
  <c r="AI186" i="1" s="1"/>
  <c r="AG187" i="1"/>
  <c r="AI187" i="1" s="1" a="1"/>
  <c r="AI187" i="1" s="1"/>
  <c r="AG188" i="1"/>
  <c r="AI188" i="1" s="1" a="1"/>
  <c r="AI188" i="1" s="1"/>
  <c r="AG189" i="1"/>
  <c r="AI189" i="1" s="1" a="1"/>
  <c r="AI189" i="1" s="1"/>
  <c r="AG190" i="1"/>
  <c r="AI190" i="1" s="1" a="1"/>
  <c r="AI190" i="1" s="1"/>
  <c r="AG191" i="1"/>
  <c r="AI191" i="1" s="1" a="1"/>
  <c r="AI191" i="1" s="1"/>
  <c r="AG192" i="1"/>
  <c r="AI192" i="1" s="1" a="1"/>
  <c r="AI192" i="1" s="1"/>
  <c r="AG193" i="1"/>
  <c r="AI193" i="1" s="1" a="1"/>
  <c r="AI193" i="1" s="1"/>
  <c r="AG194" i="1"/>
  <c r="AI194" i="1" s="1" a="1"/>
  <c r="AI194" i="1" s="1"/>
  <c r="AG195" i="1"/>
  <c r="AI195" i="1" s="1" a="1"/>
  <c r="AI195" i="1" s="1"/>
  <c r="AG196" i="1"/>
  <c r="AI196" i="1" s="1" a="1"/>
  <c r="AI196" i="1" s="1"/>
  <c r="AG197" i="1"/>
  <c r="AI197" i="1" s="1" a="1"/>
  <c r="AI197" i="1" s="1"/>
  <c r="AG198" i="1"/>
  <c r="AI198" i="1" s="1" a="1"/>
  <c r="AI198" i="1" s="1"/>
  <c r="AG199" i="1"/>
  <c r="AI199" i="1" s="1" a="1"/>
  <c r="AI199" i="1" s="1"/>
  <c r="AG200" i="1"/>
  <c r="AI200" i="1" s="1" a="1"/>
  <c r="AI200" i="1" s="1"/>
  <c r="AG201" i="1"/>
  <c r="AI201" i="1" s="1" a="1"/>
  <c r="AI201" i="1" s="1"/>
  <c r="AG202" i="1"/>
  <c r="AI202" i="1" s="1" a="1"/>
  <c r="AI202" i="1" s="1"/>
  <c r="AG203" i="1"/>
  <c r="AI203" i="1" s="1" a="1"/>
  <c r="AI203" i="1" s="1"/>
  <c r="AG204" i="1"/>
  <c r="AI204" i="1" s="1" a="1"/>
  <c r="AI204" i="1" s="1"/>
  <c r="AG205" i="1"/>
  <c r="AI205" i="1" s="1" a="1"/>
  <c r="AI205" i="1" s="1"/>
  <c r="AG206" i="1"/>
  <c r="AI206" i="1" s="1" a="1"/>
  <c r="AI206" i="1" s="1"/>
  <c r="AG207" i="1"/>
  <c r="AI207" i="1" s="1" a="1"/>
  <c r="AI207" i="1" s="1"/>
  <c r="AG208" i="1"/>
  <c r="AI208" i="1" s="1" a="1"/>
  <c r="AI208" i="1" s="1"/>
  <c r="AG209" i="1"/>
  <c r="AI209" i="1" s="1" a="1"/>
  <c r="AI209" i="1" s="1"/>
  <c r="AG210" i="1"/>
  <c r="AI210" i="1" s="1" a="1"/>
  <c r="AI210" i="1" s="1"/>
  <c r="AG211" i="1"/>
  <c r="AI211" i="1" s="1" a="1"/>
  <c r="AI211" i="1" s="1"/>
  <c r="AG212" i="1"/>
  <c r="AI212" i="1" s="1" a="1"/>
  <c r="AI212" i="1" s="1"/>
  <c r="AG213" i="1"/>
  <c r="AI213" i="1" s="1" a="1"/>
  <c r="AI213" i="1" s="1"/>
  <c r="AG214" i="1"/>
  <c r="AI214" i="1" s="1" a="1"/>
  <c r="AI214" i="1" s="1"/>
  <c r="AG215" i="1"/>
  <c r="AI215" i="1" s="1" a="1"/>
  <c r="AI215" i="1" s="1"/>
  <c r="AG216" i="1"/>
  <c r="AI216" i="1" s="1" a="1"/>
  <c r="AI216" i="1" s="1"/>
  <c r="AG217" i="1"/>
  <c r="AI217" i="1" s="1" a="1"/>
  <c r="AI217" i="1" s="1"/>
  <c r="AG218" i="1"/>
  <c r="AI218" i="1" s="1" a="1"/>
  <c r="AI218" i="1" s="1"/>
  <c r="AG219" i="1"/>
  <c r="AI219" i="1" s="1" a="1"/>
  <c r="AI219" i="1" s="1"/>
  <c r="AG220" i="1"/>
  <c r="AI220" i="1" s="1" a="1"/>
  <c r="AI220" i="1" s="1"/>
  <c r="AG221" i="1"/>
  <c r="AI221" i="1" s="1" a="1"/>
  <c r="AI221" i="1" s="1"/>
  <c r="AG222" i="1"/>
  <c r="AI222" i="1" s="1" a="1"/>
  <c r="AI222" i="1" s="1"/>
  <c r="AG223" i="1"/>
  <c r="AI223" i="1" s="1" a="1"/>
  <c r="AI223" i="1" s="1"/>
  <c r="AG224" i="1"/>
  <c r="AI224" i="1" s="1" a="1"/>
  <c r="AI224" i="1" s="1"/>
  <c r="AG225" i="1"/>
  <c r="AI225" i="1" s="1" a="1"/>
  <c r="AI225" i="1" s="1"/>
  <c r="AG226" i="1"/>
  <c r="AI226" i="1" s="1" a="1"/>
  <c r="AI226" i="1" s="1"/>
  <c r="AG227" i="1"/>
  <c r="AI227" i="1" s="1" a="1"/>
  <c r="AI227" i="1" s="1"/>
  <c r="AG228" i="1"/>
  <c r="AI228" i="1" s="1" a="1"/>
  <c r="AI228" i="1" s="1"/>
  <c r="AG229" i="1"/>
  <c r="AI229" i="1" s="1" a="1"/>
  <c r="AI229" i="1" s="1"/>
  <c r="AG230" i="1"/>
  <c r="AI230" i="1" s="1" a="1"/>
  <c r="AI230" i="1" s="1"/>
  <c r="AG231" i="1"/>
  <c r="AI231" i="1" s="1" a="1"/>
  <c r="AI231" i="1" s="1"/>
  <c r="AG232" i="1"/>
  <c r="AI232" i="1" s="1" a="1"/>
  <c r="AI232" i="1" s="1"/>
  <c r="AG233" i="1"/>
  <c r="AI233" i="1" s="1" a="1"/>
  <c r="AI233" i="1" s="1"/>
  <c r="AG234" i="1"/>
  <c r="AI234" i="1" s="1" a="1"/>
  <c r="AI234" i="1" s="1"/>
  <c r="AG235" i="1"/>
  <c r="AI235" i="1" s="1" a="1"/>
  <c r="AI235" i="1" s="1"/>
  <c r="AG236" i="1"/>
  <c r="AI236" i="1" s="1" a="1"/>
  <c r="AI236" i="1" s="1"/>
  <c r="AG237" i="1"/>
  <c r="AI237" i="1" s="1" a="1"/>
  <c r="AI237" i="1" s="1"/>
  <c r="AG238" i="1"/>
  <c r="AI238" i="1" s="1" a="1"/>
  <c r="AI238" i="1" s="1"/>
  <c r="AG239" i="1"/>
  <c r="AI239" i="1" s="1" a="1"/>
  <c r="AI239" i="1" s="1"/>
  <c r="AG240" i="1"/>
  <c r="AI240" i="1" s="1" a="1"/>
  <c r="AI240" i="1" s="1"/>
  <c r="AG241" i="1"/>
  <c r="AI241" i="1" s="1" a="1"/>
  <c r="AI241" i="1" s="1"/>
  <c r="AG242" i="1"/>
  <c r="AI242" i="1" s="1" a="1"/>
  <c r="AI242" i="1" s="1"/>
  <c r="AG243" i="1"/>
  <c r="AI243" i="1" s="1" a="1"/>
  <c r="AI243" i="1" s="1"/>
  <c r="AG244" i="1"/>
  <c r="AI244" i="1" s="1" a="1"/>
  <c r="AI244" i="1" s="1"/>
  <c r="AG245" i="1"/>
  <c r="AI245" i="1" s="1" a="1"/>
  <c r="AI245" i="1" s="1"/>
  <c r="AG246" i="1"/>
  <c r="AI246" i="1" s="1" a="1"/>
  <c r="AI246" i="1" s="1"/>
  <c r="AG247" i="1"/>
  <c r="AI247" i="1" s="1" a="1"/>
  <c r="AI247" i="1" s="1"/>
  <c r="AG248" i="1"/>
  <c r="AI248" i="1" s="1" a="1"/>
  <c r="AI248" i="1" s="1"/>
  <c r="AG249" i="1"/>
  <c r="AI249" i="1" s="1" a="1"/>
  <c r="AI249" i="1" s="1"/>
  <c r="AG250" i="1"/>
  <c r="AI250" i="1" s="1" a="1"/>
  <c r="AI250" i="1" s="1"/>
  <c r="AG251" i="1"/>
  <c r="AI251" i="1" s="1" a="1"/>
  <c r="AI251" i="1" s="1"/>
  <c r="AG252" i="1"/>
  <c r="AI252" i="1" s="1" a="1"/>
  <c r="AI252" i="1" s="1"/>
  <c r="AG253" i="1"/>
  <c r="AI253" i="1" s="1" a="1"/>
  <c r="AI253" i="1" s="1"/>
  <c r="AG254" i="1"/>
  <c r="AI254" i="1" s="1" a="1"/>
  <c r="AI254" i="1" s="1"/>
  <c r="AG255" i="1"/>
  <c r="AI255" i="1" s="1" a="1"/>
  <c r="AI255" i="1" s="1"/>
  <c r="AG256" i="1"/>
  <c r="AI256" i="1" s="1" a="1"/>
  <c r="AI256" i="1" s="1"/>
  <c r="AG257" i="1"/>
  <c r="AI257" i="1" s="1" a="1"/>
  <c r="AI257" i="1" s="1"/>
  <c r="AG258" i="1"/>
  <c r="AI258" i="1" s="1" a="1"/>
  <c r="AI258" i="1" s="1"/>
  <c r="AG259" i="1"/>
  <c r="AI259" i="1" s="1" a="1"/>
  <c r="AI259" i="1" s="1"/>
  <c r="AG260" i="1"/>
  <c r="AI260" i="1" s="1" a="1"/>
  <c r="AI260" i="1" s="1"/>
  <c r="AG261" i="1"/>
  <c r="AI261" i="1" s="1" a="1"/>
  <c r="AI261" i="1" s="1"/>
  <c r="AG262" i="1"/>
  <c r="AI262" i="1" s="1" a="1"/>
  <c r="AI262" i="1" s="1"/>
  <c r="AG263" i="1"/>
  <c r="AI263" i="1" s="1" a="1"/>
  <c r="AI263" i="1" s="1"/>
  <c r="AG264" i="1"/>
  <c r="AI264" i="1" s="1" a="1"/>
  <c r="AI264" i="1" s="1"/>
  <c r="AG265" i="1"/>
  <c r="AI265" i="1" s="1" a="1"/>
  <c r="AI265" i="1" s="1"/>
  <c r="AG266" i="1"/>
  <c r="AI266" i="1" s="1" a="1"/>
  <c r="AI266" i="1" s="1"/>
  <c r="AG267" i="1"/>
  <c r="AI267" i="1" s="1" a="1"/>
  <c r="AI267" i="1" s="1"/>
  <c r="AG268" i="1"/>
  <c r="AI268" i="1" s="1" a="1"/>
  <c r="AI268" i="1" s="1"/>
  <c r="AG269" i="1"/>
  <c r="AI269" i="1" s="1" a="1"/>
  <c r="AI269" i="1" s="1"/>
  <c r="AG270" i="1"/>
  <c r="AI270" i="1" s="1" a="1"/>
  <c r="AI270" i="1" s="1"/>
  <c r="AG271" i="1"/>
  <c r="AI271" i="1" s="1" a="1"/>
  <c r="AI271" i="1" s="1"/>
  <c r="AG272" i="1"/>
  <c r="AI272" i="1" s="1" a="1"/>
  <c r="AI272" i="1" s="1"/>
  <c r="AG273" i="1"/>
  <c r="AI273" i="1" s="1" a="1"/>
  <c r="AI273" i="1" s="1"/>
  <c r="AG274" i="1"/>
  <c r="AI274" i="1" s="1" a="1"/>
  <c r="AI274" i="1" s="1"/>
  <c r="AG275" i="1"/>
  <c r="AI275" i="1" s="1" a="1"/>
  <c r="AI275" i="1" s="1"/>
  <c r="AG276" i="1"/>
  <c r="AI276" i="1" s="1" a="1"/>
  <c r="AI276" i="1" s="1"/>
  <c r="AG277" i="1"/>
  <c r="AI277" i="1" s="1" a="1"/>
  <c r="AI277" i="1" s="1"/>
  <c r="AG278" i="1"/>
  <c r="AI278" i="1" s="1" a="1"/>
  <c r="AI278" i="1" s="1"/>
  <c r="AG279" i="1"/>
  <c r="AI279" i="1" s="1" a="1"/>
  <c r="AI279" i="1" s="1"/>
  <c r="AG280" i="1"/>
  <c r="AI280" i="1" s="1" a="1"/>
  <c r="AI280" i="1" s="1"/>
  <c r="AG281" i="1"/>
  <c r="AI281" i="1" s="1" a="1"/>
  <c r="AI281" i="1" s="1"/>
  <c r="AG282" i="1"/>
  <c r="AI282" i="1" s="1" a="1"/>
  <c r="AI282" i="1" s="1"/>
  <c r="AG283" i="1"/>
  <c r="AI283" i="1" s="1" a="1"/>
  <c r="AI283" i="1" s="1"/>
  <c r="AG284" i="1"/>
  <c r="AI284" i="1" s="1" a="1"/>
  <c r="AI284" i="1" s="1"/>
  <c r="AG285" i="1"/>
  <c r="AI285" i="1" s="1" a="1"/>
  <c r="AI285" i="1" s="1"/>
  <c r="AG286" i="1"/>
  <c r="AI286" i="1" s="1" a="1"/>
  <c r="AI286" i="1" s="1"/>
  <c r="AG287" i="1"/>
  <c r="AI287" i="1" s="1" a="1"/>
  <c r="AI287" i="1" s="1"/>
  <c r="AG288" i="1"/>
  <c r="AI288" i="1" s="1" a="1"/>
  <c r="AI288" i="1" s="1"/>
  <c r="AG289" i="1"/>
  <c r="AI289" i="1" s="1" a="1"/>
  <c r="AI289" i="1" s="1"/>
  <c r="AG290" i="1"/>
  <c r="AI290" i="1" s="1" a="1"/>
  <c r="AI290" i="1" s="1"/>
  <c r="AG291" i="1"/>
  <c r="AI291" i="1" s="1" a="1"/>
  <c r="AI291" i="1" s="1"/>
  <c r="AG292" i="1"/>
  <c r="AI292" i="1" s="1" a="1"/>
  <c r="AI292" i="1" s="1"/>
  <c r="AG293" i="1"/>
  <c r="AI293" i="1" s="1" a="1"/>
  <c r="AI293" i="1" s="1"/>
  <c r="AG294" i="1"/>
  <c r="AI294" i="1" s="1" a="1"/>
  <c r="AI294" i="1" s="1"/>
  <c r="AG295" i="1"/>
  <c r="AI295" i="1" s="1" a="1"/>
  <c r="AI295" i="1" s="1"/>
  <c r="AG296" i="1"/>
  <c r="AI296" i="1" s="1" a="1"/>
  <c r="AI296" i="1" s="1"/>
  <c r="AG297" i="1"/>
  <c r="AI297" i="1" s="1" a="1"/>
  <c r="AI297" i="1" s="1"/>
  <c r="AG298" i="1"/>
  <c r="AI298" i="1" s="1" a="1"/>
  <c r="AI298" i="1" s="1"/>
  <c r="AG299" i="1"/>
  <c r="AI299" i="1" s="1" a="1"/>
  <c r="AI299" i="1" s="1"/>
  <c r="AG300" i="1"/>
  <c r="AI300" i="1" s="1" a="1"/>
  <c r="AI300" i="1" s="1"/>
  <c r="AG301" i="1"/>
  <c r="AI301" i="1" s="1" a="1"/>
  <c r="AI301" i="1" s="1"/>
  <c r="AG302" i="1"/>
  <c r="AI302" i="1" s="1" a="1"/>
  <c r="AI302" i="1" s="1"/>
  <c r="AG303" i="1"/>
  <c r="AI303" i="1" s="1" a="1"/>
  <c r="AI303" i="1" s="1"/>
  <c r="AG304" i="1"/>
  <c r="AI304" i="1" s="1" a="1"/>
  <c r="AI304" i="1" s="1"/>
  <c r="AG305" i="1"/>
  <c r="AI305" i="1" s="1" a="1"/>
  <c r="AI305" i="1" s="1"/>
  <c r="AG306" i="1"/>
  <c r="AI306" i="1" s="1" a="1"/>
  <c r="AI306" i="1" s="1"/>
  <c r="AG307" i="1"/>
  <c r="AI307" i="1" s="1" a="1"/>
  <c r="AI307" i="1" s="1"/>
  <c r="AG308" i="1"/>
  <c r="AI308" i="1" s="1" a="1"/>
  <c r="AI308" i="1" s="1"/>
  <c r="AG309" i="1"/>
  <c r="AI309" i="1" s="1" a="1"/>
  <c r="AI309" i="1" s="1"/>
  <c r="AG310" i="1"/>
  <c r="AI310" i="1" s="1" a="1"/>
  <c r="AI310" i="1" s="1"/>
  <c r="AG311" i="1"/>
  <c r="AI311" i="1" s="1" a="1"/>
  <c r="AI311" i="1" s="1"/>
  <c r="AG312" i="1"/>
  <c r="AI312" i="1" s="1" a="1"/>
  <c r="AI312" i="1" s="1"/>
  <c r="AG313" i="1"/>
  <c r="AI313" i="1" s="1" a="1"/>
  <c r="AI313" i="1" s="1"/>
  <c r="AG314" i="1"/>
  <c r="AI314" i="1" s="1" a="1"/>
  <c r="AI314" i="1" s="1"/>
  <c r="AG315" i="1"/>
  <c r="AI315" i="1" s="1" a="1"/>
  <c r="AI315" i="1" s="1"/>
  <c r="AG316" i="1"/>
  <c r="AI316" i="1" s="1" a="1"/>
  <c r="AI316" i="1" s="1"/>
  <c r="AG317" i="1"/>
  <c r="AI317" i="1" s="1" a="1"/>
  <c r="AI317" i="1" s="1"/>
  <c r="AG318" i="1"/>
  <c r="AI318" i="1" s="1" a="1"/>
  <c r="AI318" i="1" s="1"/>
  <c r="AG319" i="1"/>
  <c r="AI319" i="1" s="1" a="1"/>
  <c r="AI319" i="1" s="1"/>
  <c r="AG320" i="1"/>
  <c r="AI320" i="1" s="1" a="1"/>
  <c r="AI320" i="1" s="1"/>
  <c r="AG321" i="1"/>
  <c r="AI321" i="1" s="1" a="1"/>
  <c r="AI321" i="1" s="1"/>
  <c r="AG322" i="1"/>
  <c r="AI322" i="1" s="1" a="1"/>
  <c r="AI322" i="1" s="1"/>
  <c r="AG323" i="1"/>
  <c r="AI323" i="1" s="1" a="1"/>
  <c r="AI323" i="1" s="1"/>
  <c r="AG324" i="1"/>
  <c r="AI324" i="1" s="1" a="1"/>
  <c r="AI324" i="1" s="1"/>
  <c r="AG325" i="1"/>
  <c r="AI325" i="1" s="1" a="1"/>
  <c r="AI325" i="1" s="1"/>
  <c r="AG326" i="1"/>
  <c r="AI326" i="1" s="1" a="1"/>
  <c r="AI326" i="1" s="1"/>
  <c r="AG327" i="1"/>
  <c r="AI327" i="1" s="1" a="1"/>
  <c r="AI327" i="1" s="1"/>
  <c r="AG328" i="1"/>
  <c r="AI328" i="1" s="1" a="1"/>
  <c r="AI328" i="1" s="1"/>
  <c r="AG329" i="1"/>
  <c r="AI329" i="1" s="1" a="1"/>
  <c r="AI329" i="1" s="1"/>
  <c r="AG330" i="1"/>
  <c r="AI330" i="1" s="1" a="1"/>
  <c r="AI330" i="1" s="1"/>
  <c r="AG331" i="1"/>
  <c r="AI331" i="1" s="1" a="1"/>
  <c r="AI331" i="1" s="1"/>
  <c r="AG332" i="1"/>
  <c r="AI332" i="1" s="1" a="1"/>
  <c r="AI332" i="1" s="1"/>
  <c r="AG333" i="1"/>
  <c r="AI333" i="1" s="1" a="1"/>
  <c r="AI333" i="1" s="1"/>
  <c r="AG334" i="1"/>
  <c r="AI334" i="1" s="1" a="1"/>
  <c r="AI334" i="1" s="1"/>
  <c r="AG335" i="1"/>
  <c r="AI335" i="1" s="1" a="1"/>
  <c r="AI335" i="1" s="1"/>
  <c r="AG336" i="1"/>
  <c r="AI336" i="1" s="1" a="1"/>
  <c r="AI336" i="1" s="1"/>
  <c r="AG337" i="1"/>
  <c r="AI337" i="1" s="1" a="1"/>
  <c r="AI337" i="1" s="1"/>
  <c r="AG338" i="1"/>
  <c r="AI338" i="1" s="1" a="1"/>
  <c r="AI338" i="1" s="1"/>
  <c r="AG339" i="1"/>
  <c r="AI339" i="1" s="1" a="1"/>
  <c r="AI339" i="1" s="1"/>
  <c r="AG340" i="1"/>
  <c r="AI340" i="1" s="1" a="1"/>
  <c r="AI340" i="1" s="1"/>
  <c r="AG341" i="1"/>
  <c r="AI341" i="1" s="1" a="1"/>
  <c r="AI341" i="1" s="1"/>
  <c r="AG342" i="1"/>
  <c r="AI342" i="1" s="1" a="1"/>
  <c r="AI342" i="1" s="1"/>
  <c r="AG343" i="1"/>
  <c r="AI343" i="1" s="1" a="1"/>
  <c r="AI343" i="1" s="1"/>
  <c r="AG344" i="1"/>
  <c r="AI344" i="1" s="1" a="1"/>
  <c r="AI344" i="1" s="1"/>
  <c r="AG345" i="1"/>
  <c r="AI345" i="1" s="1" a="1"/>
  <c r="AI345" i="1" s="1"/>
  <c r="AG346" i="1"/>
  <c r="AI346" i="1" s="1" a="1"/>
  <c r="AI346" i="1" s="1"/>
  <c r="AG347" i="1"/>
  <c r="AI347" i="1" s="1" a="1"/>
  <c r="AI347" i="1" s="1"/>
  <c r="AG348" i="1"/>
  <c r="AI348" i="1" s="1" a="1"/>
  <c r="AI348" i="1" s="1"/>
  <c r="AG349" i="1"/>
  <c r="AI349" i="1" s="1" a="1"/>
  <c r="AI349" i="1" s="1"/>
  <c r="AG350" i="1"/>
  <c r="AI350" i="1" s="1" a="1"/>
  <c r="AI350" i="1" s="1"/>
  <c r="AG351" i="1"/>
  <c r="AI351" i="1" s="1" a="1"/>
  <c r="AI351" i="1" s="1"/>
  <c r="AG352" i="1"/>
  <c r="AI352" i="1" s="1" a="1"/>
  <c r="AI352" i="1" s="1"/>
  <c r="AG353" i="1"/>
  <c r="AI353" i="1" s="1" a="1"/>
  <c r="AI353" i="1" s="1"/>
  <c r="AG354" i="1"/>
  <c r="AI354" i="1" s="1" a="1"/>
  <c r="AI354" i="1" s="1"/>
  <c r="AG355" i="1"/>
  <c r="AI355" i="1" s="1" a="1"/>
  <c r="AI355" i="1" s="1"/>
  <c r="AG356" i="1"/>
  <c r="AI356" i="1" s="1" a="1"/>
  <c r="AI356" i="1" s="1"/>
  <c r="AG357" i="1"/>
  <c r="AI357" i="1" s="1" a="1"/>
  <c r="AI357" i="1" s="1"/>
  <c r="AG358" i="1"/>
  <c r="AI358" i="1" s="1" a="1"/>
  <c r="AI358" i="1" s="1"/>
  <c r="AG359" i="1"/>
  <c r="AI359" i="1" s="1" a="1"/>
  <c r="AI359" i="1" s="1"/>
  <c r="AG360" i="1"/>
  <c r="AI360" i="1" s="1" a="1"/>
  <c r="AI360" i="1" s="1"/>
  <c r="AG361" i="1"/>
  <c r="AI361" i="1" s="1" a="1"/>
  <c r="AI361" i="1" s="1"/>
  <c r="AG362" i="1"/>
  <c r="AI362" i="1" s="1" a="1"/>
  <c r="AI362" i="1" s="1"/>
  <c r="AG363" i="1"/>
  <c r="AI363" i="1" s="1" a="1"/>
  <c r="AI363" i="1" s="1"/>
  <c r="AG364" i="1"/>
  <c r="AI364" i="1" s="1" a="1"/>
  <c r="AI364" i="1" s="1"/>
  <c r="AG365" i="1"/>
  <c r="AI365" i="1" s="1" a="1"/>
  <c r="AI365" i="1" s="1"/>
  <c r="AG366" i="1"/>
  <c r="AI366" i="1" s="1" a="1"/>
  <c r="AI366" i="1" s="1"/>
  <c r="AG367" i="1"/>
  <c r="AI367" i="1" s="1" a="1"/>
  <c r="AI367" i="1" s="1"/>
  <c r="AG368" i="1"/>
  <c r="AI368" i="1" s="1" a="1"/>
  <c r="AI368" i="1" s="1"/>
  <c r="AG369" i="1"/>
  <c r="AI369" i="1" s="1" a="1"/>
  <c r="AI369" i="1" s="1"/>
  <c r="AG370" i="1"/>
  <c r="AI370" i="1" s="1" a="1"/>
  <c r="AI370" i="1" s="1"/>
  <c r="AG371" i="1"/>
  <c r="AI371" i="1" s="1" a="1"/>
  <c r="AI371" i="1" s="1"/>
  <c r="AG372" i="1"/>
  <c r="AI372" i="1" s="1" a="1"/>
  <c r="AI372" i="1" s="1"/>
  <c r="AG373" i="1"/>
  <c r="AI373" i="1" s="1" a="1"/>
  <c r="AI373" i="1" s="1"/>
  <c r="AG374" i="1"/>
  <c r="AI374" i="1" s="1" a="1"/>
  <c r="AI374" i="1" s="1"/>
  <c r="AG375" i="1"/>
  <c r="AI375" i="1" s="1" a="1"/>
  <c r="AI375" i="1" s="1"/>
  <c r="AG376" i="1"/>
  <c r="AI376" i="1" s="1" a="1"/>
  <c r="AI376" i="1" s="1"/>
  <c r="AG377" i="1"/>
  <c r="AI377" i="1" s="1" a="1"/>
  <c r="AI377" i="1" s="1"/>
  <c r="AG378" i="1"/>
  <c r="AI378" i="1" s="1" a="1"/>
  <c r="AI378" i="1" s="1"/>
  <c r="AG379" i="1"/>
  <c r="AI379" i="1" s="1" a="1"/>
  <c r="AI379" i="1" s="1"/>
  <c r="AG380" i="1"/>
  <c r="AI380" i="1" s="1" a="1"/>
  <c r="AI380" i="1" s="1"/>
  <c r="AG381" i="1"/>
  <c r="AI381" i="1" s="1" a="1"/>
  <c r="AI381" i="1" s="1"/>
  <c r="AG382" i="1"/>
  <c r="AI382" i="1" s="1" a="1"/>
  <c r="AI382" i="1" s="1"/>
  <c r="AG383" i="1"/>
  <c r="AI383" i="1" s="1" a="1"/>
  <c r="AI383" i="1" s="1"/>
  <c r="AG384" i="1"/>
  <c r="AI384" i="1" s="1" a="1"/>
  <c r="AI384" i="1" s="1"/>
  <c r="AG385" i="1"/>
  <c r="AI385" i="1" s="1" a="1"/>
  <c r="AI385" i="1" s="1"/>
  <c r="AG386" i="1"/>
  <c r="AI386" i="1" s="1" a="1"/>
  <c r="AI386" i="1" s="1"/>
  <c r="AG387" i="1"/>
  <c r="AI387" i="1" s="1" a="1"/>
  <c r="AI387" i="1" s="1"/>
  <c r="AG388" i="1"/>
  <c r="AI388" i="1" s="1" a="1"/>
  <c r="AI388" i="1" s="1"/>
  <c r="AG389" i="1"/>
  <c r="AI389" i="1" s="1" a="1"/>
  <c r="AI389" i="1" s="1"/>
  <c r="AG390" i="1"/>
  <c r="AI390" i="1" s="1" a="1"/>
  <c r="AI390" i="1" s="1"/>
  <c r="AG391" i="1"/>
  <c r="AI391" i="1" s="1" a="1"/>
  <c r="AI391" i="1" s="1"/>
  <c r="AG392" i="1"/>
  <c r="AI392" i="1" s="1" a="1"/>
  <c r="AI392" i="1" s="1"/>
  <c r="AG393" i="1"/>
  <c r="AI393" i="1" s="1" a="1"/>
  <c r="AI393" i="1" s="1"/>
  <c r="AG394" i="1"/>
  <c r="AI394" i="1" s="1" a="1"/>
  <c r="AI394" i="1" s="1"/>
  <c r="AG395" i="1"/>
  <c r="AI395" i="1" s="1" a="1"/>
  <c r="AI395" i="1" s="1"/>
  <c r="AG396" i="1"/>
  <c r="AI396" i="1" s="1" a="1"/>
  <c r="AI396" i="1" s="1"/>
  <c r="AG397" i="1"/>
  <c r="AI397" i="1" s="1" a="1"/>
  <c r="AI397" i="1" s="1"/>
  <c r="AG398" i="1"/>
  <c r="AI398" i="1" s="1" a="1"/>
  <c r="AI398" i="1" s="1"/>
  <c r="AG399" i="1"/>
  <c r="AI399" i="1" s="1" a="1"/>
  <c r="AI399" i="1" s="1"/>
  <c r="AG400" i="1"/>
  <c r="AI400" i="1" s="1" a="1"/>
  <c r="AI400" i="1" s="1"/>
  <c r="AG401" i="1"/>
  <c r="AI401" i="1" s="1" a="1"/>
  <c r="AI401" i="1" s="1"/>
  <c r="AG402" i="1"/>
  <c r="AI402" i="1" s="1" a="1"/>
  <c r="AI402" i="1" s="1"/>
  <c r="AG403" i="1"/>
  <c r="AI403" i="1" s="1" a="1"/>
  <c r="AI403" i="1" s="1"/>
  <c r="AG404" i="1"/>
  <c r="AI404" i="1" s="1" a="1"/>
  <c r="AI404" i="1" s="1"/>
  <c r="AG405" i="1"/>
  <c r="AI405" i="1" s="1" a="1"/>
  <c r="AI405" i="1" s="1"/>
  <c r="AG406" i="1"/>
  <c r="AI406" i="1" s="1" a="1"/>
  <c r="AI406" i="1" s="1"/>
  <c r="AG407" i="1"/>
  <c r="AI407" i="1" s="1" a="1"/>
  <c r="AI407" i="1" s="1"/>
  <c r="AG408" i="1"/>
  <c r="AI408" i="1" s="1" a="1"/>
  <c r="AI408" i="1" s="1"/>
  <c r="AG409" i="1"/>
  <c r="AI409" i="1" s="1" a="1"/>
  <c r="AI409" i="1" s="1"/>
  <c r="AG410" i="1"/>
  <c r="AI410" i="1" s="1" a="1"/>
  <c r="AI410" i="1" s="1"/>
  <c r="AG411" i="1"/>
  <c r="AI411" i="1" s="1" a="1"/>
  <c r="AI411" i="1" s="1"/>
  <c r="AG412" i="1"/>
  <c r="AI412" i="1" s="1" a="1"/>
  <c r="AI412" i="1" s="1"/>
  <c r="AG413" i="1"/>
  <c r="AI413" i="1" s="1" a="1"/>
  <c r="AI413" i="1" s="1"/>
  <c r="AG414" i="1"/>
  <c r="AI414" i="1" s="1" a="1"/>
  <c r="AI414" i="1" s="1"/>
  <c r="AG415" i="1"/>
  <c r="AI415" i="1" s="1" a="1"/>
  <c r="AI415" i="1" s="1"/>
  <c r="AG416" i="1"/>
  <c r="AI416" i="1" s="1" a="1"/>
  <c r="AI416" i="1" s="1"/>
  <c r="AG417" i="1"/>
  <c r="AI417" i="1" s="1" a="1"/>
  <c r="AI417" i="1" s="1"/>
  <c r="AG418" i="1"/>
  <c r="AI418" i="1" s="1" a="1"/>
  <c r="AI418" i="1" s="1"/>
  <c r="AG419" i="1"/>
  <c r="AI419" i="1" s="1" a="1"/>
  <c r="AI419" i="1" s="1"/>
  <c r="AG420" i="1"/>
  <c r="AI420" i="1" s="1" a="1"/>
  <c r="AI420" i="1" s="1"/>
  <c r="AG421" i="1"/>
  <c r="AI421" i="1" s="1" a="1"/>
  <c r="AI421" i="1" s="1"/>
  <c r="AG422" i="1"/>
  <c r="AI422" i="1" s="1" a="1"/>
  <c r="AI422" i="1" s="1"/>
  <c r="AG423" i="1"/>
  <c r="AI423" i="1" s="1" a="1"/>
  <c r="AI423" i="1" s="1"/>
  <c r="AG424" i="1"/>
  <c r="AI424" i="1" s="1" a="1"/>
  <c r="AI424" i="1" s="1"/>
  <c r="AG425" i="1"/>
  <c r="AI425" i="1" s="1" a="1"/>
  <c r="AI425" i="1" s="1"/>
  <c r="AG426" i="1"/>
  <c r="AI426" i="1" s="1" a="1"/>
  <c r="AI426" i="1" s="1"/>
  <c r="AG427" i="1"/>
  <c r="AI427" i="1" s="1" a="1"/>
  <c r="AI427" i="1" s="1"/>
  <c r="AG428" i="1"/>
  <c r="AI428" i="1" s="1" a="1"/>
  <c r="AI428" i="1" s="1"/>
  <c r="AG429" i="1"/>
  <c r="AI429" i="1" s="1" a="1"/>
  <c r="AI429" i="1" s="1"/>
  <c r="AG430" i="1"/>
  <c r="AI430" i="1" s="1" a="1"/>
  <c r="AI430" i="1" s="1"/>
  <c r="AG431" i="1"/>
  <c r="AI431" i="1" s="1" a="1"/>
  <c r="AI431" i="1" s="1"/>
  <c r="AG432" i="1"/>
  <c r="AI432" i="1" s="1" a="1"/>
  <c r="AI432" i="1" s="1"/>
  <c r="AG433" i="1"/>
  <c r="AI433" i="1" s="1" a="1"/>
  <c r="AI433" i="1" s="1"/>
  <c r="AG434" i="1"/>
  <c r="AI434" i="1" s="1" a="1"/>
  <c r="AI434" i="1" s="1"/>
  <c r="AG435" i="1"/>
  <c r="AI435" i="1" s="1" a="1"/>
  <c r="AI435" i="1" s="1"/>
  <c r="AG436" i="1"/>
  <c r="AI436" i="1" s="1" a="1"/>
  <c r="AI436" i="1" s="1"/>
  <c r="AG437" i="1"/>
  <c r="AI437" i="1" s="1" a="1"/>
  <c r="AI437" i="1" s="1"/>
  <c r="AG438" i="1"/>
  <c r="AI438" i="1" s="1" a="1"/>
  <c r="AI438" i="1" s="1"/>
  <c r="AG439" i="1"/>
  <c r="AI439" i="1" s="1" a="1"/>
  <c r="AI439" i="1" s="1"/>
  <c r="AG440" i="1"/>
  <c r="AI440" i="1" s="1" a="1"/>
  <c r="AI440" i="1" s="1"/>
  <c r="AG441" i="1"/>
  <c r="AI441" i="1" s="1" a="1"/>
  <c r="AI441" i="1" s="1"/>
  <c r="AG442" i="1"/>
  <c r="AI442" i="1" s="1" a="1"/>
  <c r="AI442" i="1" s="1"/>
  <c r="AG443" i="1"/>
  <c r="AI443" i="1" s="1" a="1"/>
  <c r="AI443" i="1" s="1"/>
  <c r="AG444" i="1"/>
  <c r="AI444" i="1" s="1" a="1"/>
  <c r="AI444" i="1" s="1"/>
  <c r="AG445" i="1"/>
  <c r="AI445" i="1" s="1" a="1"/>
  <c r="AI445" i="1" s="1"/>
  <c r="AG446" i="1"/>
  <c r="AI446" i="1" s="1" a="1"/>
  <c r="AI446" i="1" s="1"/>
  <c r="AG447" i="1"/>
  <c r="AI447" i="1" s="1" a="1"/>
  <c r="AI447" i="1" s="1"/>
  <c r="AG448" i="1"/>
  <c r="AI448" i="1" s="1" a="1"/>
  <c r="AI448" i="1" s="1"/>
  <c r="AG449" i="1"/>
  <c r="AI449" i="1" s="1" a="1"/>
  <c r="AI449" i="1" s="1"/>
  <c r="AG450" i="1"/>
  <c r="AI450" i="1" s="1" a="1"/>
  <c r="AI450" i="1" s="1"/>
  <c r="AG451" i="1"/>
  <c r="AI451" i="1" s="1" a="1"/>
  <c r="AI451" i="1" s="1"/>
  <c r="AG452" i="1"/>
  <c r="AI452" i="1" s="1" a="1"/>
  <c r="AI452" i="1" s="1"/>
  <c r="AG453" i="1"/>
  <c r="AI453" i="1" s="1" a="1"/>
  <c r="AI453" i="1" s="1"/>
  <c r="AG454" i="1"/>
  <c r="AI454" i="1" s="1" a="1"/>
  <c r="AI454" i="1" s="1"/>
  <c r="AG455" i="1"/>
  <c r="AI455" i="1" s="1" a="1"/>
  <c r="AI455" i="1" s="1"/>
  <c r="AG456" i="1"/>
  <c r="AI456" i="1" s="1" a="1"/>
  <c r="AI456" i="1" s="1"/>
  <c r="AG457" i="1"/>
  <c r="AI457" i="1" s="1" a="1"/>
  <c r="AI457" i="1" s="1"/>
  <c r="AG458" i="1"/>
  <c r="AI458" i="1" s="1" a="1"/>
  <c r="AI458" i="1" s="1"/>
  <c r="AG459" i="1"/>
  <c r="AI459" i="1" s="1" a="1"/>
  <c r="AI459" i="1" s="1"/>
  <c r="AG460" i="1"/>
  <c r="AI460" i="1" s="1" a="1"/>
  <c r="AI460" i="1" s="1"/>
  <c r="AG461" i="1"/>
  <c r="AI461" i="1" s="1" a="1"/>
  <c r="AI461" i="1" s="1"/>
  <c r="AG462" i="1"/>
  <c r="AI462" i="1" s="1" a="1"/>
  <c r="AI462" i="1" s="1"/>
  <c r="AG463" i="1"/>
  <c r="AI463" i="1" s="1" a="1"/>
  <c r="AI463" i="1" s="1"/>
  <c r="AG464" i="1"/>
  <c r="AI464" i="1" s="1" a="1"/>
  <c r="AI464" i="1" s="1"/>
  <c r="AG465" i="1"/>
  <c r="AI465" i="1" s="1" a="1"/>
  <c r="AI465" i="1" s="1"/>
  <c r="AG466" i="1"/>
  <c r="AI466" i="1" s="1" a="1"/>
  <c r="AI466" i="1" s="1"/>
  <c r="AG467" i="1"/>
  <c r="AI467" i="1" s="1" a="1"/>
  <c r="AI467" i="1" s="1"/>
  <c r="AG468" i="1"/>
  <c r="AI468" i="1" s="1" a="1"/>
  <c r="AI468" i="1" s="1"/>
  <c r="AG469" i="1"/>
  <c r="AI469" i="1" s="1" a="1"/>
  <c r="AI469" i="1" s="1"/>
  <c r="AG470" i="1"/>
  <c r="AI470" i="1" s="1" a="1"/>
  <c r="AI470" i="1" s="1"/>
  <c r="AG471" i="1"/>
  <c r="AI471" i="1" s="1" a="1"/>
  <c r="AI471" i="1" s="1"/>
  <c r="AG472" i="1"/>
  <c r="AI472" i="1" s="1" a="1"/>
  <c r="AI472" i="1" s="1"/>
  <c r="AG473" i="1"/>
  <c r="AI473" i="1" s="1" a="1"/>
  <c r="AI473" i="1" s="1"/>
  <c r="AG474" i="1"/>
  <c r="AI474" i="1" s="1" a="1"/>
  <c r="AI474" i="1" s="1"/>
  <c r="AG475" i="1"/>
  <c r="AI475" i="1" s="1" a="1"/>
  <c r="AI475" i="1" s="1"/>
  <c r="AG476" i="1"/>
  <c r="AI476" i="1" s="1" a="1"/>
  <c r="AI476" i="1" s="1"/>
  <c r="AG477" i="1"/>
  <c r="AI477" i="1" s="1" a="1"/>
  <c r="AI477" i="1" s="1"/>
  <c r="AG478" i="1"/>
  <c r="AI478" i="1" s="1" a="1"/>
  <c r="AI478" i="1" s="1"/>
  <c r="AG479" i="1"/>
  <c r="AI479" i="1" s="1" a="1"/>
  <c r="AI479" i="1" s="1"/>
  <c r="AG480" i="1"/>
  <c r="AI480" i="1" s="1" a="1"/>
  <c r="AI480" i="1" s="1"/>
  <c r="AG481" i="1"/>
  <c r="AI481" i="1" s="1" a="1"/>
  <c r="AI481" i="1" s="1"/>
  <c r="AG482" i="1"/>
  <c r="AI482" i="1" s="1" a="1"/>
  <c r="AI482" i="1" s="1"/>
  <c r="AG483" i="1"/>
  <c r="AI483" i="1" s="1" a="1"/>
  <c r="AI483" i="1" s="1"/>
  <c r="AG484" i="1"/>
  <c r="AI484" i="1" s="1" a="1"/>
  <c r="AI484" i="1" s="1"/>
  <c r="AG485" i="1"/>
  <c r="AI485" i="1" s="1" a="1"/>
  <c r="AI485" i="1" s="1"/>
  <c r="AG486" i="1"/>
  <c r="AI486" i="1" s="1" a="1"/>
  <c r="AI486" i="1" s="1"/>
  <c r="AG487" i="1"/>
  <c r="AI487" i="1" s="1" a="1"/>
  <c r="AI487" i="1" s="1"/>
  <c r="AG488" i="1"/>
  <c r="AI488" i="1" s="1" a="1"/>
  <c r="AI488" i="1" s="1"/>
  <c r="AG489" i="1"/>
  <c r="AI489" i="1" s="1" a="1"/>
  <c r="AI489" i="1" s="1"/>
  <c r="AG490" i="1"/>
  <c r="AI490" i="1" s="1" a="1"/>
  <c r="AI490" i="1" s="1"/>
  <c r="AG491" i="1"/>
  <c r="AI491" i="1" s="1" a="1"/>
  <c r="AI491" i="1" s="1"/>
  <c r="AG492" i="1"/>
  <c r="AI492" i="1" s="1" a="1"/>
  <c r="AI492" i="1" s="1"/>
  <c r="AG493" i="1"/>
  <c r="AI493" i="1" s="1" a="1"/>
  <c r="AI493" i="1" s="1"/>
  <c r="AG494" i="1"/>
  <c r="AI494" i="1" s="1" a="1"/>
  <c r="AI494" i="1" s="1"/>
  <c r="AG495" i="1"/>
  <c r="AI495" i="1" s="1" a="1"/>
  <c r="AI495" i="1" s="1"/>
  <c r="AG496" i="1"/>
  <c r="AI496" i="1" s="1" a="1"/>
  <c r="AI496" i="1" s="1"/>
  <c r="AG497" i="1"/>
  <c r="AI497" i="1" s="1" a="1"/>
  <c r="AI497" i="1" s="1"/>
  <c r="AG498" i="1"/>
  <c r="AI498" i="1" s="1" a="1"/>
  <c r="AI498" i="1" s="1"/>
  <c r="AG499" i="1"/>
  <c r="AI499" i="1" s="1" a="1"/>
  <c r="AI499" i="1" s="1"/>
  <c r="AG500" i="1"/>
  <c r="AI500" i="1" s="1" a="1"/>
  <c r="AI500" i="1" s="1"/>
  <c r="AG501" i="1"/>
  <c r="AI501" i="1" s="1" a="1"/>
  <c r="AI501" i="1" s="1"/>
  <c r="AG502" i="1"/>
  <c r="AI502" i="1" s="1" a="1"/>
  <c r="AI502" i="1" s="1"/>
  <c r="AG503" i="1"/>
  <c r="AI503" i="1" s="1" a="1"/>
  <c r="AI503" i="1" s="1"/>
  <c r="AG504" i="1"/>
  <c r="AI504" i="1" s="1" a="1"/>
  <c r="AI504" i="1" s="1"/>
  <c r="AG505" i="1"/>
  <c r="AI505" i="1" s="1" a="1"/>
  <c r="AI505" i="1" s="1"/>
  <c r="AG506" i="1"/>
  <c r="AI506" i="1" s="1" a="1"/>
  <c r="AI506" i="1" s="1"/>
  <c r="AG507" i="1"/>
  <c r="AI507" i="1" s="1" a="1"/>
  <c r="AI507" i="1" s="1"/>
  <c r="AG508" i="1"/>
  <c r="AI508" i="1" s="1" a="1"/>
  <c r="AI508" i="1" s="1"/>
  <c r="AG509" i="1"/>
  <c r="AI509" i="1" s="1" a="1"/>
  <c r="AI509" i="1" s="1"/>
  <c r="AG510" i="1"/>
  <c r="AI510" i="1" s="1" a="1"/>
  <c r="AI510" i="1" s="1"/>
  <c r="AG511" i="1"/>
  <c r="AI511" i="1" s="1" a="1"/>
  <c r="AI511" i="1" s="1"/>
  <c r="AG512" i="1"/>
  <c r="AI512" i="1" s="1" a="1"/>
  <c r="AI512" i="1" s="1"/>
  <c r="AG513" i="1"/>
  <c r="AI513" i="1" s="1" a="1"/>
  <c r="AI513" i="1" s="1"/>
  <c r="AG514" i="1"/>
  <c r="AI514" i="1" s="1" a="1"/>
  <c r="AI514" i="1" s="1"/>
  <c r="AG515" i="1"/>
  <c r="AI515" i="1" s="1" a="1"/>
  <c r="AI515" i="1" s="1"/>
  <c r="AG516" i="1"/>
  <c r="AI516" i="1" s="1" a="1"/>
  <c r="AI516" i="1" s="1"/>
  <c r="AG517" i="1"/>
  <c r="AI517" i="1" s="1" a="1"/>
  <c r="AI517" i="1" s="1"/>
  <c r="AG518" i="1"/>
  <c r="AI518" i="1" s="1" a="1"/>
  <c r="AI518" i="1" s="1"/>
  <c r="AG519" i="1"/>
  <c r="AI519" i="1" s="1" a="1"/>
  <c r="AI519" i="1" s="1"/>
  <c r="AG520" i="1"/>
  <c r="AI520" i="1" s="1" a="1"/>
  <c r="AI520" i="1" s="1"/>
  <c r="AG521" i="1"/>
  <c r="AI521" i="1" s="1" a="1"/>
  <c r="AI521" i="1" s="1"/>
  <c r="AG522" i="1"/>
  <c r="AI522" i="1" s="1" a="1"/>
  <c r="AI522" i="1" s="1"/>
  <c r="AG523" i="1"/>
  <c r="AI523" i="1" s="1" a="1"/>
  <c r="AI523" i="1" s="1"/>
  <c r="AG524" i="1"/>
  <c r="AI524" i="1" s="1" a="1"/>
  <c r="AI524" i="1" s="1"/>
  <c r="AG525" i="1"/>
  <c r="AI525" i="1" s="1" a="1"/>
  <c r="AI525" i="1" s="1"/>
  <c r="AG526" i="1"/>
  <c r="AI526" i="1" s="1" a="1"/>
  <c r="AI526" i="1" s="1"/>
  <c r="AG527" i="1"/>
  <c r="AI527" i="1" s="1" a="1"/>
  <c r="AI527" i="1" s="1"/>
  <c r="AG528" i="1"/>
  <c r="AI528" i="1" s="1" a="1"/>
  <c r="AI528" i="1" s="1"/>
  <c r="AG529" i="1"/>
  <c r="AI529" i="1" s="1" a="1"/>
  <c r="AI529" i="1" s="1"/>
  <c r="AG530" i="1"/>
  <c r="AI530" i="1" s="1" a="1"/>
  <c r="AI530" i="1" s="1"/>
  <c r="AG531" i="1"/>
  <c r="AI531" i="1" s="1" a="1"/>
  <c r="AI531" i="1" s="1"/>
  <c r="AG532" i="1"/>
  <c r="AI532" i="1" s="1" a="1"/>
  <c r="AI532" i="1" s="1"/>
  <c r="AG533" i="1"/>
  <c r="AI533" i="1" s="1" a="1"/>
  <c r="AI533" i="1" s="1"/>
  <c r="AG534" i="1"/>
  <c r="AI534" i="1" s="1" a="1"/>
  <c r="AI534" i="1" s="1"/>
  <c r="AG535" i="1"/>
  <c r="AI535" i="1" s="1" a="1"/>
  <c r="AI535" i="1" s="1"/>
  <c r="AG536" i="1"/>
  <c r="AI536" i="1" s="1" a="1"/>
  <c r="AI536" i="1" s="1"/>
  <c r="AG537" i="1"/>
  <c r="AI537" i="1" s="1" a="1"/>
  <c r="AI537" i="1" s="1"/>
  <c r="AG538" i="1"/>
  <c r="AI538" i="1" s="1" a="1"/>
  <c r="AI538" i="1" s="1"/>
  <c r="AG539" i="1"/>
  <c r="AI539" i="1" s="1" a="1"/>
  <c r="AI539" i="1" s="1"/>
  <c r="AG540" i="1"/>
  <c r="AI540" i="1" s="1" a="1"/>
  <c r="AI540" i="1" s="1"/>
  <c r="AG541" i="1"/>
  <c r="AI541" i="1" s="1" a="1"/>
  <c r="AI541" i="1" s="1"/>
  <c r="AG542" i="1"/>
  <c r="AI542" i="1" s="1" a="1"/>
  <c r="AI542" i="1" s="1"/>
  <c r="AG543" i="1"/>
  <c r="AI543" i="1" s="1" a="1"/>
  <c r="AI543" i="1" s="1"/>
  <c r="AG544" i="1"/>
  <c r="AI544" i="1" s="1" a="1"/>
  <c r="AI544" i="1" s="1"/>
  <c r="AG545" i="1"/>
  <c r="AI545" i="1" s="1" a="1"/>
  <c r="AI545" i="1" s="1"/>
  <c r="AG546" i="1"/>
  <c r="AI546" i="1" s="1" a="1"/>
  <c r="AI546" i="1" s="1"/>
  <c r="AG547" i="1"/>
  <c r="AI547" i="1" s="1" a="1"/>
  <c r="AI547" i="1" s="1"/>
  <c r="AG548" i="1"/>
  <c r="AI548" i="1" s="1" a="1"/>
  <c r="AI548" i="1" s="1"/>
  <c r="AG549" i="1"/>
  <c r="AI549" i="1" s="1" a="1"/>
  <c r="AI549" i="1" s="1"/>
  <c r="AG550" i="1"/>
  <c r="AI550" i="1" s="1" a="1"/>
  <c r="AI550" i="1" s="1"/>
  <c r="AG551" i="1"/>
  <c r="AI551" i="1" s="1" a="1"/>
  <c r="AI551" i="1" s="1"/>
  <c r="AG552" i="1"/>
  <c r="AI552" i="1" s="1" a="1"/>
  <c r="AI552" i="1" s="1"/>
  <c r="AG553" i="1"/>
  <c r="AI553" i="1" s="1" a="1"/>
  <c r="AI553" i="1" s="1"/>
  <c r="AG554" i="1"/>
  <c r="AI554" i="1" s="1" a="1"/>
  <c r="AI554" i="1" s="1"/>
  <c r="AG555" i="1"/>
  <c r="AI555" i="1" s="1" a="1"/>
  <c r="AI555" i="1" s="1"/>
  <c r="AG556" i="1"/>
  <c r="AI556" i="1" s="1" a="1"/>
  <c r="AI556" i="1" s="1"/>
  <c r="AG557" i="1"/>
  <c r="AI557" i="1" s="1" a="1"/>
  <c r="AI557" i="1" s="1"/>
  <c r="AG558" i="1"/>
  <c r="AI558" i="1" s="1" a="1"/>
  <c r="AI558" i="1" s="1"/>
  <c r="AG559" i="1"/>
  <c r="AI559" i="1" s="1" a="1"/>
  <c r="AI559" i="1" s="1"/>
  <c r="AG560" i="1"/>
  <c r="AI560" i="1" s="1" a="1"/>
  <c r="AI560" i="1" s="1"/>
  <c r="AG561" i="1"/>
  <c r="AI561" i="1" s="1" a="1"/>
  <c r="AI561" i="1" s="1"/>
  <c r="AG562" i="1"/>
  <c r="AI562" i="1" s="1" a="1"/>
  <c r="AI562" i="1" s="1"/>
  <c r="AG563" i="1"/>
  <c r="AI563" i="1" s="1" a="1"/>
  <c r="AI563" i="1" s="1"/>
  <c r="AG564" i="1"/>
  <c r="AI564" i="1" s="1" a="1"/>
  <c r="AI564" i="1" s="1"/>
  <c r="AG565" i="1"/>
  <c r="AI565" i="1" s="1" a="1"/>
  <c r="AI565" i="1" s="1"/>
  <c r="AG566" i="1"/>
  <c r="AI566" i="1" s="1" a="1"/>
  <c r="AI566" i="1" s="1"/>
  <c r="AG567" i="1"/>
  <c r="AI567" i="1" s="1" a="1"/>
  <c r="AI567" i="1" s="1"/>
  <c r="AG568" i="1"/>
  <c r="AI568" i="1" s="1" a="1"/>
  <c r="AI568" i="1" s="1"/>
  <c r="AG569" i="1"/>
  <c r="AI569" i="1" s="1" a="1"/>
  <c r="AI569" i="1" s="1"/>
  <c r="AG570" i="1"/>
  <c r="AI570" i="1" s="1" a="1"/>
  <c r="AI570" i="1" s="1"/>
  <c r="AG571" i="1"/>
  <c r="AI571" i="1" s="1" a="1"/>
  <c r="AI571" i="1" s="1"/>
  <c r="AG572" i="1"/>
  <c r="AI572" i="1" s="1" a="1"/>
  <c r="AI572" i="1" s="1"/>
  <c r="AG573" i="1"/>
  <c r="AI573" i="1" s="1" a="1"/>
  <c r="AI573" i="1" s="1"/>
  <c r="AG574" i="1"/>
  <c r="AI574" i="1" s="1" a="1"/>
  <c r="AI574" i="1" s="1"/>
  <c r="AG575" i="1"/>
  <c r="AI575" i="1" s="1" a="1"/>
  <c r="AI575" i="1" s="1"/>
  <c r="AG576" i="1"/>
  <c r="AI576" i="1" s="1" a="1"/>
  <c r="AI576" i="1" s="1"/>
  <c r="AG577" i="1"/>
  <c r="AI577" i="1" s="1" a="1"/>
  <c r="AI577" i="1" s="1"/>
  <c r="AG578" i="1"/>
  <c r="AI578" i="1" s="1" a="1"/>
  <c r="AI578" i="1" s="1"/>
  <c r="AG579" i="1"/>
  <c r="AI579" i="1" s="1" a="1"/>
  <c r="AI579" i="1" s="1"/>
  <c r="AG580" i="1"/>
  <c r="AI580" i="1" s="1" a="1"/>
  <c r="AI580" i="1" s="1"/>
  <c r="AG581" i="1"/>
  <c r="AI581" i="1" s="1" a="1"/>
  <c r="AI581" i="1" s="1"/>
  <c r="AG582" i="1"/>
  <c r="AI582" i="1" s="1" a="1"/>
  <c r="AI582" i="1" s="1"/>
  <c r="AG583" i="1"/>
  <c r="AI583" i="1" s="1" a="1"/>
  <c r="AI583" i="1" s="1"/>
  <c r="AG584" i="1"/>
  <c r="AI584" i="1" s="1" a="1"/>
  <c r="AI584" i="1" s="1"/>
  <c r="AG585" i="1"/>
  <c r="AI585" i="1" s="1" a="1"/>
  <c r="AI585" i="1" s="1"/>
  <c r="AG586" i="1"/>
  <c r="AI586" i="1" s="1" a="1"/>
  <c r="AI586" i="1" s="1"/>
  <c r="AG587" i="1"/>
  <c r="AI587" i="1" s="1" a="1"/>
  <c r="AI587" i="1" s="1"/>
  <c r="AG588" i="1"/>
  <c r="AI588" i="1" s="1" a="1"/>
  <c r="AI588" i="1" s="1"/>
  <c r="AG589" i="1"/>
  <c r="AI589" i="1" s="1" a="1"/>
  <c r="AI589" i="1" s="1"/>
  <c r="AG590" i="1"/>
  <c r="AI590" i="1" s="1" a="1"/>
  <c r="AI590" i="1" s="1"/>
  <c r="AG591" i="1"/>
  <c r="AI591" i="1" s="1" a="1"/>
  <c r="AI591" i="1" s="1"/>
  <c r="AG592" i="1"/>
  <c r="AI592" i="1" s="1" a="1"/>
  <c r="AI592" i="1" s="1"/>
  <c r="AG593" i="1"/>
  <c r="AI593" i="1" s="1" a="1"/>
  <c r="AI593" i="1" s="1"/>
  <c r="AG594" i="1"/>
  <c r="AI594" i="1" s="1" a="1"/>
  <c r="AI594" i="1" s="1"/>
  <c r="AG595" i="1"/>
  <c r="AI595" i="1" s="1" a="1"/>
  <c r="AI595" i="1" s="1"/>
  <c r="AG596" i="1"/>
  <c r="AI596" i="1" s="1" a="1"/>
  <c r="AI596" i="1" s="1"/>
  <c r="AG597" i="1"/>
  <c r="AI597" i="1" s="1" a="1"/>
  <c r="AI597" i="1" s="1"/>
  <c r="AG598" i="1"/>
  <c r="AI598" i="1" s="1" a="1"/>
  <c r="AI598" i="1" s="1"/>
  <c r="AG599" i="1"/>
  <c r="AI599" i="1" s="1" a="1"/>
  <c r="AI599" i="1" s="1"/>
  <c r="AG600" i="1"/>
  <c r="AI600" i="1" s="1" a="1"/>
  <c r="AI600" i="1" s="1"/>
  <c r="AG601" i="1"/>
  <c r="AI601" i="1" s="1" a="1"/>
  <c r="AI601" i="1" s="1"/>
  <c r="AG602" i="1"/>
  <c r="AI602" i="1" s="1" a="1"/>
  <c r="AI602" i="1" s="1"/>
  <c r="AG603" i="1"/>
  <c r="AI603" i="1" s="1" a="1"/>
  <c r="AI603" i="1" s="1"/>
  <c r="AG604" i="1"/>
  <c r="AI604" i="1" s="1" a="1"/>
  <c r="AI604" i="1" s="1"/>
  <c r="AG605" i="1"/>
  <c r="AI605" i="1" s="1" a="1"/>
  <c r="AI605" i="1" s="1"/>
  <c r="AG606" i="1"/>
  <c r="AI606" i="1" s="1" a="1"/>
  <c r="AI606" i="1" s="1"/>
  <c r="AG607" i="1"/>
  <c r="AI607" i="1" s="1" a="1"/>
  <c r="AI607" i="1" s="1"/>
  <c r="AG608" i="1"/>
  <c r="AI608" i="1" s="1" a="1"/>
  <c r="AI608" i="1" s="1"/>
  <c r="AG609" i="1"/>
  <c r="AI609" i="1" s="1" a="1"/>
  <c r="AI609" i="1" s="1"/>
  <c r="AG610" i="1"/>
  <c r="AI610" i="1" s="1" a="1"/>
  <c r="AI610" i="1" s="1"/>
  <c r="AG611" i="1"/>
  <c r="AI611" i="1" s="1" a="1"/>
  <c r="AI611" i="1" s="1"/>
  <c r="AG612" i="1"/>
  <c r="AI612" i="1" s="1" a="1"/>
  <c r="AI612" i="1" s="1"/>
  <c r="AG613" i="1"/>
  <c r="AI613" i="1" s="1" a="1"/>
  <c r="AI613" i="1" s="1"/>
  <c r="AG614" i="1"/>
  <c r="AI614" i="1" s="1" a="1"/>
  <c r="AI614" i="1" s="1"/>
  <c r="AG615" i="1"/>
  <c r="AI615" i="1" s="1" a="1"/>
  <c r="AI615" i="1" s="1"/>
  <c r="AG616" i="1"/>
  <c r="AI616" i="1" s="1" a="1"/>
  <c r="AI616" i="1" s="1"/>
  <c r="AG617" i="1"/>
  <c r="AI617" i="1" s="1" a="1"/>
  <c r="AI617" i="1" s="1"/>
  <c r="AG618" i="1"/>
  <c r="AI618" i="1" s="1" a="1"/>
  <c r="AI618" i="1" s="1"/>
  <c r="AG619" i="1"/>
  <c r="AI619" i="1" s="1" a="1"/>
  <c r="AI619" i="1" s="1"/>
  <c r="AG620" i="1"/>
  <c r="AI620" i="1" s="1" a="1"/>
  <c r="AI620" i="1" s="1"/>
  <c r="AG621" i="1"/>
  <c r="AI621" i="1" s="1" a="1"/>
  <c r="AI621" i="1" s="1"/>
  <c r="AG622" i="1"/>
  <c r="AI622" i="1" s="1" a="1"/>
  <c r="AI622" i="1" s="1"/>
  <c r="AG623" i="1"/>
  <c r="AI623" i="1" s="1" a="1"/>
  <c r="AI623" i="1" s="1"/>
  <c r="AG624" i="1"/>
  <c r="AI624" i="1" s="1" a="1"/>
  <c r="AI624" i="1" s="1"/>
  <c r="AG625" i="1"/>
  <c r="AI625" i="1" s="1" a="1"/>
  <c r="AI625" i="1" s="1"/>
  <c r="AG626" i="1"/>
  <c r="AI626" i="1" s="1" a="1"/>
  <c r="AI626" i="1" s="1"/>
  <c r="AG627" i="1"/>
  <c r="AI627" i="1" s="1" a="1"/>
  <c r="AI627" i="1" s="1"/>
  <c r="AG628" i="1"/>
  <c r="AI628" i="1" s="1" a="1"/>
  <c r="AI628" i="1" s="1"/>
  <c r="AG629" i="1"/>
  <c r="AI629" i="1" s="1" a="1"/>
  <c r="AI629" i="1" s="1"/>
  <c r="AG630" i="1"/>
  <c r="AI630" i="1" s="1" a="1"/>
  <c r="AI630" i="1" s="1"/>
  <c r="AG631" i="1"/>
  <c r="AI631" i="1" s="1" a="1"/>
  <c r="AI631" i="1" s="1"/>
  <c r="AG632" i="1"/>
  <c r="AI632" i="1" s="1" a="1"/>
  <c r="AI632" i="1" s="1"/>
  <c r="AG633" i="1"/>
  <c r="AI633" i="1" s="1" a="1"/>
  <c r="AI633" i="1" s="1"/>
  <c r="AG634" i="1"/>
  <c r="AI634" i="1" s="1" a="1"/>
  <c r="AI634" i="1" s="1"/>
  <c r="AG635" i="1"/>
  <c r="AI635" i="1" s="1" a="1"/>
  <c r="AI635" i="1" s="1"/>
  <c r="AG636" i="1"/>
  <c r="AI636" i="1" s="1" a="1"/>
  <c r="AI636" i="1" s="1"/>
  <c r="AG637" i="1"/>
  <c r="AI637" i="1" s="1" a="1"/>
  <c r="AI637" i="1" s="1"/>
  <c r="AG638" i="1"/>
  <c r="AI638" i="1" s="1" a="1"/>
  <c r="AI638" i="1" s="1"/>
  <c r="AG639" i="1"/>
  <c r="AI639" i="1" s="1" a="1"/>
  <c r="AI639" i="1" s="1"/>
  <c r="AG640" i="1"/>
  <c r="AI640" i="1" s="1" a="1"/>
  <c r="AI640" i="1" s="1"/>
  <c r="AG641" i="1"/>
  <c r="AI641" i="1" s="1" a="1"/>
  <c r="AI641" i="1" s="1"/>
  <c r="AG642" i="1"/>
  <c r="AI642" i="1" s="1" a="1"/>
  <c r="AI642" i="1" s="1"/>
  <c r="AG643" i="1"/>
  <c r="AI643" i="1" s="1" a="1"/>
  <c r="AI643" i="1" s="1"/>
  <c r="AG644" i="1"/>
  <c r="AI644" i="1" s="1" a="1"/>
  <c r="AI644" i="1" s="1"/>
  <c r="AG645" i="1"/>
  <c r="AI645" i="1" s="1" a="1"/>
  <c r="AI645" i="1" s="1"/>
  <c r="AG646" i="1"/>
  <c r="AI646" i="1" s="1" a="1"/>
  <c r="AI646" i="1" s="1"/>
  <c r="AG647" i="1"/>
  <c r="AI647" i="1" s="1" a="1"/>
  <c r="AI647" i="1" s="1"/>
  <c r="AG648" i="1"/>
  <c r="AI648" i="1" s="1" a="1"/>
  <c r="AI648" i="1" s="1"/>
  <c r="AG649" i="1"/>
  <c r="AI649" i="1" s="1" a="1"/>
  <c r="AI649" i="1" s="1"/>
  <c r="AG650" i="1"/>
  <c r="AI650" i="1" s="1" a="1"/>
  <c r="AI650" i="1" s="1"/>
  <c r="AG651" i="1"/>
  <c r="AI651" i="1" s="1" a="1"/>
  <c r="AI651" i="1" s="1"/>
  <c r="AG652" i="1"/>
  <c r="AI652" i="1" s="1" a="1"/>
  <c r="AI652" i="1" s="1"/>
  <c r="AG653" i="1"/>
  <c r="AI653" i="1" s="1" a="1"/>
  <c r="AI653" i="1" s="1"/>
  <c r="AG654" i="1"/>
  <c r="AI654" i="1" s="1" a="1"/>
  <c r="AI654" i="1" s="1"/>
  <c r="AG655" i="1"/>
  <c r="AI655" i="1" s="1" a="1"/>
  <c r="AI655" i="1" s="1"/>
  <c r="AG656" i="1"/>
  <c r="AI656" i="1" s="1" a="1"/>
  <c r="AI656" i="1" s="1"/>
  <c r="AG657" i="1"/>
  <c r="AI657" i="1" s="1" a="1"/>
  <c r="AI657" i="1" s="1"/>
  <c r="AG658" i="1"/>
  <c r="AI658" i="1" s="1" a="1"/>
  <c r="AI658" i="1" s="1"/>
  <c r="AG659" i="1"/>
  <c r="AI659" i="1" s="1" a="1"/>
  <c r="AI659" i="1" s="1"/>
  <c r="AG660" i="1"/>
  <c r="AI660" i="1" s="1" a="1"/>
  <c r="AI660" i="1" s="1"/>
  <c r="AG661" i="1"/>
  <c r="AI661" i="1" s="1" a="1"/>
  <c r="AI661" i="1" s="1"/>
  <c r="AG662" i="1"/>
  <c r="AI662" i="1" s="1" a="1"/>
  <c r="AI662" i="1" s="1"/>
  <c r="AG663" i="1"/>
  <c r="AI663" i="1" s="1" a="1"/>
  <c r="AI663" i="1" s="1"/>
  <c r="AG664" i="1"/>
  <c r="AI664" i="1" s="1" a="1"/>
  <c r="AI664" i="1" s="1"/>
  <c r="AG665" i="1"/>
  <c r="AI665" i="1" s="1" a="1"/>
  <c r="AI665" i="1" s="1"/>
  <c r="AG666" i="1"/>
  <c r="AI666" i="1" s="1" a="1"/>
  <c r="AI666" i="1" s="1"/>
  <c r="AG667" i="1"/>
  <c r="AI667" i="1" s="1" a="1"/>
  <c r="AI667" i="1" s="1"/>
  <c r="AG668" i="1"/>
  <c r="AI668" i="1" s="1" a="1"/>
  <c r="AI668" i="1" s="1"/>
  <c r="AG669" i="1"/>
  <c r="AI669" i="1" s="1" a="1"/>
  <c r="AI669" i="1" s="1"/>
  <c r="AG670" i="1"/>
  <c r="AI670" i="1" s="1" a="1"/>
  <c r="AI670" i="1" s="1"/>
  <c r="AG671" i="1"/>
  <c r="AI671" i="1" s="1" a="1"/>
  <c r="AI671" i="1" s="1"/>
  <c r="AG672" i="1"/>
  <c r="AI672" i="1" s="1" a="1"/>
  <c r="AI672" i="1" s="1"/>
  <c r="AG673" i="1"/>
  <c r="AI673" i="1" s="1" a="1"/>
  <c r="AI673" i="1" s="1"/>
  <c r="AG674" i="1"/>
  <c r="AI674" i="1" s="1" a="1"/>
  <c r="AI674" i="1" s="1"/>
  <c r="AG675" i="1"/>
  <c r="AI675" i="1" s="1" a="1"/>
  <c r="AI675" i="1" s="1"/>
  <c r="AG676" i="1"/>
  <c r="AI676" i="1" s="1" a="1"/>
  <c r="AI676" i="1" s="1"/>
  <c r="AG677" i="1"/>
  <c r="AI677" i="1" s="1" a="1"/>
  <c r="AI677" i="1" s="1"/>
  <c r="AG678" i="1"/>
  <c r="AI678" i="1" s="1" a="1"/>
  <c r="AI678" i="1" s="1"/>
  <c r="AG679" i="1"/>
  <c r="AI679" i="1" s="1" a="1"/>
  <c r="AI679" i="1" s="1"/>
  <c r="AG680" i="1"/>
  <c r="AI680" i="1" s="1" a="1"/>
  <c r="AI680" i="1" s="1"/>
  <c r="AG681" i="1"/>
  <c r="AI681" i="1" s="1" a="1"/>
  <c r="AI681" i="1" s="1"/>
  <c r="AG682" i="1"/>
  <c r="AI682" i="1" s="1" a="1"/>
  <c r="AI682" i="1" s="1"/>
  <c r="AG683" i="1"/>
  <c r="AI683" i="1" s="1" a="1"/>
  <c r="AI683" i="1" s="1"/>
  <c r="AG684" i="1"/>
  <c r="AI684" i="1" s="1" a="1"/>
  <c r="AI684" i="1" s="1"/>
  <c r="AG685" i="1"/>
  <c r="AI685" i="1" s="1" a="1"/>
  <c r="AI685" i="1" s="1"/>
  <c r="AG686" i="1"/>
  <c r="AI686" i="1" s="1" a="1"/>
  <c r="AI686" i="1" s="1"/>
  <c r="AG687" i="1"/>
  <c r="AI687" i="1" s="1" a="1"/>
  <c r="AI687" i="1" s="1"/>
  <c r="AG688" i="1"/>
  <c r="AI688" i="1" s="1" a="1"/>
  <c r="AI688" i="1" s="1"/>
  <c r="AG689" i="1"/>
  <c r="AI689" i="1" s="1" a="1"/>
  <c r="AI689" i="1" s="1"/>
  <c r="AG690" i="1"/>
  <c r="AI690" i="1" s="1" a="1"/>
  <c r="AI690" i="1" s="1"/>
  <c r="AG691" i="1"/>
  <c r="AI691" i="1" s="1" a="1"/>
  <c r="AI691" i="1" s="1"/>
  <c r="AG692" i="1"/>
  <c r="AI692" i="1" s="1" a="1"/>
  <c r="AI692" i="1" s="1"/>
  <c r="AG693" i="1"/>
  <c r="AI693" i="1" s="1" a="1"/>
  <c r="AI693" i="1" s="1"/>
  <c r="AG694" i="1"/>
  <c r="AI694" i="1" s="1" a="1"/>
  <c r="AI694" i="1" s="1"/>
  <c r="AG695" i="1"/>
  <c r="AI695" i="1" s="1" a="1"/>
  <c r="AI695" i="1" s="1"/>
  <c r="AG696" i="1"/>
  <c r="AI696" i="1" s="1" a="1"/>
  <c r="AI696" i="1" s="1"/>
  <c r="AG697" i="1"/>
  <c r="AI697" i="1" s="1" a="1"/>
  <c r="AI697" i="1" s="1"/>
  <c r="AG698" i="1"/>
  <c r="AI698" i="1" s="1" a="1"/>
  <c r="AI698" i="1" s="1"/>
  <c r="AG699" i="1"/>
  <c r="AI699" i="1" s="1" a="1"/>
  <c r="AI699" i="1" s="1"/>
  <c r="AG700" i="1"/>
  <c r="AI700" i="1" s="1" a="1"/>
  <c r="AI700" i="1" s="1"/>
  <c r="AG701" i="1"/>
  <c r="AI701" i="1" s="1" a="1"/>
  <c r="AI701" i="1" s="1"/>
  <c r="AG702" i="1"/>
  <c r="AI702" i="1" s="1" a="1"/>
  <c r="AI702" i="1" s="1"/>
  <c r="AG703" i="1"/>
  <c r="AI703" i="1" s="1" a="1"/>
  <c r="AI703" i="1" s="1"/>
  <c r="AG704" i="1"/>
  <c r="AI704" i="1" s="1" a="1"/>
  <c r="AI704" i="1" s="1"/>
  <c r="AG705" i="1"/>
  <c r="AI705" i="1" s="1" a="1"/>
  <c r="AI705" i="1" s="1"/>
  <c r="AG706" i="1"/>
  <c r="AI706" i="1" s="1" a="1"/>
  <c r="AI706" i="1" s="1"/>
  <c r="AG707" i="1"/>
  <c r="AI707" i="1" s="1" a="1"/>
  <c r="AI707" i="1" s="1"/>
  <c r="AG708" i="1"/>
  <c r="AI708" i="1" s="1" a="1"/>
  <c r="AI708" i="1" s="1"/>
  <c r="AG709" i="1"/>
  <c r="AI709" i="1" s="1" a="1"/>
  <c r="AI709" i="1" s="1"/>
  <c r="AG710" i="1"/>
  <c r="AI710" i="1" s="1" a="1"/>
  <c r="AI710" i="1" s="1"/>
  <c r="AG711" i="1"/>
  <c r="AI711" i="1" s="1" a="1"/>
  <c r="AI711" i="1" s="1"/>
  <c r="AG712" i="1"/>
  <c r="AI712" i="1" s="1" a="1"/>
  <c r="AI712" i="1" s="1"/>
  <c r="AG713" i="1"/>
  <c r="AI713" i="1" s="1" a="1"/>
  <c r="AI713" i="1" s="1"/>
  <c r="AG714" i="1"/>
  <c r="AI714" i="1" s="1" a="1"/>
  <c r="AI714" i="1" s="1"/>
  <c r="AG715" i="1"/>
  <c r="AI715" i="1" s="1" a="1"/>
  <c r="AI715" i="1" s="1"/>
  <c r="AG716" i="1"/>
  <c r="AI716" i="1" s="1" a="1"/>
  <c r="AI716" i="1" s="1"/>
  <c r="AG717" i="1"/>
  <c r="AI717" i="1" s="1" a="1"/>
  <c r="AI717" i="1" s="1"/>
  <c r="AG718" i="1"/>
  <c r="AI718" i="1" s="1" a="1"/>
  <c r="AI718" i="1" s="1"/>
  <c r="AG719" i="1"/>
  <c r="AI719" i="1" s="1" a="1"/>
  <c r="AI719" i="1" s="1"/>
  <c r="AG720" i="1"/>
  <c r="AI720" i="1" s="1" a="1"/>
  <c r="AI720" i="1" s="1"/>
  <c r="AG721" i="1"/>
  <c r="AI721" i="1" s="1" a="1"/>
  <c r="AI721" i="1" s="1"/>
  <c r="AG722" i="1"/>
  <c r="AI722" i="1" s="1" a="1"/>
  <c r="AI722" i="1" s="1"/>
  <c r="AG723" i="1"/>
  <c r="AI723" i="1" s="1" a="1"/>
  <c r="AI723" i="1" s="1"/>
  <c r="AG724" i="1"/>
  <c r="AI724" i="1" s="1" a="1"/>
  <c r="AI724" i="1" s="1"/>
  <c r="AG725" i="1"/>
  <c r="AI725" i="1" s="1" a="1"/>
  <c r="AI725" i="1" s="1"/>
  <c r="AG726" i="1"/>
  <c r="AI726" i="1" s="1" a="1"/>
  <c r="AI726" i="1" s="1"/>
  <c r="AG727" i="1"/>
  <c r="AI727" i="1" s="1" a="1"/>
  <c r="AI727" i="1" s="1"/>
  <c r="AG728" i="1"/>
  <c r="AI728" i="1" s="1" a="1"/>
  <c r="AI728" i="1" s="1"/>
  <c r="AG729" i="1"/>
  <c r="AI729" i="1" s="1" a="1"/>
  <c r="AI729" i="1" s="1"/>
  <c r="AG730" i="1"/>
  <c r="AI730" i="1" s="1" a="1"/>
  <c r="AI730" i="1" s="1"/>
  <c r="AG731" i="1"/>
  <c r="AI731" i="1" s="1" a="1"/>
  <c r="AI731" i="1" s="1"/>
  <c r="AG732" i="1"/>
  <c r="AI732" i="1" s="1" a="1"/>
  <c r="AI732" i="1" s="1"/>
  <c r="AG733" i="1"/>
  <c r="AI733" i="1" s="1" a="1"/>
  <c r="AI733" i="1" s="1"/>
  <c r="AG734" i="1"/>
  <c r="AI734" i="1" s="1" a="1"/>
  <c r="AI734" i="1" s="1"/>
  <c r="AG735" i="1"/>
  <c r="AI735" i="1" s="1" a="1"/>
  <c r="AI735" i="1" s="1"/>
  <c r="AG736" i="1"/>
  <c r="AI736" i="1" s="1" a="1"/>
  <c r="AI736" i="1" s="1"/>
  <c r="AG737" i="1"/>
  <c r="AI737" i="1" s="1" a="1"/>
  <c r="AI737" i="1" s="1"/>
  <c r="AG738" i="1"/>
  <c r="AI738" i="1" s="1" a="1"/>
  <c r="AI738" i="1" s="1"/>
  <c r="AG739" i="1"/>
  <c r="AI739" i="1" s="1" a="1"/>
  <c r="AI739" i="1" s="1"/>
  <c r="AG740" i="1"/>
  <c r="AI740" i="1" s="1" a="1"/>
  <c r="AI740" i="1" s="1"/>
  <c r="AG741" i="1"/>
  <c r="AI741" i="1" s="1" a="1"/>
  <c r="AI741" i="1" s="1"/>
  <c r="AG742" i="1"/>
  <c r="AI742" i="1" s="1" a="1"/>
  <c r="AI742" i="1" s="1"/>
  <c r="AG743" i="1"/>
  <c r="AI743" i="1" s="1" a="1"/>
  <c r="AI743" i="1" s="1"/>
  <c r="AG744" i="1"/>
  <c r="AI744" i="1" s="1" a="1"/>
  <c r="AI744" i="1" s="1"/>
  <c r="AG745" i="1"/>
  <c r="AI745" i="1" s="1" a="1"/>
  <c r="AI745" i="1" s="1"/>
  <c r="AG746" i="1"/>
  <c r="AI746" i="1" s="1" a="1"/>
  <c r="AI746" i="1" s="1"/>
  <c r="AG747" i="1"/>
  <c r="AI747" i="1" s="1" a="1"/>
  <c r="AI747" i="1" s="1"/>
  <c r="AG748" i="1"/>
  <c r="AI748" i="1" s="1" a="1"/>
  <c r="AI748" i="1" s="1"/>
  <c r="AG749" i="1"/>
  <c r="AI749" i="1" s="1" a="1"/>
  <c r="AI749" i="1" s="1"/>
  <c r="AG750" i="1"/>
  <c r="AI750" i="1" s="1" a="1"/>
  <c r="AI750" i="1" s="1"/>
  <c r="AG751" i="1"/>
  <c r="AI751" i="1" s="1" a="1"/>
  <c r="AI751" i="1" s="1"/>
  <c r="AG752" i="1"/>
  <c r="AI752" i="1" s="1" a="1"/>
  <c r="AI752" i="1" s="1"/>
  <c r="AG753" i="1"/>
  <c r="AI753" i="1" s="1" a="1"/>
  <c r="AI753" i="1" s="1"/>
  <c r="AG754" i="1"/>
  <c r="AI754" i="1" s="1" a="1"/>
  <c r="AI754" i="1" s="1"/>
  <c r="AG755" i="1"/>
  <c r="AI755" i="1" s="1" a="1"/>
  <c r="AI755" i="1" s="1"/>
  <c r="AG756" i="1"/>
  <c r="AI756" i="1" s="1" a="1"/>
  <c r="AI756" i="1" s="1"/>
  <c r="AG757" i="1"/>
  <c r="AI757" i="1" s="1" a="1"/>
  <c r="AI757" i="1" s="1"/>
  <c r="AG758" i="1"/>
  <c r="AI758" i="1" s="1" a="1"/>
  <c r="AI758" i="1" s="1"/>
  <c r="AG759" i="1"/>
  <c r="AI759" i="1" s="1" a="1"/>
  <c r="AI759" i="1" s="1"/>
  <c r="AG760" i="1"/>
  <c r="AI760" i="1" s="1" a="1"/>
  <c r="AI760" i="1" s="1"/>
  <c r="AG761" i="1"/>
  <c r="AI761" i="1" s="1" a="1"/>
  <c r="AI761" i="1" s="1"/>
  <c r="AG762" i="1"/>
  <c r="AI762" i="1" s="1" a="1"/>
  <c r="AI762" i="1" s="1"/>
  <c r="AG763" i="1"/>
  <c r="AI763" i="1" s="1" a="1"/>
  <c r="AI763" i="1" s="1"/>
  <c r="AG764" i="1"/>
  <c r="AI764" i="1" s="1" a="1"/>
  <c r="AI764" i="1" s="1"/>
  <c r="AG765" i="1"/>
  <c r="AI765" i="1" s="1" a="1"/>
  <c r="AI765" i="1" s="1"/>
  <c r="AG766" i="1"/>
  <c r="AI766" i="1" s="1" a="1"/>
  <c r="AI766" i="1" s="1"/>
  <c r="AG767" i="1"/>
  <c r="AI767" i="1" s="1" a="1"/>
  <c r="AI767" i="1" s="1"/>
  <c r="AG768" i="1"/>
  <c r="AI768" i="1" s="1" a="1"/>
  <c r="AI768" i="1" s="1"/>
  <c r="AG769" i="1"/>
  <c r="AI769" i="1" s="1" a="1"/>
  <c r="AI769" i="1" s="1"/>
  <c r="AG770" i="1"/>
  <c r="AI770" i="1" s="1" a="1"/>
  <c r="AI770" i="1" s="1"/>
  <c r="AG771" i="1"/>
  <c r="AI771" i="1" s="1" a="1"/>
  <c r="AI771" i="1" s="1"/>
  <c r="AG772" i="1"/>
  <c r="AI772" i="1" s="1" a="1"/>
  <c r="AI772" i="1" s="1"/>
  <c r="AG773" i="1"/>
  <c r="AI773" i="1" s="1" a="1"/>
  <c r="AI773" i="1" s="1"/>
  <c r="AG774" i="1"/>
  <c r="AI774" i="1" s="1" a="1"/>
  <c r="AI774" i="1" s="1"/>
  <c r="AG775" i="1"/>
  <c r="AI775" i="1" s="1" a="1"/>
  <c r="AI775" i="1" s="1"/>
  <c r="AG776" i="1"/>
  <c r="AI776" i="1" s="1" a="1"/>
  <c r="AI776" i="1" s="1"/>
  <c r="AG777" i="1"/>
  <c r="AI777" i="1" s="1" a="1"/>
  <c r="AI777" i="1" s="1"/>
  <c r="AG778" i="1"/>
  <c r="AI778" i="1" s="1" a="1"/>
  <c r="AI778" i="1" s="1"/>
  <c r="AG779" i="1"/>
  <c r="AI779" i="1" s="1" a="1"/>
  <c r="AI779" i="1" s="1"/>
  <c r="AG780" i="1"/>
  <c r="AI780" i="1" s="1" a="1"/>
  <c r="AI780" i="1" s="1"/>
  <c r="AG781" i="1"/>
  <c r="AI781" i="1" s="1" a="1"/>
  <c r="AI781" i="1" s="1"/>
  <c r="AG782" i="1"/>
  <c r="AI782" i="1" s="1" a="1"/>
  <c r="AI782" i="1" s="1"/>
  <c r="AG783" i="1"/>
  <c r="AI783" i="1" s="1" a="1"/>
  <c r="AI783" i="1" s="1"/>
  <c r="AG784" i="1"/>
  <c r="AI784" i="1" s="1" a="1"/>
  <c r="AI784" i="1" s="1"/>
  <c r="AG785" i="1"/>
  <c r="AI785" i="1" s="1" a="1"/>
  <c r="AI785" i="1" s="1"/>
  <c r="AG786" i="1"/>
  <c r="AI786" i="1" s="1" a="1"/>
  <c r="AI786" i="1" s="1"/>
  <c r="AG787" i="1"/>
  <c r="AI787" i="1" s="1" a="1"/>
  <c r="AI787" i="1" s="1"/>
  <c r="AG788" i="1"/>
  <c r="AI788" i="1" s="1" a="1"/>
  <c r="AI788" i="1" s="1"/>
  <c r="AG789" i="1"/>
  <c r="AI789" i="1" s="1" a="1"/>
  <c r="AI789" i="1" s="1"/>
  <c r="AG790" i="1"/>
  <c r="AI790" i="1" s="1" a="1"/>
  <c r="AI790" i="1" s="1"/>
  <c r="AG791" i="1"/>
  <c r="AI791" i="1" s="1" a="1"/>
  <c r="AI791" i="1" s="1"/>
  <c r="AG792" i="1"/>
  <c r="AI792" i="1" s="1" a="1"/>
  <c r="AI792" i="1" s="1"/>
  <c r="AG793" i="1"/>
  <c r="AI793" i="1" s="1" a="1"/>
  <c r="AI793" i="1" s="1"/>
  <c r="AG794" i="1"/>
  <c r="AI794" i="1" s="1" a="1"/>
  <c r="AI794" i="1" s="1"/>
  <c r="AG795" i="1"/>
  <c r="AI795" i="1" s="1" a="1"/>
  <c r="AI795" i="1" s="1"/>
  <c r="AG796" i="1"/>
  <c r="AI796" i="1" s="1" a="1"/>
  <c r="AI796" i="1" s="1"/>
  <c r="AG797" i="1"/>
  <c r="AI797" i="1" s="1" a="1"/>
  <c r="AI797" i="1" s="1"/>
  <c r="AG798" i="1"/>
  <c r="AI798" i="1" s="1" a="1"/>
  <c r="AI798" i="1" s="1"/>
  <c r="AG799" i="1"/>
  <c r="AI799" i="1" s="1" a="1"/>
  <c r="AI799" i="1" s="1"/>
  <c r="AG800" i="1"/>
  <c r="AI800" i="1" s="1" a="1"/>
  <c r="AI800" i="1" s="1"/>
  <c r="AG801" i="1"/>
  <c r="AI801" i="1" s="1" a="1"/>
  <c r="AI801" i="1" s="1"/>
  <c r="AG802" i="1"/>
  <c r="AI802" i="1" s="1" a="1"/>
  <c r="AI802" i="1" s="1"/>
  <c r="AG803" i="1"/>
  <c r="AI803" i="1" s="1" a="1"/>
  <c r="AI803" i="1" s="1"/>
  <c r="AG804" i="1"/>
  <c r="AI804" i="1" s="1" a="1"/>
  <c r="AI804" i="1" s="1"/>
  <c r="AG805" i="1"/>
  <c r="AI805" i="1" s="1" a="1"/>
  <c r="AI805" i="1" s="1"/>
  <c r="AG806" i="1"/>
  <c r="AI806" i="1" s="1" a="1"/>
  <c r="AI806" i="1" s="1"/>
  <c r="AG807" i="1"/>
  <c r="AI807" i="1" s="1" a="1"/>
  <c r="AI807" i="1" s="1"/>
  <c r="AG808" i="1"/>
  <c r="AI808" i="1" s="1" a="1"/>
  <c r="AI808" i="1" s="1"/>
  <c r="AG809" i="1"/>
  <c r="AI809" i="1" s="1" a="1"/>
  <c r="AI809" i="1" s="1"/>
  <c r="AG810" i="1"/>
  <c r="AI810" i="1" s="1" a="1"/>
  <c r="AI810" i="1" s="1"/>
  <c r="AG811" i="1"/>
  <c r="AI811" i="1" s="1" a="1"/>
  <c r="AI811" i="1" s="1"/>
  <c r="AG812" i="1"/>
  <c r="AI812" i="1" s="1" a="1"/>
  <c r="AI812" i="1" s="1"/>
  <c r="AG813" i="1"/>
  <c r="AI813" i="1" s="1" a="1"/>
  <c r="AI813" i="1" s="1"/>
  <c r="AG814" i="1"/>
  <c r="AI814" i="1" s="1" a="1"/>
  <c r="AI814" i="1" s="1"/>
  <c r="AG815" i="1"/>
  <c r="AI815" i="1" s="1" a="1"/>
  <c r="AI815" i="1" s="1"/>
  <c r="AG816" i="1"/>
  <c r="AI816" i="1" s="1" a="1"/>
  <c r="AI816" i="1" s="1"/>
  <c r="AG817" i="1"/>
  <c r="AI817" i="1" s="1" a="1"/>
  <c r="AI817" i="1" s="1"/>
  <c r="AG818" i="1"/>
  <c r="AI818" i="1" s="1" a="1"/>
  <c r="AI818" i="1" s="1"/>
  <c r="AG819" i="1"/>
  <c r="AI819" i="1" s="1" a="1"/>
  <c r="AI819" i="1" s="1"/>
  <c r="AG820" i="1"/>
  <c r="AI820" i="1" s="1" a="1"/>
  <c r="AI820" i="1" s="1"/>
  <c r="AG821" i="1"/>
  <c r="AI821" i="1" s="1" a="1"/>
  <c r="AI821" i="1" s="1"/>
  <c r="AG822" i="1"/>
  <c r="AI822" i="1" s="1" a="1"/>
  <c r="AI822" i="1" s="1"/>
  <c r="AG823" i="1"/>
  <c r="AI823" i="1" s="1" a="1"/>
  <c r="AI823" i="1" s="1"/>
  <c r="AG824" i="1"/>
  <c r="AI824" i="1" s="1" a="1"/>
  <c r="AI824" i="1" s="1"/>
  <c r="AG825" i="1"/>
  <c r="AI825" i="1" s="1" a="1"/>
  <c r="AI825" i="1" s="1"/>
  <c r="AG826" i="1"/>
  <c r="AI826" i="1" s="1" a="1"/>
  <c r="AI826" i="1" s="1"/>
  <c r="AG827" i="1"/>
  <c r="AI827" i="1" s="1" a="1"/>
  <c r="AI827" i="1" s="1"/>
  <c r="AG828" i="1"/>
  <c r="AI828" i="1" s="1" a="1"/>
  <c r="AI828" i="1" s="1"/>
  <c r="AG829" i="1"/>
  <c r="AI829" i="1" s="1" a="1"/>
  <c r="AI829" i="1" s="1"/>
  <c r="AG830" i="1"/>
  <c r="AI830" i="1" s="1" a="1"/>
  <c r="AI830" i="1" s="1"/>
  <c r="AG831" i="1"/>
  <c r="AI831" i="1" s="1" a="1"/>
  <c r="AI831" i="1" s="1"/>
  <c r="AG832" i="1"/>
  <c r="AI832" i="1" s="1" a="1"/>
  <c r="AI832" i="1" s="1"/>
  <c r="AG833" i="1"/>
  <c r="AI833" i="1" s="1" a="1"/>
  <c r="AI833" i="1" s="1"/>
  <c r="AG834" i="1"/>
  <c r="AI834" i="1" s="1" a="1"/>
  <c r="AI834" i="1" s="1"/>
  <c r="AG835" i="1"/>
  <c r="AI835" i="1" s="1" a="1"/>
  <c r="AI835" i="1" s="1"/>
  <c r="AG836" i="1"/>
  <c r="AI836" i="1" s="1" a="1"/>
  <c r="AI836" i="1" s="1"/>
  <c r="AG837" i="1"/>
  <c r="AI837" i="1" s="1" a="1"/>
  <c r="AI837" i="1" s="1"/>
  <c r="AG838" i="1"/>
  <c r="AI838" i="1" s="1" a="1"/>
  <c r="AI838" i="1" s="1"/>
  <c r="AG839" i="1"/>
  <c r="AI839" i="1" s="1" a="1"/>
  <c r="AI839" i="1" s="1"/>
  <c r="AG840" i="1"/>
  <c r="AI840" i="1" s="1" a="1"/>
  <c r="AI840" i="1" s="1"/>
  <c r="AG841" i="1"/>
  <c r="AI841" i="1" s="1" a="1"/>
  <c r="AI841" i="1" s="1"/>
  <c r="AG842" i="1"/>
  <c r="AI842" i="1" s="1" a="1"/>
  <c r="AI842" i="1" s="1"/>
  <c r="AG843" i="1"/>
  <c r="AI843" i="1" s="1" a="1"/>
  <c r="AI843" i="1" s="1"/>
  <c r="AG844" i="1"/>
  <c r="AI844" i="1" s="1" a="1"/>
  <c r="AI844" i="1" s="1"/>
  <c r="AG845" i="1"/>
  <c r="AI845" i="1" s="1" a="1"/>
  <c r="AI845" i="1" s="1"/>
  <c r="AG846" i="1"/>
  <c r="AI846" i="1" s="1" a="1"/>
  <c r="AI846" i="1" s="1"/>
  <c r="AG847" i="1"/>
  <c r="AI847" i="1" s="1" a="1"/>
  <c r="AI847" i="1" s="1"/>
  <c r="AG848" i="1"/>
  <c r="AI848" i="1" s="1" a="1"/>
  <c r="AI848" i="1" s="1"/>
  <c r="AG849" i="1"/>
  <c r="AI849" i="1" s="1" a="1"/>
  <c r="AI849" i="1" s="1"/>
  <c r="AG850" i="1"/>
  <c r="AI850" i="1" s="1" a="1"/>
  <c r="AI850" i="1" s="1"/>
  <c r="AG851" i="1"/>
  <c r="AI851" i="1" s="1" a="1"/>
  <c r="AI851" i="1" s="1"/>
  <c r="AG852" i="1"/>
  <c r="AI852" i="1" s="1" a="1"/>
  <c r="AI852" i="1" s="1"/>
  <c r="AG853" i="1"/>
  <c r="AI853" i="1" s="1" a="1"/>
  <c r="AI853" i="1" s="1"/>
  <c r="AG854" i="1"/>
  <c r="AI854" i="1" s="1" a="1"/>
  <c r="AI854" i="1" s="1"/>
  <c r="AG855" i="1"/>
  <c r="AI855" i="1" s="1" a="1"/>
  <c r="AI855" i="1" s="1"/>
  <c r="AG856" i="1"/>
  <c r="AI856" i="1" s="1" a="1"/>
  <c r="AI856" i="1" s="1"/>
  <c r="AG857" i="1"/>
  <c r="AI857" i="1" s="1" a="1"/>
  <c r="AI857" i="1" s="1"/>
  <c r="AG858" i="1"/>
  <c r="AI858" i="1" s="1" a="1"/>
  <c r="AI858" i="1" s="1"/>
  <c r="AG859" i="1"/>
  <c r="AI859" i="1" s="1" a="1"/>
  <c r="AI859" i="1" s="1"/>
  <c r="AG860" i="1"/>
  <c r="AI860" i="1" s="1" a="1"/>
  <c r="AI860" i="1" s="1"/>
  <c r="AG861" i="1"/>
  <c r="AI861" i="1" s="1" a="1"/>
  <c r="AI861" i="1" s="1"/>
  <c r="AG862" i="1"/>
  <c r="AI862" i="1" s="1" a="1"/>
  <c r="AI862" i="1" s="1"/>
  <c r="AG863" i="1"/>
  <c r="AI863" i="1" s="1" a="1"/>
  <c r="AI863" i="1" s="1"/>
  <c r="AG864" i="1"/>
  <c r="AI864" i="1" s="1" a="1"/>
  <c r="AI864" i="1" s="1"/>
  <c r="AG865" i="1"/>
  <c r="AI865" i="1" s="1" a="1"/>
  <c r="AI865" i="1" s="1"/>
  <c r="AG866" i="1"/>
  <c r="AI866" i="1" s="1" a="1"/>
  <c r="AI866" i="1" s="1"/>
  <c r="AG867" i="1"/>
  <c r="AI867" i="1" s="1" a="1"/>
  <c r="AI867" i="1" s="1"/>
  <c r="AG868" i="1"/>
  <c r="AI868" i="1" s="1" a="1"/>
  <c r="AI868" i="1" s="1"/>
  <c r="AG869" i="1"/>
  <c r="AI869" i="1" s="1" a="1"/>
  <c r="AI869" i="1" s="1"/>
  <c r="AG870" i="1"/>
  <c r="AI870" i="1" s="1" a="1"/>
  <c r="AI870" i="1" s="1"/>
  <c r="AG871" i="1"/>
  <c r="AI871" i="1" s="1" a="1"/>
  <c r="AI871" i="1" s="1"/>
  <c r="AG872" i="1"/>
  <c r="AI872" i="1" s="1" a="1"/>
  <c r="AI872" i="1" s="1"/>
  <c r="AG873" i="1"/>
  <c r="AI873" i="1" s="1" a="1"/>
  <c r="AI873" i="1" s="1"/>
  <c r="AG874" i="1"/>
  <c r="AI874" i="1" s="1" a="1"/>
  <c r="AI874" i="1" s="1"/>
  <c r="AG875" i="1"/>
  <c r="AI875" i="1" s="1" a="1"/>
  <c r="AI875" i="1" s="1"/>
  <c r="AG876" i="1"/>
  <c r="AI876" i="1" s="1" a="1"/>
  <c r="AI876" i="1" s="1"/>
  <c r="AG877" i="1"/>
  <c r="AI877" i="1" s="1" a="1"/>
  <c r="AI877" i="1" s="1"/>
  <c r="AG878" i="1"/>
  <c r="AI878" i="1" s="1" a="1"/>
  <c r="AI878" i="1" s="1"/>
  <c r="AG879" i="1"/>
  <c r="AI879" i="1" s="1" a="1"/>
  <c r="AI879" i="1" s="1"/>
  <c r="AG880" i="1"/>
  <c r="AI880" i="1" s="1" a="1"/>
  <c r="AI880" i="1" s="1"/>
  <c r="AG881" i="1"/>
  <c r="AI881" i="1" s="1" a="1"/>
  <c r="AI881" i="1" s="1"/>
  <c r="AG882" i="1"/>
  <c r="AI882" i="1" s="1" a="1"/>
  <c r="AI882" i="1" s="1"/>
  <c r="AG883" i="1"/>
  <c r="AI883" i="1" s="1" a="1"/>
  <c r="AI883" i="1" s="1"/>
  <c r="AG884" i="1"/>
  <c r="AI884" i="1" s="1" a="1"/>
  <c r="AI884" i="1" s="1"/>
  <c r="AG885" i="1"/>
  <c r="AI885" i="1" s="1" a="1"/>
  <c r="AI885" i="1" s="1"/>
  <c r="AG886" i="1"/>
  <c r="AI886" i="1" s="1" a="1"/>
  <c r="AI886" i="1" s="1"/>
  <c r="AG887" i="1"/>
  <c r="AI887" i="1" s="1" a="1"/>
  <c r="AI887" i="1" s="1"/>
  <c r="AG888" i="1"/>
  <c r="AI888" i="1" s="1" a="1"/>
  <c r="AI888" i="1" s="1"/>
  <c r="AG889" i="1"/>
  <c r="AI889" i="1" s="1" a="1"/>
  <c r="AI889" i="1" s="1"/>
  <c r="AG890" i="1"/>
  <c r="AI890" i="1" s="1" a="1"/>
  <c r="AI890" i="1" s="1"/>
  <c r="AG891" i="1"/>
  <c r="AI891" i="1" s="1" a="1"/>
  <c r="AI891" i="1" s="1"/>
  <c r="AG892" i="1"/>
  <c r="AI892" i="1" s="1" a="1"/>
  <c r="AI892" i="1" s="1"/>
  <c r="AG893" i="1"/>
  <c r="AI893" i="1" s="1" a="1"/>
  <c r="AI893" i="1" s="1"/>
  <c r="AG894" i="1"/>
  <c r="AI894" i="1" s="1" a="1"/>
  <c r="AI894" i="1" s="1"/>
  <c r="AG895" i="1"/>
  <c r="AI895" i="1" s="1" a="1"/>
  <c r="AI895" i="1" s="1"/>
  <c r="AG896" i="1"/>
  <c r="AI896" i="1" s="1" a="1"/>
  <c r="AI896" i="1" s="1"/>
  <c r="AG897" i="1"/>
  <c r="AI897" i="1" s="1" a="1"/>
  <c r="AI897" i="1" s="1"/>
  <c r="AG898" i="1"/>
  <c r="AI898" i="1" s="1" a="1"/>
  <c r="AI898" i="1" s="1"/>
  <c r="AG899" i="1"/>
  <c r="AI899" i="1" s="1" a="1"/>
  <c r="AI899" i="1" s="1"/>
  <c r="AG900" i="1"/>
  <c r="AI900" i="1" s="1" a="1"/>
  <c r="AI900" i="1" s="1"/>
  <c r="AG901" i="1"/>
  <c r="AI901" i="1" s="1" a="1"/>
  <c r="AI901" i="1" s="1"/>
  <c r="AG902" i="1"/>
  <c r="AI902" i="1" s="1" a="1"/>
  <c r="AI902" i="1" s="1"/>
  <c r="AG903" i="1"/>
  <c r="AI903" i="1" s="1" a="1"/>
  <c r="AI903" i="1" s="1"/>
  <c r="AG904" i="1"/>
  <c r="AI904" i="1" s="1" a="1"/>
  <c r="AI904" i="1" s="1"/>
  <c r="AG905" i="1"/>
  <c r="AI905" i="1" s="1" a="1"/>
  <c r="AI905" i="1" s="1"/>
  <c r="AG906" i="1"/>
  <c r="AI906" i="1" s="1" a="1"/>
  <c r="AI906" i="1" s="1"/>
  <c r="AG907" i="1"/>
  <c r="AI907" i="1" s="1" a="1"/>
  <c r="AI907" i="1" s="1"/>
  <c r="AG908" i="1"/>
  <c r="AI908" i="1" s="1" a="1"/>
  <c r="AI908" i="1" s="1"/>
  <c r="AG909" i="1"/>
  <c r="AI909" i="1" s="1" a="1"/>
  <c r="AI909" i="1" s="1"/>
  <c r="AG910" i="1"/>
  <c r="AI910" i="1" s="1" a="1"/>
  <c r="AI910" i="1" s="1"/>
  <c r="AG911" i="1"/>
  <c r="AI911" i="1" s="1" a="1"/>
  <c r="AI911" i="1" s="1"/>
  <c r="AG912" i="1"/>
  <c r="AI912" i="1" s="1" a="1"/>
  <c r="AI912" i="1" s="1"/>
  <c r="AG913" i="1"/>
  <c r="AI913" i="1" s="1" a="1"/>
  <c r="AI913" i="1" s="1"/>
  <c r="AG914" i="1"/>
  <c r="AI914" i="1" s="1" a="1"/>
  <c r="AI914" i="1" s="1"/>
  <c r="AG915" i="1"/>
  <c r="AI915" i="1" s="1" a="1"/>
  <c r="AI915" i="1" s="1"/>
  <c r="AG916" i="1"/>
  <c r="AI916" i="1" s="1" a="1"/>
  <c r="AI916" i="1" s="1"/>
  <c r="AG917" i="1"/>
  <c r="AI917" i="1" s="1" a="1"/>
  <c r="AI917" i="1" s="1"/>
  <c r="AG918" i="1"/>
  <c r="AI918" i="1" s="1" a="1"/>
  <c r="AI918" i="1" s="1"/>
  <c r="AG919" i="1"/>
  <c r="AI919" i="1" s="1" a="1"/>
  <c r="AI919" i="1" s="1"/>
  <c r="AG920" i="1"/>
  <c r="AI920" i="1" s="1" a="1"/>
  <c r="AI920" i="1" s="1"/>
  <c r="AG921" i="1"/>
  <c r="AI921" i="1" s="1" a="1"/>
  <c r="AI921" i="1" s="1"/>
  <c r="AG922" i="1"/>
  <c r="AI922" i="1" s="1" a="1"/>
  <c r="AI922" i="1" s="1"/>
  <c r="AG923" i="1"/>
  <c r="AI923" i="1" s="1" a="1"/>
  <c r="AI923" i="1" s="1"/>
  <c r="AG924" i="1"/>
  <c r="AI924" i="1" s="1" a="1"/>
  <c r="AI924" i="1" s="1"/>
  <c r="AG925" i="1"/>
  <c r="AI925" i="1" s="1" a="1"/>
  <c r="AI925" i="1" s="1"/>
  <c r="AG926" i="1"/>
  <c r="AI926" i="1" s="1" a="1"/>
  <c r="AI926" i="1" s="1"/>
  <c r="AG927" i="1"/>
  <c r="AI927" i="1" s="1" a="1"/>
  <c r="AI927" i="1" s="1"/>
  <c r="AG928" i="1"/>
  <c r="AI928" i="1" s="1" a="1"/>
  <c r="AI928" i="1" s="1"/>
  <c r="AG929" i="1"/>
  <c r="AI929" i="1" s="1" a="1"/>
  <c r="AI929" i="1" s="1"/>
  <c r="AG930" i="1"/>
  <c r="AI930" i="1" s="1" a="1"/>
  <c r="AI930" i="1" s="1"/>
  <c r="AG931" i="1"/>
  <c r="AI931" i="1" s="1" a="1"/>
  <c r="AI931" i="1" s="1"/>
  <c r="AG932" i="1"/>
  <c r="AI932" i="1" s="1" a="1"/>
  <c r="AI932" i="1" s="1"/>
  <c r="AG933" i="1"/>
  <c r="AI933" i="1" s="1" a="1"/>
  <c r="AI933" i="1" s="1"/>
  <c r="AG934" i="1"/>
  <c r="AI934" i="1" s="1" a="1"/>
  <c r="AI934" i="1" s="1"/>
  <c r="AG935" i="1"/>
  <c r="AI935" i="1" s="1" a="1"/>
  <c r="AI935" i="1" s="1"/>
  <c r="AG936" i="1"/>
  <c r="AI936" i="1" s="1" a="1"/>
  <c r="AI936" i="1" s="1"/>
  <c r="AG937" i="1"/>
  <c r="AI937" i="1" s="1" a="1"/>
  <c r="AI937" i="1" s="1"/>
  <c r="AG938" i="1"/>
  <c r="AI938" i="1" s="1" a="1"/>
  <c r="AI938" i="1" s="1"/>
  <c r="AG939" i="1"/>
  <c r="AI939" i="1" s="1" a="1"/>
  <c r="AI939" i="1" s="1"/>
  <c r="AG940" i="1"/>
  <c r="AI940" i="1" s="1" a="1"/>
  <c r="AI940" i="1" s="1"/>
  <c r="AG941" i="1"/>
  <c r="AI941" i="1" s="1" a="1"/>
  <c r="AI941" i="1" s="1"/>
  <c r="AG942" i="1"/>
  <c r="AI942" i="1" s="1" a="1"/>
  <c r="AI942" i="1" s="1"/>
  <c r="AG943" i="1"/>
  <c r="AI943" i="1" s="1" a="1"/>
  <c r="AI943" i="1" s="1"/>
  <c r="AG944" i="1"/>
  <c r="AI944" i="1" s="1" a="1"/>
  <c r="AI944" i="1" s="1"/>
  <c r="AG945" i="1"/>
  <c r="AI945" i="1" s="1" a="1"/>
  <c r="AI945" i="1" s="1"/>
  <c r="AG946" i="1"/>
  <c r="AI946" i="1" s="1" a="1"/>
  <c r="AI946" i="1" s="1"/>
  <c r="AG947" i="1"/>
  <c r="AI947" i="1" s="1" a="1"/>
  <c r="AI947" i="1" s="1"/>
  <c r="AG948" i="1"/>
  <c r="AI948" i="1" s="1" a="1"/>
  <c r="AI948" i="1" s="1"/>
  <c r="AG949" i="1"/>
  <c r="AI949" i="1" s="1" a="1"/>
  <c r="AI949" i="1" s="1"/>
  <c r="AG950" i="1"/>
  <c r="AI950" i="1" s="1" a="1"/>
  <c r="AI950" i="1" s="1"/>
  <c r="AG951" i="1"/>
  <c r="AI951" i="1" s="1" a="1"/>
  <c r="AI951" i="1" s="1"/>
  <c r="AG952" i="1"/>
  <c r="AI952" i="1" s="1" a="1"/>
  <c r="AI952" i="1" s="1"/>
  <c r="AG953" i="1"/>
  <c r="AI953" i="1" s="1" a="1"/>
  <c r="AI953" i="1" s="1"/>
  <c r="AG954" i="1"/>
  <c r="AI954" i="1" s="1" a="1"/>
  <c r="AI954" i="1" s="1"/>
  <c r="AG955" i="1"/>
  <c r="AI955" i="1" s="1" a="1"/>
  <c r="AI955" i="1" s="1"/>
  <c r="AG956" i="1"/>
  <c r="AI956" i="1" s="1" a="1"/>
  <c r="AI956" i="1" s="1"/>
  <c r="AG957" i="1"/>
  <c r="AI957" i="1" s="1" a="1"/>
  <c r="AI957" i="1" s="1"/>
  <c r="AG958" i="1"/>
  <c r="AI958" i="1" s="1" a="1"/>
  <c r="AI958" i="1" s="1"/>
  <c r="AG959" i="1"/>
  <c r="AI959" i="1" s="1" a="1"/>
  <c r="AI959" i="1" s="1"/>
  <c r="AG960" i="1"/>
  <c r="AI960" i="1" s="1" a="1"/>
  <c r="AI960" i="1" s="1"/>
  <c r="AG961" i="1"/>
  <c r="AI961" i="1" s="1" a="1"/>
  <c r="AI961" i="1" s="1"/>
  <c r="AG962" i="1"/>
  <c r="AI962" i="1" s="1" a="1"/>
  <c r="AI962" i="1" s="1"/>
  <c r="AG963" i="1"/>
  <c r="AI963" i="1" s="1" a="1"/>
  <c r="AI963" i="1" s="1"/>
  <c r="AG964" i="1"/>
  <c r="AI964" i="1" s="1" a="1"/>
  <c r="AI964" i="1" s="1"/>
  <c r="AG965" i="1"/>
  <c r="AI965" i="1" s="1" a="1"/>
  <c r="AI965" i="1" s="1"/>
  <c r="AG966" i="1"/>
  <c r="AI966" i="1" s="1" a="1"/>
  <c r="AI966" i="1" s="1"/>
  <c r="AG967" i="1"/>
  <c r="AI967" i="1" s="1" a="1"/>
  <c r="AI967" i="1" s="1"/>
  <c r="AG968" i="1"/>
  <c r="AI968" i="1" s="1" a="1"/>
  <c r="AI968" i="1" s="1"/>
  <c r="AG969" i="1"/>
  <c r="AI969" i="1" s="1" a="1"/>
  <c r="AI969" i="1" s="1"/>
  <c r="AG970" i="1"/>
  <c r="AI970" i="1" s="1" a="1"/>
  <c r="AI970" i="1" s="1"/>
  <c r="AG971" i="1"/>
  <c r="AI971" i="1" s="1" a="1"/>
  <c r="AI971" i="1" s="1"/>
  <c r="AG972" i="1"/>
  <c r="AI972" i="1" s="1" a="1"/>
  <c r="AI972" i="1" s="1"/>
  <c r="AG973" i="1"/>
  <c r="AI973" i="1" s="1" a="1"/>
  <c r="AI973" i="1" s="1"/>
  <c r="AG974" i="1"/>
  <c r="AI974" i="1" s="1" a="1"/>
  <c r="AI974" i="1" s="1"/>
  <c r="AG975" i="1"/>
  <c r="AI975" i="1" s="1" a="1"/>
  <c r="AI975" i="1" s="1"/>
  <c r="AG976" i="1"/>
  <c r="AI976" i="1" s="1" a="1"/>
  <c r="AI976" i="1" s="1"/>
  <c r="AG977" i="1"/>
  <c r="AI977" i="1" s="1" a="1"/>
  <c r="AI977" i="1" s="1"/>
  <c r="AG978" i="1"/>
  <c r="AI978" i="1" s="1" a="1"/>
  <c r="AI978" i="1" s="1"/>
  <c r="AG979" i="1"/>
  <c r="AI979" i="1" s="1" a="1"/>
  <c r="AI979" i="1" s="1"/>
  <c r="AG980" i="1"/>
  <c r="AI980" i="1" s="1" a="1"/>
  <c r="AI980" i="1" s="1"/>
  <c r="AG981" i="1"/>
  <c r="AI981" i="1" s="1" a="1"/>
  <c r="AI981" i="1" s="1"/>
  <c r="AG982" i="1"/>
  <c r="AI982" i="1" s="1" a="1"/>
  <c r="AI982" i="1" s="1"/>
  <c r="AG983" i="1"/>
  <c r="AI983" i="1" s="1" a="1"/>
  <c r="AI983" i="1" s="1"/>
  <c r="AG984" i="1"/>
  <c r="AI984" i="1" s="1" a="1"/>
  <c r="AI984" i="1" s="1"/>
  <c r="AG985" i="1"/>
  <c r="AI985" i="1" s="1" a="1"/>
  <c r="AI985" i="1" s="1"/>
  <c r="AG986" i="1"/>
  <c r="AI986" i="1" s="1" a="1"/>
  <c r="AI986" i="1" s="1"/>
  <c r="AG987" i="1"/>
  <c r="AI987" i="1" s="1" a="1"/>
  <c r="AI987" i="1" s="1"/>
  <c r="AG988" i="1"/>
  <c r="AI988" i="1" s="1" a="1"/>
  <c r="AI988" i="1" s="1"/>
  <c r="AG989" i="1"/>
  <c r="AI989" i="1" s="1" a="1"/>
  <c r="AI989" i="1" s="1"/>
  <c r="AG990" i="1"/>
  <c r="AI990" i="1" s="1" a="1"/>
  <c r="AI990" i="1" s="1"/>
  <c r="AG991" i="1"/>
  <c r="AI991" i="1" s="1" a="1"/>
  <c r="AI991" i="1" s="1"/>
  <c r="AG992" i="1"/>
  <c r="AI992" i="1" s="1" a="1"/>
  <c r="AI992" i="1" s="1"/>
  <c r="AG993" i="1"/>
  <c r="AI993" i="1" s="1" a="1"/>
  <c r="AI993" i="1" s="1"/>
  <c r="AG994" i="1"/>
  <c r="AI994" i="1" s="1" a="1"/>
  <c r="AI994" i="1" s="1"/>
  <c r="AG995" i="1"/>
  <c r="AI995" i="1" s="1" a="1"/>
  <c r="AI995" i="1" s="1"/>
  <c r="AG996" i="1"/>
  <c r="AI996" i="1" s="1" a="1"/>
  <c r="AI996" i="1" s="1"/>
  <c r="AG997" i="1"/>
  <c r="AI997" i="1" s="1" a="1"/>
  <c r="AI997" i="1" s="1"/>
  <c r="AG998" i="1"/>
  <c r="AI998" i="1" s="1" a="1"/>
  <c r="AI998" i="1" s="1"/>
  <c r="AG999" i="1"/>
  <c r="AI999" i="1" s="1" a="1"/>
  <c r="AI999" i="1" s="1"/>
  <c r="AG1000" i="1"/>
  <c r="AI1000" i="1" s="1" a="1"/>
  <c r="AI1000" i="1" s="1"/>
  <c r="AG1001" i="1"/>
  <c r="AI1001" i="1" s="1" a="1"/>
  <c r="AI1001" i="1" s="1"/>
  <c r="AG3" i="1"/>
  <c r="AI3" i="1" s="1" a="1"/>
  <c r="AI3" i="1" s="1"/>
  <c r="AG4" i="1"/>
  <c r="AI4" i="1" s="1" a="1"/>
  <c r="AI4" i="1" s="1"/>
  <c r="AG5" i="1"/>
  <c r="AI5" i="1" s="1" a="1"/>
  <c r="AI5" i="1" s="1"/>
  <c r="AG2" i="1"/>
  <c r="AI2" i="1" s="1" a="1"/>
  <c r="AI2" i="1" s="1"/>
  <c r="B3" i="2"/>
  <c r="B2" i="2"/>
  <c r="E23" i="2" l="1"/>
  <c r="E21" i="2"/>
  <c r="E22" i="2"/>
  <c r="E19" i="2"/>
  <c r="E20" i="2"/>
  <c r="B6" i="2"/>
  <c r="H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<sst xmlns="http://schemas.openxmlformats.org/spreadsheetml/2006/main" count="16858" uniqueCount="1546">
  <si>
    <t>Sicil No</t>
  </si>
  <si>
    <t>Ad Soyad</t>
  </si>
  <si>
    <t>Cinsiyet</t>
  </si>
  <si>
    <t>Doğum Tarihi</t>
  </si>
  <si>
    <t>Yaş</t>
  </si>
  <si>
    <t>Medeni Durum</t>
  </si>
  <si>
    <t>Çocuk Sayısı</t>
  </si>
  <si>
    <t>Eğitim Durumu</t>
  </si>
  <si>
    <t>Departman</t>
  </si>
  <si>
    <t>Pozisyon</t>
  </si>
  <si>
    <t>Kademe</t>
  </si>
  <si>
    <t>Yaka Tipi</t>
  </si>
  <si>
    <t>Yönetici</t>
  </si>
  <si>
    <t>Lokasyon</t>
  </si>
  <si>
    <t>İşe Giriş Tarihi</t>
  </si>
  <si>
    <t>İşe Çıkış Tarihi</t>
  </si>
  <si>
    <t>Çıkış Nedeni</t>
  </si>
  <si>
    <t>SGK Çıkış Kodu</t>
  </si>
  <si>
    <t>Durum</t>
  </si>
  <si>
    <t>Brüt Maaş</t>
  </si>
  <si>
    <t>Prim</t>
  </si>
  <si>
    <t>Fazla Mesai (Saat)</t>
  </si>
  <si>
    <t>SGK Gün Sayısı</t>
  </si>
  <si>
    <t>Eksik Gün Kodu</t>
  </si>
  <si>
    <t>Rapor Gün Sayısı</t>
  </si>
  <si>
    <t>Kullanılan Yıllık İzin</t>
  </si>
  <si>
    <t>Ücretsiz İzin Gün</t>
  </si>
  <si>
    <t>Devamsızlık Gün</t>
  </si>
  <si>
    <t>Performans Notu</t>
  </si>
  <si>
    <t>Eğitim Saati</t>
  </si>
  <si>
    <t>Başvuru Kaynağı</t>
  </si>
  <si>
    <t>PER0001</t>
  </si>
  <si>
    <t>Selin Kara</t>
  </si>
  <si>
    <t>Kadın</t>
  </si>
  <si>
    <t>Bekar</t>
  </si>
  <si>
    <t>Lisans</t>
  </si>
  <si>
    <t>Üretim &amp; Operasyon</t>
  </si>
  <si>
    <t>Operatör</t>
  </si>
  <si>
    <t>Junior</t>
  </si>
  <si>
    <t>Mavi Yaka</t>
  </si>
  <si>
    <t>Üretim &amp; Operasyon Müdürü</t>
  </si>
  <si>
    <t>İstanbul Merkez</t>
  </si>
  <si>
    <t>Sağlık Sebepleri</t>
  </si>
  <si>
    <t>Pasif</t>
  </si>
  <si>
    <t>-</t>
  </si>
  <si>
    <t>LinkedIn</t>
  </si>
  <si>
    <t>PER0002</t>
  </si>
  <si>
    <t>Hüseyin Çetin</t>
  </si>
  <si>
    <t>Erkek</t>
  </si>
  <si>
    <t>Evli</t>
  </si>
  <si>
    <t>Takım Lideri</t>
  </si>
  <si>
    <t>Senior</t>
  </si>
  <si>
    <t>İzmir Merkez</t>
  </si>
  <si>
    <t>İstifa (Kariyer Değişikliği)</t>
  </si>
  <si>
    <t>PER0003</t>
  </si>
  <si>
    <t>Mustafa Kaya</t>
  </si>
  <si>
    <t>Aktif</t>
  </si>
  <si>
    <t>01-Istirahat</t>
  </si>
  <si>
    <t>Kariyer.net</t>
  </si>
  <si>
    <t>PER0004</t>
  </si>
  <si>
    <t>Merve Aydın</t>
  </si>
  <si>
    <t>Satış &amp; Pazarlama</t>
  </si>
  <si>
    <t>Satış Temsilcisi</t>
  </si>
  <si>
    <t>Beyaz Yaka</t>
  </si>
  <si>
    <t>Satış &amp; Pazarlama Müdürü</t>
  </si>
  <si>
    <t>PER0005</t>
  </si>
  <si>
    <t>Fatma Öztürk</t>
  </si>
  <si>
    <t>Gebze Fabrika</t>
  </si>
  <si>
    <t>PER0006</t>
  </si>
  <si>
    <t>Mustafa Çetin</t>
  </si>
  <si>
    <t>Finans &amp; Muhasebe</t>
  </si>
  <si>
    <t>Mali İşler Uzmanı</t>
  </si>
  <si>
    <t>Finans &amp; Muhasebe Müdürü</t>
  </si>
  <si>
    <t>Şirket Web Sitesi</t>
  </si>
  <si>
    <t>PER0007</t>
  </si>
  <si>
    <t>İrem Çetin</t>
  </si>
  <si>
    <t>PER0008</t>
  </si>
  <si>
    <t>Burak Öztürk</t>
  </si>
  <si>
    <t>Üretim Müdürü</t>
  </si>
  <si>
    <t>Manager</t>
  </si>
  <si>
    <t>Genel Müdür</t>
  </si>
  <si>
    <t>02-Ucretsiz Izin</t>
  </si>
  <si>
    <t>Referans</t>
  </si>
  <si>
    <t>PER0009</t>
  </si>
  <si>
    <t>İrem Yıldız</t>
  </si>
  <si>
    <t>Yüksek Lisans</t>
  </si>
  <si>
    <t>PER0010</t>
  </si>
  <si>
    <t>Furkan Çelik</t>
  </si>
  <si>
    <t>Önlisans</t>
  </si>
  <si>
    <t>Ankara Merkez</t>
  </si>
  <si>
    <t>PER0011</t>
  </si>
  <si>
    <t>Furkan Aslan</t>
  </si>
  <si>
    <t>Muhasebe Elemanı</t>
  </si>
  <si>
    <t>PER0012</t>
  </si>
  <si>
    <t>Hasan Yılmaz</t>
  </si>
  <si>
    <t>Bursa Merkez</t>
  </si>
  <si>
    <t>Danışmanlık Firması</t>
  </si>
  <si>
    <t>PER0013</t>
  </si>
  <si>
    <t>Selin Şahin</t>
  </si>
  <si>
    <t>PER0014</t>
  </si>
  <si>
    <t>Gamze Demir</t>
  </si>
  <si>
    <t>PER0015</t>
  </si>
  <si>
    <t>Burak Doğan</t>
  </si>
  <si>
    <t>PER0016</t>
  </si>
  <si>
    <t>Kübra Özdemir</t>
  </si>
  <si>
    <t>PER0017</t>
  </si>
  <si>
    <t>Dilan Çetin</t>
  </si>
  <si>
    <t>Kıdemli Satış Uzmanı</t>
  </si>
  <si>
    <t>PER0018</t>
  </si>
  <si>
    <t>Mehmet Yılmaz</t>
  </si>
  <si>
    <t>PER0019</t>
  </si>
  <si>
    <t>Ayşe Aslan</t>
  </si>
  <si>
    <t>10-Devamsizlik</t>
  </si>
  <si>
    <t>PER0020</t>
  </si>
  <si>
    <t>Emre Çetin</t>
  </si>
  <si>
    <t>PER0021</t>
  </si>
  <si>
    <t>Can Şahin</t>
  </si>
  <si>
    <t>PER0022</t>
  </si>
  <si>
    <t>Ecem Kaya</t>
  </si>
  <si>
    <t>PER0023</t>
  </si>
  <si>
    <t>Elif Kılıç</t>
  </si>
  <si>
    <t>Performans Yetersizliği</t>
  </si>
  <si>
    <t>PER0024</t>
  </si>
  <si>
    <t>Kübra Kara</t>
  </si>
  <si>
    <t>Satış Müdürü</t>
  </si>
  <si>
    <t>PER0025</t>
  </si>
  <si>
    <t>Selin Kılıç</t>
  </si>
  <si>
    <t>PER0026</t>
  </si>
  <si>
    <t>Ali Kara</t>
  </si>
  <si>
    <t>Finans Müdürü</t>
  </si>
  <si>
    <t>PER0027</t>
  </si>
  <si>
    <t>Ayşe Öztürk</t>
  </si>
  <si>
    <t>PER0028</t>
  </si>
  <si>
    <t>Hüseyin Doğan</t>
  </si>
  <si>
    <t>PER0029</t>
  </si>
  <si>
    <t>PER0030</t>
  </si>
  <si>
    <t>Ahmet Çetin</t>
  </si>
  <si>
    <t>PER0031</t>
  </si>
  <si>
    <t>Defne Öztürk</t>
  </si>
  <si>
    <t>Bilgi Teknolojileri</t>
  </si>
  <si>
    <t>BT Müdürü</t>
  </si>
  <si>
    <t>PER0032</t>
  </si>
  <si>
    <t>Ecem Aslan</t>
  </si>
  <si>
    <t>PER0033</t>
  </si>
  <si>
    <t>PER0034</t>
  </si>
  <si>
    <t>Can Yıldız</t>
  </si>
  <si>
    <t>PER0035</t>
  </si>
  <si>
    <t>Ecem Doğan</t>
  </si>
  <si>
    <t>İnsan Kaynakları</t>
  </si>
  <si>
    <t>İK Uzmanı</t>
  </si>
  <si>
    <t>İnsan Kaynakları Müdürü</t>
  </si>
  <si>
    <t>PER0036</t>
  </si>
  <si>
    <t>Oğuzhan Çetin</t>
  </si>
  <si>
    <t>PER0037</t>
  </si>
  <si>
    <t>Oğuzhan Çelik</t>
  </si>
  <si>
    <t>PER0038</t>
  </si>
  <si>
    <t>Ömer Şahin</t>
  </si>
  <si>
    <t>PER0039</t>
  </si>
  <si>
    <t>Hüseyin Aydın</t>
  </si>
  <si>
    <t>PER0040</t>
  </si>
  <si>
    <t>Ömer Kara</t>
  </si>
  <si>
    <t>Kıdemli Yazılım Uzmanı</t>
  </si>
  <si>
    <t>Bilgi Teknolojileri Müdürü</t>
  </si>
  <si>
    <t>PER0041</t>
  </si>
  <si>
    <t>Burak Arslan</t>
  </si>
  <si>
    <t>PER0042</t>
  </si>
  <si>
    <t>Ali Kaya</t>
  </si>
  <si>
    <t>PER0043</t>
  </si>
  <si>
    <t>Ecem Öztürk</t>
  </si>
  <si>
    <t>PER0044</t>
  </si>
  <si>
    <t>Ahmet Öztürk</t>
  </si>
  <si>
    <t>PER0045</t>
  </si>
  <si>
    <t>Ömer Yılmaz</t>
  </si>
  <si>
    <t>PER0046</t>
  </si>
  <si>
    <t>Aslan Özdemir</t>
  </si>
  <si>
    <t>PER0047</t>
  </si>
  <si>
    <t>Ali Şahin</t>
  </si>
  <si>
    <t>Evlilik/Taşınma</t>
  </si>
  <si>
    <t>PER0048</t>
  </si>
  <si>
    <t>Serkan Kaya</t>
  </si>
  <si>
    <t>PER0049</t>
  </si>
  <si>
    <t>Hüseyin Kılıç</t>
  </si>
  <si>
    <t>PER0050</t>
  </si>
  <si>
    <t>Furkan Demir</t>
  </si>
  <si>
    <t>Doktora</t>
  </si>
  <si>
    <t>PER0051</t>
  </si>
  <si>
    <t>Mustafa Aslan</t>
  </si>
  <si>
    <t>PER0052</t>
  </si>
  <si>
    <t>Furkan Aydın</t>
  </si>
  <si>
    <t>PER0053</t>
  </si>
  <si>
    <t>Can Doğan</t>
  </si>
  <si>
    <t>PER0054</t>
  </si>
  <si>
    <t>Ecem Demir</t>
  </si>
  <si>
    <t>PER0055</t>
  </si>
  <si>
    <t>Oğuzhan Özdemir</t>
  </si>
  <si>
    <t>PER0056</t>
  </si>
  <si>
    <t>Serkan Aslan</t>
  </si>
  <si>
    <t>İK Müdürü</t>
  </si>
  <si>
    <t>PER0057</t>
  </si>
  <si>
    <t>Mehmet Çelik</t>
  </si>
  <si>
    <t>PER0058</t>
  </si>
  <si>
    <t>Aslan Çelik</t>
  </si>
  <si>
    <t>PER0059</t>
  </si>
  <si>
    <t>Defne Doğan</t>
  </si>
  <si>
    <t>PER0060</t>
  </si>
  <si>
    <t>Burak Demir</t>
  </si>
  <si>
    <t>PER0061</t>
  </si>
  <si>
    <t>Gökhan Şahin</t>
  </si>
  <si>
    <t>PER0062</t>
  </si>
  <si>
    <t>Hasan Kaya</t>
  </si>
  <si>
    <t>PER0063</t>
  </si>
  <si>
    <t>Selin Çetin</t>
  </si>
  <si>
    <t>PER0064</t>
  </si>
  <si>
    <t>PER0065</t>
  </si>
  <si>
    <t>Burak Şahin</t>
  </si>
  <si>
    <t>PER0066</t>
  </si>
  <si>
    <t>Mustafa Arslan</t>
  </si>
  <si>
    <t>PER0067</t>
  </si>
  <si>
    <t>PER0068</t>
  </si>
  <si>
    <t>PER0069</t>
  </si>
  <si>
    <t>Elif Çetin</t>
  </si>
  <si>
    <t>PER0070</t>
  </si>
  <si>
    <t>Gökhan Yıldız</t>
  </si>
  <si>
    <t>PER0071</t>
  </si>
  <si>
    <t>PER0072</t>
  </si>
  <si>
    <t>Elif Aslan</t>
  </si>
  <si>
    <t>PER0073</t>
  </si>
  <si>
    <t>Hilal Yıldız</t>
  </si>
  <si>
    <t>PER0074</t>
  </si>
  <si>
    <t>PER0075</t>
  </si>
  <si>
    <t>Hasan Doğan</t>
  </si>
  <si>
    <t>PER0076</t>
  </si>
  <si>
    <t>Selin Arslan</t>
  </si>
  <si>
    <t>PER0077</t>
  </si>
  <si>
    <t>Defne Kılıç</t>
  </si>
  <si>
    <t>Yazılım Uzman Yardımcısı</t>
  </si>
  <si>
    <t>PER0078</t>
  </si>
  <si>
    <t>Mustafa Aydın</t>
  </si>
  <si>
    <t>PER0079</t>
  </si>
  <si>
    <t>Büşra Yılmaz</t>
  </si>
  <si>
    <t>PER0080</t>
  </si>
  <si>
    <t>PER0081</t>
  </si>
  <si>
    <t>Serkan Demir</t>
  </si>
  <si>
    <t>PER0082</t>
  </si>
  <si>
    <t>İrem Kaya</t>
  </si>
  <si>
    <t>PER0083</t>
  </si>
  <si>
    <t>PER0084</t>
  </si>
  <si>
    <t>Defne Şahin</t>
  </si>
  <si>
    <t>PER0085</t>
  </si>
  <si>
    <t>Dilan Öztürk</t>
  </si>
  <si>
    <t>PER0086</t>
  </si>
  <si>
    <t>İrem Kara</t>
  </si>
  <si>
    <t>İK Uzman Yardımcısı</t>
  </si>
  <si>
    <t>PER0087</t>
  </si>
  <si>
    <t>Oğuzhan Kılıç</t>
  </si>
  <si>
    <t>PER0088</t>
  </si>
  <si>
    <t>Can Aydın</t>
  </si>
  <si>
    <t>PER0089</t>
  </si>
  <si>
    <t>Aslan Çetin</t>
  </si>
  <si>
    <t>PER0090</t>
  </si>
  <si>
    <t>Furkan Kaya</t>
  </si>
  <si>
    <t>PER0091</t>
  </si>
  <si>
    <t>Volkan Kaya</t>
  </si>
  <si>
    <t>PER0092</t>
  </si>
  <si>
    <t>PER0093</t>
  </si>
  <si>
    <t>Can Özdemir</t>
  </si>
  <si>
    <t>PER0094</t>
  </si>
  <si>
    <t>PER0095</t>
  </si>
  <si>
    <t>PER0096</t>
  </si>
  <si>
    <t>PER0097</t>
  </si>
  <si>
    <t>Ali Yılmaz</t>
  </si>
  <si>
    <t>PER0098</t>
  </si>
  <si>
    <t>PER0099</t>
  </si>
  <si>
    <t>Can Arslan</t>
  </si>
  <si>
    <t>PER0100</t>
  </si>
  <si>
    <t>Ahmet Kaya</t>
  </si>
  <si>
    <t>PER0101</t>
  </si>
  <si>
    <t>PER0102</t>
  </si>
  <si>
    <t>Mehmet Doğan</t>
  </si>
  <si>
    <t>PER0103</t>
  </si>
  <si>
    <t>Serkan Aydın</t>
  </si>
  <si>
    <t>PER0104</t>
  </si>
  <si>
    <t>PER0105</t>
  </si>
  <si>
    <t>Hilal Aydın</t>
  </si>
  <si>
    <t>PER0106</t>
  </si>
  <si>
    <t>Gökhan Yılmaz</t>
  </si>
  <si>
    <t>PER0107</t>
  </si>
  <si>
    <t>PER0108</t>
  </si>
  <si>
    <t>PER0109</t>
  </si>
  <si>
    <t>Aslan Kılıç</t>
  </si>
  <si>
    <t>PER0110</t>
  </si>
  <si>
    <t>PER0111</t>
  </si>
  <si>
    <t>Burak Kılıç</t>
  </si>
  <si>
    <t>PER0112</t>
  </si>
  <si>
    <t>PER0113</t>
  </si>
  <si>
    <t>PER0114</t>
  </si>
  <si>
    <t>Aslan Kaya</t>
  </si>
  <si>
    <t>PER0115</t>
  </si>
  <si>
    <t>Fatma Kılıç</t>
  </si>
  <si>
    <t>PER0116</t>
  </si>
  <si>
    <t>Emre Özdemir</t>
  </si>
  <si>
    <t>PER0117</t>
  </si>
  <si>
    <t>Hüseyin Çelik</t>
  </si>
  <si>
    <t>PER0118</t>
  </si>
  <si>
    <t>PER0119</t>
  </si>
  <si>
    <t>Aslan Şahin</t>
  </si>
  <si>
    <t>PER0120</t>
  </si>
  <si>
    <t>Selin Yılmaz</t>
  </si>
  <si>
    <t>PER0121</t>
  </si>
  <si>
    <t>Ayşe Çelik</t>
  </si>
  <si>
    <t>PER0122</t>
  </si>
  <si>
    <t>Hüseyin Kara</t>
  </si>
  <si>
    <t>PER0123</t>
  </si>
  <si>
    <t>Hasan Şahin</t>
  </si>
  <si>
    <t>PER0124</t>
  </si>
  <si>
    <t>Mustafa Demir</t>
  </si>
  <si>
    <t>PER0125</t>
  </si>
  <si>
    <t>Elif Arslan</t>
  </si>
  <si>
    <t>PER0126</t>
  </si>
  <si>
    <t>Mustafa Çelik</t>
  </si>
  <si>
    <t>PER0127</t>
  </si>
  <si>
    <t>Büşra Yıldız</t>
  </si>
  <si>
    <t>PER0128</t>
  </si>
  <si>
    <t>Fatma Arslan</t>
  </si>
  <si>
    <t>PER0129</t>
  </si>
  <si>
    <t>Gökhan Özdemir</t>
  </si>
  <si>
    <t>PER0130</t>
  </si>
  <si>
    <t>PER0131</t>
  </si>
  <si>
    <t>PER0132</t>
  </si>
  <si>
    <t>Merve Özdemir</t>
  </si>
  <si>
    <t>PER0133</t>
  </si>
  <si>
    <t>PER0134</t>
  </si>
  <si>
    <t>Ömer Aydın</t>
  </si>
  <si>
    <t>PER0135</t>
  </si>
  <si>
    <t>PER0136</t>
  </si>
  <si>
    <t>Hasan Özdemir</t>
  </si>
  <si>
    <t>PER0137</t>
  </si>
  <si>
    <t>Ahmet Doğan</t>
  </si>
  <si>
    <t>PER0138</t>
  </si>
  <si>
    <t>PER0139</t>
  </si>
  <si>
    <t>Gamze Doğan</t>
  </si>
  <si>
    <t>PER0140</t>
  </si>
  <si>
    <t>Hüseyin Kaya</t>
  </si>
  <si>
    <t>PER0141</t>
  </si>
  <si>
    <t>Ömer Çelik</t>
  </si>
  <si>
    <t>PER0142</t>
  </si>
  <si>
    <t>Emre Arslan</t>
  </si>
  <si>
    <t>PER0143</t>
  </si>
  <si>
    <t>Serkan Arslan</t>
  </si>
  <si>
    <t>PER0144</t>
  </si>
  <si>
    <t>PER0145</t>
  </si>
  <si>
    <t>İrem Aslan</t>
  </si>
  <si>
    <t>PER0146</t>
  </si>
  <si>
    <t>Fatma Demir</t>
  </si>
  <si>
    <t>PER0147</t>
  </si>
  <si>
    <t>PER0148</t>
  </si>
  <si>
    <t>Furkan Yılmaz</t>
  </si>
  <si>
    <t>PER0149</t>
  </si>
  <si>
    <t>Elif Yıldız</t>
  </si>
  <si>
    <t>PER0150</t>
  </si>
  <si>
    <t>Aslan Öztürk</t>
  </si>
  <si>
    <t>PER0151</t>
  </si>
  <si>
    <t>PER0152</t>
  </si>
  <si>
    <t>Ayşe Çetin</t>
  </si>
  <si>
    <t>PER0153</t>
  </si>
  <si>
    <t>PER0154</t>
  </si>
  <si>
    <t>Merve Yılmaz</t>
  </si>
  <si>
    <t>PER0155</t>
  </si>
  <si>
    <t>Gamze Arslan</t>
  </si>
  <si>
    <t>PER0156</t>
  </si>
  <si>
    <t>Dilan Çelik</t>
  </si>
  <si>
    <t>PER0157</t>
  </si>
  <si>
    <t>Kübra Demir</t>
  </si>
  <si>
    <t>PER0158</t>
  </si>
  <si>
    <t>Selin Öztürk</t>
  </si>
  <si>
    <t>PER0159</t>
  </si>
  <si>
    <t>Furkan Yıldız</t>
  </si>
  <si>
    <t>PER0160</t>
  </si>
  <si>
    <t>PER0161</t>
  </si>
  <si>
    <t>Furkan Kılıç</t>
  </si>
  <si>
    <t>PER0162</t>
  </si>
  <si>
    <t>PER0163</t>
  </si>
  <si>
    <t>Emre Kaya</t>
  </si>
  <si>
    <t>PER0164</t>
  </si>
  <si>
    <t>Oğuzhan Şahin</t>
  </si>
  <si>
    <t>PER0165</t>
  </si>
  <si>
    <t>Ayşe Doğan</t>
  </si>
  <si>
    <t>PER0166</t>
  </si>
  <si>
    <t>Ayşe Kaya</t>
  </si>
  <si>
    <t>PER0167</t>
  </si>
  <si>
    <t>PER0168</t>
  </si>
  <si>
    <t>PER0169</t>
  </si>
  <si>
    <t>Hasan Aslan</t>
  </si>
  <si>
    <t>PER0170</t>
  </si>
  <si>
    <t>Serkan Şahin</t>
  </si>
  <si>
    <t>PER0171</t>
  </si>
  <si>
    <t>Elif Doğan</t>
  </si>
  <si>
    <t>PER0172</t>
  </si>
  <si>
    <t>PER0173</t>
  </si>
  <si>
    <t>PER0174</t>
  </si>
  <si>
    <t>PER0175</t>
  </si>
  <si>
    <t>Can Çetin</t>
  </si>
  <si>
    <t>PER0176</t>
  </si>
  <si>
    <t>Mustafa Öztürk</t>
  </si>
  <si>
    <t>PER0177</t>
  </si>
  <si>
    <t>PER0178</t>
  </si>
  <si>
    <t>Hüseyin Yılmaz</t>
  </si>
  <si>
    <t>PER0179</t>
  </si>
  <si>
    <t>PER0180</t>
  </si>
  <si>
    <t>Zeynep Doğan</t>
  </si>
  <si>
    <t>PER0181</t>
  </si>
  <si>
    <t>İrem Özdemir</t>
  </si>
  <si>
    <t>PER0182</t>
  </si>
  <si>
    <t>Gökhan Arslan</t>
  </si>
  <si>
    <t>PER0183</t>
  </si>
  <si>
    <t>Kübra Çetin</t>
  </si>
  <si>
    <t>PER0184</t>
  </si>
  <si>
    <t>PER0185</t>
  </si>
  <si>
    <t>Gamze Yıldız</t>
  </si>
  <si>
    <t>PER0186</t>
  </si>
  <si>
    <t>PER0187</t>
  </si>
  <si>
    <t>Gökhan Aydın</t>
  </si>
  <si>
    <t>PER0188</t>
  </si>
  <si>
    <t>Furkan Öztürk</t>
  </si>
  <si>
    <t>PER0189</t>
  </si>
  <si>
    <t>Oğuzhan Kaya</t>
  </si>
  <si>
    <t>PER0190</t>
  </si>
  <si>
    <t>PER0191</t>
  </si>
  <si>
    <t>PER0192</t>
  </si>
  <si>
    <t>Volkan Çelik</t>
  </si>
  <si>
    <t>PER0193</t>
  </si>
  <si>
    <t>Kübra Kılıç</t>
  </si>
  <si>
    <t>PER0194</t>
  </si>
  <si>
    <t>Selin Demir</t>
  </si>
  <si>
    <t>PER0195</t>
  </si>
  <si>
    <t>Volkan Kılıç</t>
  </si>
  <si>
    <t>PER0196</t>
  </si>
  <si>
    <t>Merve Çelik</t>
  </si>
  <si>
    <t>PER0197</t>
  </si>
  <si>
    <t>Burak Kaya</t>
  </si>
  <si>
    <t>PER0198</t>
  </si>
  <si>
    <t>Mehmet Kılıç</t>
  </si>
  <si>
    <t>PER0199</t>
  </si>
  <si>
    <t>Dilan Şahin</t>
  </si>
  <si>
    <t>PER0200</t>
  </si>
  <si>
    <t>PER0201</t>
  </si>
  <si>
    <t>PER0202</t>
  </si>
  <si>
    <t>Oğuzhan Demir</t>
  </si>
  <si>
    <t>PER0203</t>
  </si>
  <si>
    <t>Volkan Doğan</t>
  </si>
  <si>
    <t>PER0204</t>
  </si>
  <si>
    <t>PER0205</t>
  </si>
  <si>
    <t>PER0206</t>
  </si>
  <si>
    <t>Dilan Kılıç</t>
  </si>
  <si>
    <t>PER0207</t>
  </si>
  <si>
    <t>PER0208</t>
  </si>
  <si>
    <t>PER0209</t>
  </si>
  <si>
    <t>Ömer Yıldız</t>
  </si>
  <si>
    <t>PER0210</t>
  </si>
  <si>
    <t>Merve Arslan</t>
  </si>
  <si>
    <t>PER0211</t>
  </si>
  <si>
    <t>PER0212</t>
  </si>
  <si>
    <t>PER0213</t>
  </si>
  <si>
    <t>PER0214</t>
  </si>
  <si>
    <t>Selin Aslan</t>
  </si>
  <si>
    <t>PER0215</t>
  </si>
  <si>
    <t>PER0216</t>
  </si>
  <si>
    <t>Ömer Kılıç</t>
  </si>
  <si>
    <t>PER0217</t>
  </si>
  <si>
    <t>Ömer Demir</t>
  </si>
  <si>
    <t>PER0218</t>
  </si>
  <si>
    <t>Ahmet Aydın</t>
  </si>
  <si>
    <t>PER0219</t>
  </si>
  <si>
    <t>Mehmet Kaya</t>
  </si>
  <si>
    <t>PER0220</t>
  </si>
  <si>
    <t>PER0221</t>
  </si>
  <si>
    <t>PER0222</t>
  </si>
  <si>
    <t>Defne Kaya</t>
  </si>
  <si>
    <t>PER0223</t>
  </si>
  <si>
    <t>PER0224</t>
  </si>
  <si>
    <t>PER0225</t>
  </si>
  <si>
    <t>PER0226</t>
  </si>
  <si>
    <t>PER0227</t>
  </si>
  <si>
    <t>PER0228</t>
  </si>
  <si>
    <t>Ecem Şahin</t>
  </si>
  <si>
    <t>PER0229</t>
  </si>
  <si>
    <t>PER0230</t>
  </si>
  <si>
    <t>Oğuzhan Öztürk</t>
  </si>
  <si>
    <t>PER0231</t>
  </si>
  <si>
    <t>Kübra Öztürk</t>
  </si>
  <si>
    <t>PER0232</t>
  </si>
  <si>
    <t>Ali Özdemir</t>
  </si>
  <si>
    <t>PER0233</t>
  </si>
  <si>
    <t>Kübra Kaya</t>
  </si>
  <si>
    <t>PER0234</t>
  </si>
  <si>
    <t>Oğuzhan Yılmaz</t>
  </si>
  <si>
    <t>PER0235</t>
  </si>
  <si>
    <t>Serkan Öztürk</t>
  </si>
  <si>
    <t>PER0236</t>
  </si>
  <si>
    <t>PER0237</t>
  </si>
  <si>
    <t>Ayşe Özdemir</t>
  </si>
  <si>
    <t>PER0238</t>
  </si>
  <si>
    <t>Kübra Doğan</t>
  </si>
  <si>
    <t>PER0239</t>
  </si>
  <si>
    <t>PER0240</t>
  </si>
  <si>
    <t>Hüseyin Demir</t>
  </si>
  <si>
    <t>PER0241</t>
  </si>
  <si>
    <t>Hilal Kaya</t>
  </si>
  <si>
    <t>PER0242</t>
  </si>
  <si>
    <t>Merve Doğan</t>
  </si>
  <si>
    <t>PER0243</t>
  </si>
  <si>
    <t>PER0244</t>
  </si>
  <si>
    <t>PER0245</t>
  </si>
  <si>
    <t>PER0246</t>
  </si>
  <si>
    <t>Oğuzhan Arslan</t>
  </si>
  <si>
    <t>PER0247</t>
  </si>
  <si>
    <t>Gamze Öztürk</t>
  </si>
  <si>
    <t>PER0248</t>
  </si>
  <si>
    <t>Volkan Demir</t>
  </si>
  <si>
    <t>PER0249</t>
  </si>
  <si>
    <t>Furkan Şahin</t>
  </si>
  <si>
    <t>PER0250</t>
  </si>
  <si>
    <t>Dilan Aslan</t>
  </si>
  <si>
    <t>PER0251</t>
  </si>
  <si>
    <t>Büşra Çelik</t>
  </si>
  <si>
    <t>PER0252</t>
  </si>
  <si>
    <t>Can Kaya</t>
  </si>
  <si>
    <t>PER0253</t>
  </si>
  <si>
    <t>Dilan Yıldız</t>
  </si>
  <si>
    <t>PER0254</t>
  </si>
  <si>
    <t>Hasan Kılıç</t>
  </si>
  <si>
    <t>PER0255</t>
  </si>
  <si>
    <t>PER0256</t>
  </si>
  <si>
    <t>Zeynep Öztürk</t>
  </si>
  <si>
    <t>PER0257</t>
  </si>
  <si>
    <t>PER0258</t>
  </si>
  <si>
    <t>Volkan Yıldız</t>
  </si>
  <si>
    <t>PER0259</t>
  </si>
  <si>
    <t>PER0260</t>
  </si>
  <si>
    <t>PER0261</t>
  </si>
  <si>
    <t>PER0262</t>
  </si>
  <si>
    <t>Aslan Aslan</t>
  </si>
  <si>
    <t>PER0263</t>
  </si>
  <si>
    <t>Emre Öztürk</t>
  </si>
  <si>
    <t>PER0264</t>
  </si>
  <si>
    <t>Zeynep Çelik</t>
  </si>
  <si>
    <t>PER0265</t>
  </si>
  <si>
    <t>PER0266</t>
  </si>
  <si>
    <t>PER0267</t>
  </si>
  <si>
    <t>Serkan Yıldız</t>
  </si>
  <si>
    <t>PER0268</t>
  </si>
  <si>
    <t>Gökhan Kaya</t>
  </si>
  <si>
    <t>PER0269</t>
  </si>
  <si>
    <t>Merve Öztürk</t>
  </si>
  <si>
    <t>PER0270</t>
  </si>
  <si>
    <t>Serkan Çelik</t>
  </si>
  <si>
    <t>PER0271</t>
  </si>
  <si>
    <t>PER0272</t>
  </si>
  <si>
    <t>PER0273</t>
  </si>
  <si>
    <t>Büşra Şahin</t>
  </si>
  <si>
    <t>PER0274</t>
  </si>
  <si>
    <t>İrem Arslan</t>
  </si>
  <si>
    <t>PER0275</t>
  </si>
  <si>
    <t>Can Çelik</t>
  </si>
  <si>
    <t>PER0276</t>
  </si>
  <si>
    <t>Mustafa Doğan</t>
  </si>
  <si>
    <t>Emeklilik</t>
  </si>
  <si>
    <t>PER0277</t>
  </si>
  <si>
    <t>PER0278</t>
  </si>
  <si>
    <t>Emre Kara</t>
  </si>
  <si>
    <t>PER0279</t>
  </si>
  <si>
    <t>Mustafa Kılıç</t>
  </si>
  <si>
    <t>PER0280</t>
  </si>
  <si>
    <t>Elif Kaya</t>
  </si>
  <si>
    <t>PER0281</t>
  </si>
  <si>
    <t>Kübra Aslan</t>
  </si>
  <si>
    <t>PER0282</t>
  </si>
  <si>
    <t>PER0283</t>
  </si>
  <si>
    <t>PER0284</t>
  </si>
  <si>
    <t>PER0285</t>
  </si>
  <si>
    <t>Gamze Aslan</t>
  </si>
  <si>
    <t>PER0286</t>
  </si>
  <si>
    <t>Ali Çetin</t>
  </si>
  <si>
    <t>PER0287</t>
  </si>
  <si>
    <t>Ali Doğan</t>
  </si>
  <si>
    <t>PER0288</t>
  </si>
  <si>
    <t>PER0289</t>
  </si>
  <si>
    <t>Gökhan Öztürk</t>
  </si>
  <si>
    <t>PER0290</t>
  </si>
  <si>
    <t>PER0291</t>
  </si>
  <si>
    <t>Kübra Yıldız</t>
  </si>
  <si>
    <t>PER0292</t>
  </si>
  <si>
    <t>PER0293</t>
  </si>
  <si>
    <t>Fatma Özdemir</t>
  </si>
  <si>
    <t>PER0294</t>
  </si>
  <si>
    <t>PER0295</t>
  </si>
  <si>
    <t>PER0296</t>
  </si>
  <si>
    <t>PER0297</t>
  </si>
  <si>
    <t>Aslan Yıldız</t>
  </si>
  <si>
    <t>PER0298</t>
  </si>
  <si>
    <t>PER0299</t>
  </si>
  <si>
    <t>Hilal Çelik</t>
  </si>
  <si>
    <t>PER0300</t>
  </si>
  <si>
    <t>PER0301</t>
  </si>
  <si>
    <t>Fatma Kara</t>
  </si>
  <si>
    <t>PER0302</t>
  </si>
  <si>
    <t>PER0303</t>
  </si>
  <si>
    <t>PER0304</t>
  </si>
  <si>
    <t>PER0305</t>
  </si>
  <si>
    <t>PER0306</t>
  </si>
  <si>
    <t>Dilan Aydın</t>
  </si>
  <si>
    <t>PER0307</t>
  </si>
  <si>
    <t>Fatma Yıldız</t>
  </si>
  <si>
    <t>PER0308</t>
  </si>
  <si>
    <t>Kübra Aydın</t>
  </si>
  <si>
    <t>PER0309</t>
  </si>
  <si>
    <t>Hasan Aydın</t>
  </si>
  <si>
    <t>PER0310</t>
  </si>
  <si>
    <t>PER0311</t>
  </si>
  <si>
    <t>PER0312</t>
  </si>
  <si>
    <t>Hasan Öztürk</t>
  </si>
  <si>
    <t>PER0313</t>
  </si>
  <si>
    <t>Furkan Çetin</t>
  </si>
  <si>
    <t>PER0314</t>
  </si>
  <si>
    <t>Fatma Çetin</t>
  </si>
  <si>
    <t>PER0315</t>
  </si>
  <si>
    <t>PER0316</t>
  </si>
  <si>
    <t>PER0317</t>
  </si>
  <si>
    <t>Serkan Yılmaz</t>
  </si>
  <si>
    <t>PER0318</t>
  </si>
  <si>
    <t>PER0319</t>
  </si>
  <si>
    <t>Hilal Aslan</t>
  </si>
  <si>
    <t>PER0320</t>
  </si>
  <si>
    <t>PER0321</t>
  </si>
  <si>
    <t>Emre Aslan</t>
  </si>
  <si>
    <t>PER0322</t>
  </si>
  <si>
    <t>PER0323</t>
  </si>
  <si>
    <t>Mehmet Yıldız</t>
  </si>
  <si>
    <t>PER0324</t>
  </si>
  <si>
    <t>PER0325</t>
  </si>
  <si>
    <t>Defne Yıldız</t>
  </si>
  <si>
    <t>PER0326</t>
  </si>
  <si>
    <t>Ahmet Arslan</t>
  </si>
  <si>
    <t>PER0327</t>
  </si>
  <si>
    <t>PER0328</t>
  </si>
  <si>
    <t>Aslan Arslan</t>
  </si>
  <si>
    <t>PER0329</t>
  </si>
  <si>
    <t>Defne Aslan</t>
  </si>
  <si>
    <t>PER0330</t>
  </si>
  <si>
    <t>Hasan Yıldız</t>
  </si>
  <si>
    <t>PER0331</t>
  </si>
  <si>
    <t>Emre Çelik</t>
  </si>
  <si>
    <t>PER0332</t>
  </si>
  <si>
    <t>PER0333</t>
  </si>
  <si>
    <t>PER0334</t>
  </si>
  <si>
    <t>Aslan Demir</t>
  </si>
  <si>
    <t>PER0335</t>
  </si>
  <si>
    <t>Merve Kaya</t>
  </si>
  <si>
    <t>PER0336</t>
  </si>
  <si>
    <t>Zeynep Kara</t>
  </si>
  <si>
    <t>PER0337</t>
  </si>
  <si>
    <t>Mehmet Özdemir</t>
  </si>
  <si>
    <t>PER0338</t>
  </si>
  <si>
    <t>PER0339</t>
  </si>
  <si>
    <t>Hilal Çetin</t>
  </si>
  <si>
    <t>PER0340</t>
  </si>
  <si>
    <t>İrem Aydın</t>
  </si>
  <si>
    <t>PER0341</t>
  </si>
  <si>
    <t>Emre Yılmaz</t>
  </si>
  <si>
    <t>PER0342</t>
  </si>
  <si>
    <t>PER0343</t>
  </si>
  <si>
    <t>Can Öztürk</t>
  </si>
  <si>
    <t>PER0344</t>
  </si>
  <si>
    <t>Gamze Aydın</t>
  </si>
  <si>
    <t>PER0345</t>
  </si>
  <si>
    <t>Serkan Çetin</t>
  </si>
  <si>
    <t>PER0346</t>
  </si>
  <si>
    <t>Gökhan Çelik</t>
  </si>
  <si>
    <t>PER0347</t>
  </si>
  <si>
    <t>PER0348</t>
  </si>
  <si>
    <t>Furkan Kara</t>
  </si>
  <si>
    <t>PER0349</t>
  </si>
  <si>
    <t>PER0350</t>
  </si>
  <si>
    <t>Burak Aslan</t>
  </si>
  <si>
    <t>PER0351</t>
  </si>
  <si>
    <t>Hüseyin Özdemir</t>
  </si>
  <si>
    <t>PER0352</t>
  </si>
  <si>
    <t>Elif Demir</t>
  </si>
  <si>
    <t>PER0353</t>
  </si>
  <si>
    <t>PER0354</t>
  </si>
  <si>
    <t>Ecem Yıldız</t>
  </si>
  <si>
    <t>PER0355</t>
  </si>
  <si>
    <t>PER0356</t>
  </si>
  <si>
    <t>Dilan Doğan</t>
  </si>
  <si>
    <t>PER0357</t>
  </si>
  <si>
    <t>PER0358</t>
  </si>
  <si>
    <t>PER0359</t>
  </si>
  <si>
    <t>PER0360</t>
  </si>
  <si>
    <t>PER0361</t>
  </si>
  <si>
    <t>Ali Aslan</t>
  </si>
  <si>
    <t>PER0362</t>
  </si>
  <si>
    <t>Emre Yıldız</t>
  </si>
  <si>
    <t>PER0363</t>
  </si>
  <si>
    <t>PER0364</t>
  </si>
  <si>
    <t>PER0365</t>
  </si>
  <si>
    <t>PER0366</t>
  </si>
  <si>
    <t>Volkan Aydın</t>
  </si>
  <si>
    <t>PER0367</t>
  </si>
  <si>
    <t>Hüseyin Yıldız</t>
  </si>
  <si>
    <t>PER0368</t>
  </si>
  <si>
    <t>PER0369</t>
  </si>
  <si>
    <t>Ecem Çelik</t>
  </si>
  <si>
    <t>PER0370</t>
  </si>
  <si>
    <t>Can Kara</t>
  </si>
  <si>
    <t>PER0371</t>
  </si>
  <si>
    <t>Büşra Aydın</t>
  </si>
  <si>
    <t>PER0372</t>
  </si>
  <si>
    <t>PER0373</t>
  </si>
  <si>
    <t>İrem Yılmaz</t>
  </si>
  <si>
    <t>PER0374</t>
  </si>
  <si>
    <t>PER0375</t>
  </si>
  <si>
    <t>PER0376</t>
  </si>
  <si>
    <t>Mustafa Özdemir</t>
  </si>
  <si>
    <t>PER0377</t>
  </si>
  <si>
    <t>PER0378</t>
  </si>
  <si>
    <t>PER0379</t>
  </si>
  <si>
    <t>PER0380</t>
  </si>
  <si>
    <t>Mehmet Kara</t>
  </si>
  <si>
    <t>PER0381</t>
  </si>
  <si>
    <t>PER0382</t>
  </si>
  <si>
    <t>Zeynep Yılmaz</t>
  </si>
  <si>
    <t>PER0383</t>
  </si>
  <si>
    <t>PER0384</t>
  </si>
  <si>
    <t>PER0385</t>
  </si>
  <si>
    <t>Büşra Kara</t>
  </si>
  <si>
    <t>PER0386</t>
  </si>
  <si>
    <t>Elif Çelik</t>
  </si>
  <si>
    <t>PER0387</t>
  </si>
  <si>
    <t>PER0388</t>
  </si>
  <si>
    <t>Büşra Arslan</t>
  </si>
  <si>
    <t>PER0389</t>
  </si>
  <si>
    <t>PER0390</t>
  </si>
  <si>
    <t>Hüseyin Arslan</t>
  </si>
  <si>
    <t>PER0391</t>
  </si>
  <si>
    <t>Dilan Kara</t>
  </si>
  <si>
    <t>PER0392</t>
  </si>
  <si>
    <t>PER0393</t>
  </si>
  <si>
    <t>PER0394</t>
  </si>
  <si>
    <t>Ahmet Kara</t>
  </si>
  <si>
    <t>PER0395</t>
  </si>
  <si>
    <t>Fatma Yılmaz</t>
  </si>
  <si>
    <t>PER0396</t>
  </si>
  <si>
    <t>PER0397</t>
  </si>
  <si>
    <t>PER0398</t>
  </si>
  <si>
    <t>Merve Demir</t>
  </si>
  <si>
    <t>PER0399</t>
  </si>
  <si>
    <t>PER0400</t>
  </si>
  <si>
    <t>Gökhan Aslan</t>
  </si>
  <si>
    <t>PER0401</t>
  </si>
  <si>
    <t>Oğuzhan Doğan</t>
  </si>
  <si>
    <t>PER0402</t>
  </si>
  <si>
    <t>Merve Çetin</t>
  </si>
  <si>
    <t>PER0403</t>
  </si>
  <si>
    <t>Ahmet Kılıç</t>
  </si>
  <si>
    <t>PER0404</t>
  </si>
  <si>
    <t>PER0405</t>
  </si>
  <si>
    <t>Ali Çelik</t>
  </si>
  <si>
    <t>PER0406</t>
  </si>
  <si>
    <t>Ali Öztürk</t>
  </si>
  <si>
    <t>PER0407</t>
  </si>
  <si>
    <t>İrem Şahin</t>
  </si>
  <si>
    <t>PER0408</t>
  </si>
  <si>
    <t>PER0409</t>
  </si>
  <si>
    <t>PER0410</t>
  </si>
  <si>
    <t>PER0411</t>
  </si>
  <si>
    <t>Emre Şahin</t>
  </si>
  <si>
    <t>PER0412</t>
  </si>
  <si>
    <t>PER0413</t>
  </si>
  <si>
    <t>PER0414</t>
  </si>
  <si>
    <t>Elif Şahin</t>
  </si>
  <si>
    <t>PER0415</t>
  </si>
  <si>
    <t>Can Yılmaz</t>
  </si>
  <si>
    <t>PER0416</t>
  </si>
  <si>
    <t>PER0417</t>
  </si>
  <si>
    <t>Serkan Kara</t>
  </si>
  <si>
    <t>PER0418</t>
  </si>
  <si>
    <t>Ali Demir</t>
  </si>
  <si>
    <t>PER0419</t>
  </si>
  <si>
    <t>PER0420</t>
  </si>
  <si>
    <t>PER0421</t>
  </si>
  <si>
    <t>PER0422</t>
  </si>
  <si>
    <t>Gökhan Demir</t>
  </si>
  <si>
    <t>PER0423</t>
  </si>
  <si>
    <t>PER0424</t>
  </si>
  <si>
    <t>PER0425</t>
  </si>
  <si>
    <t>Ömer Kaya</t>
  </si>
  <si>
    <t>PER0426</t>
  </si>
  <si>
    <t>Selin Yıldız</t>
  </si>
  <si>
    <t>PER0427</t>
  </si>
  <si>
    <t>PER0428</t>
  </si>
  <si>
    <t>PER0429</t>
  </si>
  <si>
    <t>Burak Yıldız</t>
  </si>
  <si>
    <t>PER0430</t>
  </si>
  <si>
    <t>Hasan Çetin</t>
  </si>
  <si>
    <t>PER0431</t>
  </si>
  <si>
    <t>PER0432</t>
  </si>
  <si>
    <t>PER0433</t>
  </si>
  <si>
    <t>PER0434</t>
  </si>
  <si>
    <t>Gökhan Kılıç</t>
  </si>
  <si>
    <t>PER0435</t>
  </si>
  <si>
    <t>Ahmet Yılmaz</t>
  </si>
  <si>
    <t>PER0436</t>
  </si>
  <si>
    <t>Fatma Aslan</t>
  </si>
  <si>
    <t>PER0437</t>
  </si>
  <si>
    <t>PER0438</t>
  </si>
  <si>
    <t>PER0439</t>
  </si>
  <si>
    <t>PER0440</t>
  </si>
  <si>
    <t>PER0441</t>
  </si>
  <si>
    <t>PER0442</t>
  </si>
  <si>
    <t>PER0443</t>
  </si>
  <si>
    <t>Gamze Kara</t>
  </si>
  <si>
    <t>PER0444</t>
  </si>
  <si>
    <t>PER0445</t>
  </si>
  <si>
    <t>Ali Yıldız</t>
  </si>
  <si>
    <t>PER0446</t>
  </si>
  <si>
    <t>PER0447</t>
  </si>
  <si>
    <t>PER0448</t>
  </si>
  <si>
    <t>PER0449</t>
  </si>
  <si>
    <t>Mustafa Yılmaz</t>
  </si>
  <si>
    <t>PER0450</t>
  </si>
  <si>
    <t>PER0451</t>
  </si>
  <si>
    <t>PER0452</t>
  </si>
  <si>
    <t>PER0453</t>
  </si>
  <si>
    <t>PER0454</t>
  </si>
  <si>
    <t>Gamze Yılmaz</t>
  </si>
  <si>
    <t>PER0455</t>
  </si>
  <si>
    <t>PER0456</t>
  </si>
  <si>
    <t>Volkan Kara</t>
  </si>
  <si>
    <t>PER0457</t>
  </si>
  <si>
    <t>PER0458</t>
  </si>
  <si>
    <t>PER0459</t>
  </si>
  <si>
    <t>PER0460</t>
  </si>
  <si>
    <t>PER0461</t>
  </si>
  <si>
    <t>PER0462</t>
  </si>
  <si>
    <t>PER0463</t>
  </si>
  <si>
    <t>Mustafa Yıldız</t>
  </si>
  <si>
    <t>PER0464</t>
  </si>
  <si>
    <t>PER0465</t>
  </si>
  <si>
    <t>PER0466</t>
  </si>
  <si>
    <t>Ahmet Aslan</t>
  </si>
  <si>
    <t>PER0467</t>
  </si>
  <si>
    <t>Zeynep Kılıç</t>
  </si>
  <si>
    <t>PER0468</t>
  </si>
  <si>
    <t>Zeynep Arslan</t>
  </si>
  <si>
    <t>PER0469</t>
  </si>
  <si>
    <t>Ömer Aslan</t>
  </si>
  <si>
    <t>PER0470</t>
  </si>
  <si>
    <t>PER0471</t>
  </si>
  <si>
    <t>PER0472</t>
  </si>
  <si>
    <t>PER0473</t>
  </si>
  <si>
    <t>PER0474</t>
  </si>
  <si>
    <t>PER0475</t>
  </si>
  <si>
    <t>PER0476</t>
  </si>
  <si>
    <t>PER0477</t>
  </si>
  <si>
    <t>İrem Kılıç</t>
  </si>
  <si>
    <t>PER0478</t>
  </si>
  <si>
    <t>PER0479</t>
  </si>
  <si>
    <t>PER0480</t>
  </si>
  <si>
    <t>PER0481</t>
  </si>
  <si>
    <t>PER0482</t>
  </si>
  <si>
    <t>PER0483</t>
  </si>
  <si>
    <t>Can Aslan</t>
  </si>
  <si>
    <t>PER0484</t>
  </si>
  <si>
    <t>PER0485</t>
  </si>
  <si>
    <t>PER0486</t>
  </si>
  <si>
    <t>PER0487</t>
  </si>
  <si>
    <t>PER0488</t>
  </si>
  <si>
    <t>Aslan Yılmaz</t>
  </si>
  <si>
    <t>PER0489</t>
  </si>
  <si>
    <t>PER0490</t>
  </si>
  <si>
    <t>Oğuzhan Aslan</t>
  </si>
  <si>
    <t>PER0491</t>
  </si>
  <si>
    <t>PER0492</t>
  </si>
  <si>
    <t>PER0493</t>
  </si>
  <si>
    <t>Gamze Şahin</t>
  </si>
  <si>
    <t>PER0494</t>
  </si>
  <si>
    <t>PER0495</t>
  </si>
  <si>
    <t>PER0496</t>
  </si>
  <si>
    <t>PER0497</t>
  </si>
  <si>
    <t>PER0498</t>
  </si>
  <si>
    <t>PER0499</t>
  </si>
  <si>
    <t>PER0500</t>
  </si>
  <si>
    <t>PER0501</t>
  </si>
  <si>
    <t>PER0502</t>
  </si>
  <si>
    <t>PER0503</t>
  </si>
  <si>
    <t>PER0504</t>
  </si>
  <si>
    <t>İrem Doğan</t>
  </si>
  <si>
    <t>PER0505</t>
  </si>
  <si>
    <t>PER0506</t>
  </si>
  <si>
    <t>Hasan Kara</t>
  </si>
  <si>
    <t>PER0507</t>
  </si>
  <si>
    <t>PER0508</t>
  </si>
  <si>
    <t>PER0509</t>
  </si>
  <si>
    <t>Büşra Kılıç</t>
  </si>
  <si>
    <t>PER0510</t>
  </si>
  <si>
    <t>Elif Yılmaz</t>
  </si>
  <si>
    <t>PER0511</t>
  </si>
  <si>
    <t>Burak Çelik</t>
  </si>
  <si>
    <t>PER0512</t>
  </si>
  <si>
    <t>Volkan Arslan</t>
  </si>
  <si>
    <t>PER0513</t>
  </si>
  <si>
    <t>Ayşe Aydın</t>
  </si>
  <si>
    <t>PER0514</t>
  </si>
  <si>
    <t>Ömer Özdemir</t>
  </si>
  <si>
    <t>PER0515</t>
  </si>
  <si>
    <t>PER0516</t>
  </si>
  <si>
    <t>PER0517</t>
  </si>
  <si>
    <t>PER0518</t>
  </si>
  <si>
    <t>Hilal Doğan</t>
  </si>
  <si>
    <t>PER0519</t>
  </si>
  <si>
    <t>PER0520</t>
  </si>
  <si>
    <t>PER0521</t>
  </si>
  <si>
    <t>PER0522</t>
  </si>
  <si>
    <t>Büşra Demir</t>
  </si>
  <si>
    <t>PER0523</t>
  </si>
  <si>
    <t>PER0524</t>
  </si>
  <si>
    <t>PER0525</t>
  </si>
  <si>
    <t>PER0526</t>
  </si>
  <si>
    <t>PER0527</t>
  </si>
  <si>
    <t>Fatma Doğan</t>
  </si>
  <si>
    <t>PER0528</t>
  </si>
  <si>
    <t>PER0529</t>
  </si>
  <si>
    <t>PER0530</t>
  </si>
  <si>
    <t>PER0531</t>
  </si>
  <si>
    <t>PER0532</t>
  </si>
  <si>
    <t>PER0533</t>
  </si>
  <si>
    <t>PER0534</t>
  </si>
  <si>
    <t>Elif Aydın</t>
  </si>
  <si>
    <t>PER0535</t>
  </si>
  <si>
    <t>PER0536</t>
  </si>
  <si>
    <t>PER0537</t>
  </si>
  <si>
    <t>Mustafa Şahin</t>
  </si>
  <si>
    <t>PER0538</t>
  </si>
  <si>
    <t>Hilal Yılmaz</t>
  </si>
  <si>
    <t>PER0539</t>
  </si>
  <si>
    <t>PER0540</t>
  </si>
  <si>
    <t>PER0541</t>
  </si>
  <si>
    <t>PER0542</t>
  </si>
  <si>
    <t>PER0543</t>
  </si>
  <si>
    <t>PER0544</t>
  </si>
  <si>
    <t>PER0545</t>
  </si>
  <si>
    <t>Ayşe Arslan</t>
  </si>
  <si>
    <t>PER0546</t>
  </si>
  <si>
    <t>PER0547</t>
  </si>
  <si>
    <t>PER0548</t>
  </si>
  <si>
    <t>PER0549</t>
  </si>
  <si>
    <t>Dilan Yılmaz</t>
  </si>
  <si>
    <t>PER0550</t>
  </si>
  <si>
    <t>Mehmet Demir</t>
  </si>
  <si>
    <t>PER0551</t>
  </si>
  <si>
    <t>PER0552</t>
  </si>
  <si>
    <t>PER0553</t>
  </si>
  <si>
    <t>PER0554</t>
  </si>
  <si>
    <t>PER0555</t>
  </si>
  <si>
    <t>PER0556</t>
  </si>
  <si>
    <t>Emre Doğan</t>
  </si>
  <si>
    <t>PER0557</t>
  </si>
  <si>
    <t>PER0558</t>
  </si>
  <si>
    <t>PER0559</t>
  </si>
  <si>
    <t>PER0560</t>
  </si>
  <si>
    <t>PER0561</t>
  </si>
  <si>
    <t>PER0562</t>
  </si>
  <si>
    <t>Ömer Arslan</t>
  </si>
  <si>
    <t>PER0563</t>
  </si>
  <si>
    <t>Mehmet Aslan</t>
  </si>
  <si>
    <t>PER0564</t>
  </si>
  <si>
    <t>PER0565</t>
  </si>
  <si>
    <t>PER0566</t>
  </si>
  <si>
    <t>PER0567</t>
  </si>
  <si>
    <t>Volkan Çetin</t>
  </si>
  <si>
    <t>PER0568</t>
  </si>
  <si>
    <t>PER0569</t>
  </si>
  <si>
    <t>PER0570</t>
  </si>
  <si>
    <t>PER0571</t>
  </si>
  <si>
    <t>PER0572</t>
  </si>
  <si>
    <t>PER0573</t>
  </si>
  <si>
    <t>PER0574</t>
  </si>
  <si>
    <t>PER0575</t>
  </si>
  <si>
    <t>PER0576</t>
  </si>
  <si>
    <t>Emre Aydın</t>
  </si>
  <si>
    <t>PER0577</t>
  </si>
  <si>
    <t>Dilan Demir</t>
  </si>
  <si>
    <t>PER0578</t>
  </si>
  <si>
    <t>PER0579</t>
  </si>
  <si>
    <t>PER0580</t>
  </si>
  <si>
    <t>PER0581</t>
  </si>
  <si>
    <t>Büşra Doğan</t>
  </si>
  <si>
    <t>PER0582</t>
  </si>
  <si>
    <t>PER0583</t>
  </si>
  <si>
    <t>PER0584</t>
  </si>
  <si>
    <t>PER0585</t>
  </si>
  <si>
    <t>PER0586</t>
  </si>
  <si>
    <t>PER0587</t>
  </si>
  <si>
    <t>PER0588</t>
  </si>
  <si>
    <t>PER0589</t>
  </si>
  <si>
    <t>Zeynep Aslan</t>
  </si>
  <si>
    <t>PER0590</t>
  </si>
  <si>
    <t>PER0591</t>
  </si>
  <si>
    <t>PER0592</t>
  </si>
  <si>
    <t>PER0593</t>
  </si>
  <si>
    <t>Burak Özdemir</t>
  </si>
  <si>
    <t>PER0594</t>
  </si>
  <si>
    <t>PER0595</t>
  </si>
  <si>
    <t>PER0596</t>
  </si>
  <si>
    <t>PER0597</t>
  </si>
  <si>
    <t>PER0598</t>
  </si>
  <si>
    <t>PER0599</t>
  </si>
  <si>
    <t>PER0600</t>
  </si>
  <si>
    <t>PER0601</t>
  </si>
  <si>
    <t>PER0602</t>
  </si>
  <si>
    <t>Ahmet Özdemir</t>
  </si>
  <si>
    <t>PER0603</t>
  </si>
  <si>
    <t>PER0604</t>
  </si>
  <si>
    <t>PER0605</t>
  </si>
  <si>
    <t>PER0606</t>
  </si>
  <si>
    <t>Serkan Doğan</t>
  </si>
  <si>
    <t>PER0607</t>
  </si>
  <si>
    <t>PER0608</t>
  </si>
  <si>
    <t>PER0609</t>
  </si>
  <si>
    <t>Ecem Kılıç</t>
  </si>
  <si>
    <t>PER0610</t>
  </si>
  <si>
    <t>PER0611</t>
  </si>
  <si>
    <t>PER0612</t>
  </si>
  <si>
    <t>Hüseyin Öztürk</t>
  </si>
  <si>
    <t>PER0613</t>
  </si>
  <si>
    <t>Dilan Kaya</t>
  </si>
  <si>
    <t>PER0614</t>
  </si>
  <si>
    <t>Can Demir</t>
  </si>
  <si>
    <t>PER0615</t>
  </si>
  <si>
    <t>PER0616</t>
  </si>
  <si>
    <t>PER0617</t>
  </si>
  <si>
    <t>Volkan Yılmaz</t>
  </si>
  <si>
    <t>PER0618</t>
  </si>
  <si>
    <t>PER0619</t>
  </si>
  <si>
    <t>PER0620</t>
  </si>
  <si>
    <t>PER0621</t>
  </si>
  <si>
    <t>PER0622</t>
  </si>
  <si>
    <t>PER0623</t>
  </si>
  <si>
    <t>PER0624</t>
  </si>
  <si>
    <t>PER0625</t>
  </si>
  <si>
    <t>PER0626</t>
  </si>
  <si>
    <t>PER0627</t>
  </si>
  <si>
    <t>PER0628</t>
  </si>
  <si>
    <t>PER0629</t>
  </si>
  <si>
    <t>PER0630</t>
  </si>
  <si>
    <t>Selin Çelik</t>
  </si>
  <si>
    <t>PER0631</t>
  </si>
  <si>
    <t>PER0632</t>
  </si>
  <si>
    <t>PER0633</t>
  </si>
  <si>
    <t>Fatma Çelik</t>
  </si>
  <si>
    <t>PER0634</t>
  </si>
  <si>
    <t>PER0635</t>
  </si>
  <si>
    <t>PER0636</t>
  </si>
  <si>
    <t>Serkan Özdemir</t>
  </si>
  <si>
    <t>PER0637</t>
  </si>
  <si>
    <t>PER0638</t>
  </si>
  <si>
    <t>PER0639</t>
  </si>
  <si>
    <t>PER0640</t>
  </si>
  <si>
    <t>PER0641</t>
  </si>
  <si>
    <t>PER0642</t>
  </si>
  <si>
    <t>PER0643</t>
  </si>
  <si>
    <t>Volkan Özdemir</t>
  </si>
  <si>
    <t>PER0644</t>
  </si>
  <si>
    <t>Fatma Kaya</t>
  </si>
  <si>
    <t>PER0645</t>
  </si>
  <si>
    <t>Büşra Aslan</t>
  </si>
  <si>
    <t>PER0646</t>
  </si>
  <si>
    <t>Mehmet Aydın</t>
  </si>
  <si>
    <t>PER0647</t>
  </si>
  <si>
    <t>PER0648</t>
  </si>
  <si>
    <t>PER0649</t>
  </si>
  <si>
    <t>PER0650</t>
  </si>
  <si>
    <t>PER0651</t>
  </si>
  <si>
    <t>PER0652</t>
  </si>
  <si>
    <t>Aslan Kara</t>
  </si>
  <si>
    <t>PER0653</t>
  </si>
  <si>
    <t>Zeynep Özdemir</t>
  </si>
  <si>
    <t>PER0654</t>
  </si>
  <si>
    <t>Mehmet Öztürk</t>
  </si>
  <si>
    <t>PER0655</t>
  </si>
  <si>
    <t>Ecem Özdemir</t>
  </si>
  <si>
    <t>PER0656</t>
  </si>
  <si>
    <t>Defne Çetin</t>
  </si>
  <si>
    <t>PER0657</t>
  </si>
  <si>
    <t>PER0658</t>
  </si>
  <si>
    <t>Selin Özdemir</t>
  </si>
  <si>
    <t>PER0659</t>
  </si>
  <si>
    <t>PER0660</t>
  </si>
  <si>
    <t>PER0661</t>
  </si>
  <si>
    <t>PER0662</t>
  </si>
  <si>
    <t>Hasan Arslan</t>
  </si>
  <si>
    <t>PER0663</t>
  </si>
  <si>
    <t>PER0664</t>
  </si>
  <si>
    <t>PER0665</t>
  </si>
  <si>
    <t>Büşra Çetin</t>
  </si>
  <si>
    <t>PER0666</t>
  </si>
  <si>
    <t>PER0667</t>
  </si>
  <si>
    <t>PER0668</t>
  </si>
  <si>
    <t>PER0669</t>
  </si>
  <si>
    <t>PER0670</t>
  </si>
  <si>
    <t>PER0671</t>
  </si>
  <si>
    <t>PER0672</t>
  </si>
  <si>
    <t>PER0673</t>
  </si>
  <si>
    <t>PER0674</t>
  </si>
  <si>
    <t>PER0675</t>
  </si>
  <si>
    <t>PER0676</t>
  </si>
  <si>
    <t>PER0677</t>
  </si>
  <si>
    <t>PER0678</t>
  </si>
  <si>
    <t>Gökhan Kara</t>
  </si>
  <si>
    <t>PER0679</t>
  </si>
  <si>
    <t>Ayşe Yılmaz</t>
  </si>
  <si>
    <t>PER0680</t>
  </si>
  <si>
    <t>PER0681</t>
  </si>
  <si>
    <t>Burak Yılmaz</t>
  </si>
  <si>
    <t>PER0682</t>
  </si>
  <si>
    <t>PER0683</t>
  </si>
  <si>
    <t>PER0684</t>
  </si>
  <si>
    <t>PER0685</t>
  </si>
  <si>
    <t>PER0686</t>
  </si>
  <si>
    <t>PER0687</t>
  </si>
  <si>
    <t>PER0688</t>
  </si>
  <si>
    <t>PER0689</t>
  </si>
  <si>
    <t>PER0690</t>
  </si>
  <si>
    <t>PER0691</t>
  </si>
  <si>
    <t>PER0692</t>
  </si>
  <si>
    <t>PER0693</t>
  </si>
  <si>
    <t>PER0694</t>
  </si>
  <si>
    <t>PER0695</t>
  </si>
  <si>
    <t>PER0696</t>
  </si>
  <si>
    <t>PER0697</t>
  </si>
  <si>
    <t>PER0698</t>
  </si>
  <si>
    <t>PER0699</t>
  </si>
  <si>
    <t>PER0700</t>
  </si>
  <si>
    <t>PER0701</t>
  </si>
  <si>
    <t>PER0702</t>
  </si>
  <si>
    <t>PER0703</t>
  </si>
  <si>
    <t>PER0704</t>
  </si>
  <si>
    <t>PER0705</t>
  </si>
  <si>
    <t>PER0706</t>
  </si>
  <si>
    <t>PER0707</t>
  </si>
  <si>
    <t>Oğuzhan Kara</t>
  </si>
  <si>
    <t>PER0708</t>
  </si>
  <si>
    <t>PER0709</t>
  </si>
  <si>
    <t>PER0710</t>
  </si>
  <si>
    <t>PER0711</t>
  </si>
  <si>
    <t>PER0712</t>
  </si>
  <si>
    <t>Fatma Şahin</t>
  </si>
  <si>
    <t>PER0713</t>
  </si>
  <si>
    <t>PER0714</t>
  </si>
  <si>
    <t>PER0715</t>
  </si>
  <si>
    <t>Hilal Öztürk</t>
  </si>
  <si>
    <t>PER0716</t>
  </si>
  <si>
    <t>PER0717</t>
  </si>
  <si>
    <t>PER0718</t>
  </si>
  <si>
    <t>PER0719</t>
  </si>
  <si>
    <t>Merve Yıldız</t>
  </si>
  <si>
    <t>PER0720</t>
  </si>
  <si>
    <t>Gamze Kılıç</t>
  </si>
  <si>
    <t>PER0721</t>
  </si>
  <si>
    <t>Ali Arslan</t>
  </si>
  <si>
    <t>PER0722</t>
  </si>
  <si>
    <t>Ecem Çetin</t>
  </si>
  <si>
    <t>PER0723</t>
  </si>
  <si>
    <t>PER0724</t>
  </si>
  <si>
    <t>PER0725</t>
  </si>
  <si>
    <t>PER0726</t>
  </si>
  <si>
    <t>PER0727</t>
  </si>
  <si>
    <t>PER0728</t>
  </si>
  <si>
    <t>PER0729</t>
  </si>
  <si>
    <t>PER0730</t>
  </si>
  <si>
    <t>PER0731</t>
  </si>
  <si>
    <t>PER0732</t>
  </si>
  <si>
    <t>PER0733</t>
  </si>
  <si>
    <t>PER0734</t>
  </si>
  <si>
    <t>PER0735</t>
  </si>
  <si>
    <t>PER0736</t>
  </si>
  <si>
    <t>PER0737</t>
  </si>
  <si>
    <t>Burak Çetin</t>
  </si>
  <si>
    <t>PER0738</t>
  </si>
  <si>
    <t>PER0739</t>
  </si>
  <si>
    <t>PER0740</t>
  </si>
  <si>
    <t>Gamze Özdemir</t>
  </si>
  <si>
    <t>PER0741</t>
  </si>
  <si>
    <t>Ecem Arslan</t>
  </si>
  <si>
    <t>PER0742</t>
  </si>
  <si>
    <t>PER0743</t>
  </si>
  <si>
    <t>PER0744</t>
  </si>
  <si>
    <t>PER0745</t>
  </si>
  <si>
    <t>PER0746</t>
  </si>
  <si>
    <t>PER0747</t>
  </si>
  <si>
    <t>PER0748</t>
  </si>
  <si>
    <t>PER0749</t>
  </si>
  <si>
    <t>PER0750</t>
  </si>
  <si>
    <t>PER0751</t>
  </si>
  <si>
    <t>Gamze Kaya</t>
  </si>
  <si>
    <t>PER0752</t>
  </si>
  <si>
    <t>PER0753</t>
  </si>
  <si>
    <t>PER0754</t>
  </si>
  <si>
    <t>Büşra Öztürk</t>
  </si>
  <si>
    <t>PER0755</t>
  </si>
  <si>
    <t>PER0756</t>
  </si>
  <si>
    <t>Kübra Çelik</t>
  </si>
  <si>
    <t>PER0757</t>
  </si>
  <si>
    <t>PER0758</t>
  </si>
  <si>
    <t>PER0759</t>
  </si>
  <si>
    <t>PER0760</t>
  </si>
  <si>
    <t>PER0761</t>
  </si>
  <si>
    <t>PER0762</t>
  </si>
  <si>
    <t>PER0763</t>
  </si>
  <si>
    <t>PER0764</t>
  </si>
  <si>
    <t>PER0765</t>
  </si>
  <si>
    <t>PER0766</t>
  </si>
  <si>
    <t>PER0767</t>
  </si>
  <si>
    <t>Hilal Kılıç</t>
  </si>
  <si>
    <t>PER0768</t>
  </si>
  <si>
    <t>PER0769</t>
  </si>
  <si>
    <t>PER0770</t>
  </si>
  <si>
    <t>Oğuzhan Aydın</t>
  </si>
  <si>
    <t>PER0771</t>
  </si>
  <si>
    <t>PER0772</t>
  </si>
  <si>
    <t>PER0773</t>
  </si>
  <si>
    <t>PER0774</t>
  </si>
  <si>
    <t>Merve Kara</t>
  </si>
  <si>
    <t>PER0775</t>
  </si>
  <si>
    <t>PER0776</t>
  </si>
  <si>
    <t>PER0777</t>
  </si>
  <si>
    <t>Hilal Kara</t>
  </si>
  <si>
    <t>PER0778</t>
  </si>
  <si>
    <t>PER0779</t>
  </si>
  <si>
    <t>PER0780</t>
  </si>
  <si>
    <t>PER0781</t>
  </si>
  <si>
    <t>PER0782</t>
  </si>
  <si>
    <t>PER0783</t>
  </si>
  <si>
    <t>Hilal Demir</t>
  </si>
  <si>
    <t>PER0784</t>
  </si>
  <si>
    <t>PER0785</t>
  </si>
  <si>
    <t>PER0786</t>
  </si>
  <si>
    <t>Mustafa Kara</t>
  </si>
  <si>
    <t>PER0787</t>
  </si>
  <si>
    <t>PER0788</t>
  </si>
  <si>
    <t>PER0789</t>
  </si>
  <si>
    <t>PER0790</t>
  </si>
  <si>
    <t>PER0791</t>
  </si>
  <si>
    <t>PER0792</t>
  </si>
  <si>
    <t>Ayşe Yıldız</t>
  </si>
  <si>
    <t>PER0793</t>
  </si>
  <si>
    <t>PER0794</t>
  </si>
  <si>
    <t>PER0795</t>
  </si>
  <si>
    <t>PER0796</t>
  </si>
  <si>
    <t>PER0797</t>
  </si>
  <si>
    <t>PER0798</t>
  </si>
  <si>
    <t>PER0799</t>
  </si>
  <si>
    <t>Defne Aydın</t>
  </si>
  <si>
    <t>PER0800</t>
  </si>
  <si>
    <t>PER0801</t>
  </si>
  <si>
    <t>PER0802</t>
  </si>
  <si>
    <t>PER0803</t>
  </si>
  <si>
    <t>Oğuzhan Yıldız</t>
  </si>
  <si>
    <t>PER0804</t>
  </si>
  <si>
    <t>PER0805</t>
  </si>
  <si>
    <t>PER0806</t>
  </si>
  <si>
    <t>İrem Çelik</t>
  </si>
  <si>
    <t>PER0807</t>
  </si>
  <si>
    <t>PER0808</t>
  </si>
  <si>
    <t>PER0809</t>
  </si>
  <si>
    <t>PER0810</t>
  </si>
  <si>
    <t>PER0811</t>
  </si>
  <si>
    <t>PER0812</t>
  </si>
  <si>
    <t>PER0813</t>
  </si>
  <si>
    <t>PER0814</t>
  </si>
  <si>
    <t>PER0815</t>
  </si>
  <si>
    <t>PER0816</t>
  </si>
  <si>
    <t>PER0817</t>
  </si>
  <si>
    <t>PER0818</t>
  </si>
  <si>
    <t>PER0819</t>
  </si>
  <si>
    <t>PER0820</t>
  </si>
  <si>
    <t>PER0821</t>
  </si>
  <si>
    <t>PER0822</t>
  </si>
  <si>
    <t>Ecem Aydın</t>
  </si>
  <si>
    <t>PER0823</t>
  </si>
  <si>
    <t>PER0824</t>
  </si>
  <si>
    <t>Burak Aydın</t>
  </si>
  <si>
    <t>PER0825</t>
  </si>
  <si>
    <t>PER0826</t>
  </si>
  <si>
    <t>PER0827</t>
  </si>
  <si>
    <t>PER0828</t>
  </si>
  <si>
    <t>PER0829</t>
  </si>
  <si>
    <t>PER0830</t>
  </si>
  <si>
    <t>PER0831</t>
  </si>
  <si>
    <t>PER0832</t>
  </si>
  <si>
    <t>PER0833</t>
  </si>
  <si>
    <t>PER0834</t>
  </si>
  <si>
    <t>PER0835</t>
  </si>
  <si>
    <t>Selin Kaya</t>
  </si>
  <si>
    <t>PER0836</t>
  </si>
  <si>
    <t>PER0837</t>
  </si>
  <si>
    <t>Defne Özdemir</t>
  </si>
  <si>
    <t>PER0838</t>
  </si>
  <si>
    <t>PER0839</t>
  </si>
  <si>
    <t>PER0840</t>
  </si>
  <si>
    <t>Selin Aydın</t>
  </si>
  <si>
    <t>PER0841</t>
  </si>
  <si>
    <t>Ömer Öztürk</t>
  </si>
  <si>
    <t>PER0842</t>
  </si>
  <si>
    <t>PER0843</t>
  </si>
  <si>
    <t>PER0844</t>
  </si>
  <si>
    <t>PER0845</t>
  </si>
  <si>
    <t>Defne Arslan</t>
  </si>
  <si>
    <t>PER0846</t>
  </si>
  <si>
    <t>PER0847</t>
  </si>
  <si>
    <t>PER0848</t>
  </si>
  <si>
    <t>PER0849</t>
  </si>
  <si>
    <t>PER0850</t>
  </si>
  <si>
    <t>PER0851</t>
  </si>
  <si>
    <t>PER0852</t>
  </si>
  <si>
    <t>PER0853</t>
  </si>
  <si>
    <t>PER0854</t>
  </si>
  <si>
    <t>PER0855</t>
  </si>
  <si>
    <t>PER0856</t>
  </si>
  <si>
    <t>PER0857</t>
  </si>
  <si>
    <t>PER0858</t>
  </si>
  <si>
    <t>PER0859</t>
  </si>
  <si>
    <t>PER0860</t>
  </si>
  <si>
    <t>PER0861</t>
  </si>
  <si>
    <t>PER0862</t>
  </si>
  <si>
    <t>PER0863</t>
  </si>
  <si>
    <t>PER0864</t>
  </si>
  <si>
    <t>PER0865</t>
  </si>
  <si>
    <t>PER0866</t>
  </si>
  <si>
    <t>PER0867</t>
  </si>
  <si>
    <t>PER0868</t>
  </si>
  <si>
    <t>PER0869</t>
  </si>
  <si>
    <t>PER0870</t>
  </si>
  <si>
    <t>PER0871</t>
  </si>
  <si>
    <t>PER0872</t>
  </si>
  <si>
    <t>PER0873</t>
  </si>
  <si>
    <t>PER0874</t>
  </si>
  <si>
    <t>PER0875</t>
  </si>
  <si>
    <t>PER0876</t>
  </si>
  <si>
    <t>PER0877</t>
  </si>
  <si>
    <t>PER0878</t>
  </si>
  <si>
    <t>PER0879</t>
  </si>
  <si>
    <t>İrem Demir</t>
  </si>
  <si>
    <t>PER0880</t>
  </si>
  <si>
    <t>PER0881</t>
  </si>
  <si>
    <t>PER0882</t>
  </si>
  <si>
    <t>PER0883</t>
  </si>
  <si>
    <t>PER0884</t>
  </si>
  <si>
    <t>PER0885</t>
  </si>
  <si>
    <t>PER0886</t>
  </si>
  <si>
    <t>PER0887</t>
  </si>
  <si>
    <t>Can Kılıç</t>
  </si>
  <si>
    <t>PER0888</t>
  </si>
  <si>
    <t>PER0889</t>
  </si>
  <si>
    <t>Hilal Şahin</t>
  </si>
  <si>
    <t>PER0890</t>
  </si>
  <si>
    <t>PER0891</t>
  </si>
  <si>
    <t>PER0892</t>
  </si>
  <si>
    <t>PER0893</t>
  </si>
  <si>
    <t>PER0894</t>
  </si>
  <si>
    <t>Aslan Aydın</t>
  </si>
  <si>
    <t>PER0895</t>
  </si>
  <si>
    <t>PER0896</t>
  </si>
  <si>
    <t>PER0897</t>
  </si>
  <si>
    <t>PER0898</t>
  </si>
  <si>
    <t>PER0899</t>
  </si>
  <si>
    <t>PER0900</t>
  </si>
  <si>
    <t>PER0901</t>
  </si>
  <si>
    <t>PER0902</t>
  </si>
  <si>
    <t>PER0903</t>
  </si>
  <si>
    <t>PER0904</t>
  </si>
  <si>
    <t>PER0905</t>
  </si>
  <si>
    <t>PER0906</t>
  </si>
  <si>
    <t>PER0907</t>
  </si>
  <si>
    <t>PER0908</t>
  </si>
  <si>
    <t>PER0909</t>
  </si>
  <si>
    <t>PER0910</t>
  </si>
  <si>
    <t>PER0911</t>
  </si>
  <si>
    <t>PER0912</t>
  </si>
  <si>
    <t>PER0913</t>
  </si>
  <si>
    <t>PER0914</t>
  </si>
  <si>
    <t>PER0915</t>
  </si>
  <si>
    <t>PER0916</t>
  </si>
  <si>
    <t>PER0917</t>
  </si>
  <si>
    <t>PER0918</t>
  </si>
  <si>
    <t>PER0919</t>
  </si>
  <si>
    <t>PER0920</t>
  </si>
  <si>
    <t>PER0921</t>
  </si>
  <si>
    <t>PER0922</t>
  </si>
  <si>
    <t>PER0923</t>
  </si>
  <si>
    <t>PER0924</t>
  </si>
  <si>
    <t>PER0925</t>
  </si>
  <si>
    <t>PER0926</t>
  </si>
  <si>
    <t>PER0927</t>
  </si>
  <si>
    <t>PER0928</t>
  </si>
  <si>
    <t>PER0929</t>
  </si>
  <si>
    <t>PER0930</t>
  </si>
  <si>
    <t>PER0931</t>
  </si>
  <si>
    <t>PER0932</t>
  </si>
  <si>
    <t>PER0933</t>
  </si>
  <si>
    <t>PER0934</t>
  </si>
  <si>
    <t>Kübra Yılmaz</t>
  </si>
  <si>
    <t>PER0935</t>
  </si>
  <si>
    <t>PER0936</t>
  </si>
  <si>
    <t>PER0937</t>
  </si>
  <si>
    <t>PER0938</t>
  </si>
  <si>
    <t>PER0939</t>
  </si>
  <si>
    <t>PER0940</t>
  </si>
  <si>
    <t>PER0941</t>
  </si>
  <si>
    <t>PER0942</t>
  </si>
  <si>
    <t>PER0943</t>
  </si>
  <si>
    <t>PER0944</t>
  </si>
  <si>
    <t>PER0945</t>
  </si>
  <si>
    <t>PER0946</t>
  </si>
  <si>
    <t>PER0947</t>
  </si>
  <si>
    <t>PER0948</t>
  </si>
  <si>
    <t>PER0949</t>
  </si>
  <si>
    <t>PER0950</t>
  </si>
  <si>
    <t>PER0951</t>
  </si>
  <si>
    <t>PER0952</t>
  </si>
  <si>
    <t>PER0953</t>
  </si>
  <si>
    <t>PER0954</t>
  </si>
  <si>
    <t>PER0955</t>
  </si>
  <si>
    <t>PER0956</t>
  </si>
  <si>
    <t>PER0957</t>
  </si>
  <si>
    <t>Elif Öztürk</t>
  </si>
  <si>
    <t>PER0958</t>
  </si>
  <si>
    <t>Ali Aydın</t>
  </si>
  <si>
    <t>PER0959</t>
  </si>
  <si>
    <t>PER0960</t>
  </si>
  <si>
    <t>PER0961</t>
  </si>
  <si>
    <t>PER0962</t>
  </si>
  <si>
    <t>PER0963</t>
  </si>
  <si>
    <t>PER0964</t>
  </si>
  <si>
    <t>PER0965</t>
  </si>
  <si>
    <t>PER0966</t>
  </si>
  <si>
    <t>PER0967</t>
  </si>
  <si>
    <t>PER0968</t>
  </si>
  <si>
    <t>PER0969</t>
  </si>
  <si>
    <t>PER0970</t>
  </si>
  <si>
    <t>PER0971</t>
  </si>
  <si>
    <t>PER0972</t>
  </si>
  <si>
    <t>PER0973</t>
  </si>
  <si>
    <t>PER0974</t>
  </si>
  <si>
    <t>PER0975</t>
  </si>
  <si>
    <t>PER0976</t>
  </si>
  <si>
    <t>PER0977</t>
  </si>
  <si>
    <t>Kübra Şahin</t>
  </si>
  <si>
    <t>PER0978</t>
  </si>
  <si>
    <t>PER0979</t>
  </si>
  <si>
    <t>PER0980</t>
  </si>
  <si>
    <t>PER0981</t>
  </si>
  <si>
    <t>Gökhan Doğan</t>
  </si>
  <si>
    <t>PER0982</t>
  </si>
  <si>
    <t>PER0983</t>
  </si>
  <si>
    <t>PER0984</t>
  </si>
  <si>
    <t>PER0985</t>
  </si>
  <si>
    <t>PER0986</t>
  </si>
  <si>
    <t>PER0987</t>
  </si>
  <si>
    <t>PER0988</t>
  </si>
  <si>
    <t>PER0989</t>
  </si>
  <si>
    <t>Aslan Doğan</t>
  </si>
  <si>
    <t>PER0990</t>
  </si>
  <si>
    <t>PER0991</t>
  </si>
  <si>
    <t>PER0992</t>
  </si>
  <si>
    <t>PER0993</t>
  </si>
  <si>
    <t>PER0994</t>
  </si>
  <si>
    <t>PER0995</t>
  </si>
  <si>
    <t>PER0996</t>
  </si>
  <si>
    <t>PER0997</t>
  </si>
  <si>
    <t>PER0998</t>
  </si>
  <si>
    <t>PER0999</t>
  </si>
  <si>
    <t>PER1000</t>
  </si>
  <si>
    <t>HR ANALYTICS EXECUTIVE DASHBOARD (2026)</t>
  </si>
  <si>
    <t>HEADCOUNT</t>
  </si>
  <si>
    <t>TURNOVER %</t>
  </si>
  <si>
    <t>ORT. YAŞ</t>
  </si>
  <si>
    <t>ORT. KIDEM</t>
  </si>
  <si>
    <t>ORT. BRÜT MAAŞ</t>
  </si>
  <si>
    <t>TOPLAM FM (SAAT)</t>
  </si>
  <si>
    <t>HR Analytics Dashboard 2026 — Proje Dokümantasyonu</t>
  </si>
  <si>
    <t>Bu Excel çalışma kitabı, 1000 çalışanlık kurumsal bir firmanın İnsan Kaynakları verilerini, KPI hesaplamalarını ve yönetici dashboard altyapısını içermektedir.</t>
  </si>
  <si>
    <t>Proje Adımları ve Sekme Yapısı:</t>
  </si>
  <si>
    <t>01_Personel_Verisi</t>
  </si>
  <si>
    <t>1000 satırlık birbiriyle ilişkili ve kurumsal mantığa uygun ana veri seti tabanı.</t>
  </si>
  <si>
    <t>02_Hesaplamalar</t>
  </si>
  <si>
    <t>Dashboard alanına besleme yapacak dinamik formüller (EĞER, ÇOKETOPLA, ÇOKEĞERSAY vb.).</t>
  </si>
  <si>
    <t>03_Pivotlar</t>
  </si>
  <si>
    <t>Dilimleyicilerle (Slicer) bağlanacak ve grafikleri besleyecek ara özet tablolar.</t>
  </si>
  <si>
    <t>04_Dashboard</t>
  </si>
  <si>
    <t>CEO ve Üst Yönetim sunumu için tasarlanmış, üstte özet KPI kartları ve altta profesyonel grafik alanları içeren vizyon şablonu.</t>
  </si>
  <si>
    <t>Genel Şirket Özeti</t>
  </si>
  <si>
    <t>Aktif Çalışan</t>
  </si>
  <si>
    <t>Toplam Ayrılan</t>
  </si>
  <si>
    <t>TurnOver Oranı</t>
  </si>
  <si>
    <t>Ortalama Yaş</t>
  </si>
  <si>
    <t>Ortalama Kıdem</t>
  </si>
  <si>
    <t>Kıdem Yılı</t>
  </si>
  <si>
    <t>Ortalama Maaş</t>
  </si>
  <si>
    <t>Toplam Fazla Mesai</t>
  </si>
  <si>
    <t>Toplam Eksik Gün</t>
  </si>
  <si>
    <t>Departman Bazlı Analiz Matrisi</t>
  </si>
  <si>
    <t>Çalışan Sayısı</t>
  </si>
  <si>
    <t>Ortalama Performans Notu</t>
  </si>
  <si>
    <t>Yaş Aralığı</t>
  </si>
  <si>
    <t>Kıdem Aralığı</t>
  </si>
  <si>
    <t>Yaş Dağılımı Tablosu:</t>
  </si>
  <si>
    <t>20 - 29 Yaş</t>
  </si>
  <si>
    <t>30 - 39 Yaş</t>
  </si>
  <si>
    <t>40 - 49 Yaş</t>
  </si>
  <si>
    <t>50 Yaş ve Üstü</t>
  </si>
  <si>
    <t>Kıdem Dağılımı Tablosu</t>
  </si>
  <si>
    <t>0 - 1 Yıl (Yeni)</t>
  </si>
  <si>
    <t>1 - 3 Yıl</t>
  </si>
  <si>
    <t>3 - 5 Yıl</t>
  </si>
  <si>
    <t>5 - 10 Yıl</t>
  </si>
  <si>
    <t>10 Yıl ve Üstü</t>
  </si>
  <si>
    <t>Satır Etiketleri</t>
  </si>
  <si>
    <t>Genel Toplam</t>
  </si>
  <si>
    <t>Ortalama Brüt Maaş</t>
  </si>
  <si>
    <t>Kişi</t>
  </si>
  <si>
    <t>Say Sicil No</t>
  </si>
  <si>
    <t>İşe giriş yılı</t>
  </si>
  <si>
    <t>İşe Giriş yılı</t>
  </si>
  <si>
    <t>Ortalama Eğitim Saati</t>
  </si>
  <si>
    <t>Ortalama Performans</t>
  </si>
  <si>
    <t xml:space="preserve">Ortalama Eğitim </t>
  </si>
  <si>
    <t>Aktif Çalışan Yüzdesi</t>
  </si>
  <si>
    <t>Annualized Turnover</t>
  </si>
  <si>
    <t>Kadın Oranı %</t>
  </si>
  <si>
    <t>Çıkış Yıl</t>
  </si>
  <si>
    <t>*Rapor tarihi haziran kabul edildi.</t>
  </si>
  <si>
    <t>TAHMİNİ 2026 TURNOVER :</t>
  </si>
  <si>
    <t>%</t>
  </si>
  <si>
    <t>DEVAMSIZLIK</t>
  </si>
  <si>
    <t>KADIN ORANI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</si>
</sst>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₺&quot;#,##0;\-&quot;₺&quot;#,##0"/>
    <numFmt numFmtId="164" formatCode="#,##0&quot; ₺&quot;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2C3E50"/>
      <name val="Calibri"/>
    </font>
    <font>
      <b/>
      <sz val="11"/>
      <color rgb="FF2980B9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</font>
    <font>
      <i/>
      <sz val="8"/>
      <color theme="1"/>
      <name val="Calibri"/>
      <family val="2"/>
      <charset val="162"/>
      <scheme val="minor"/>
    </font>
    <font>
      <b/>
      <sz val="18"/>
      <color rgb="FFFFFFFF"/>
      <name val="Cambria"/>
      <family val="1"/>
      <charset val="162"/>
      <scheme val="major"/>
    </font>
    <font>
      <sz val="11"/>
      <color theme="1"/>
      <name val="Cambria"/>
      <family val="1"/>
      <charset val="162"/>
      <scheme val="major"/>
    </font>
    <font>
      <b/>
      <sz val="9"/>
      <color rgb="FF595959"/>
      <name val="Cambria"/>
      <family val="1"/>
      <charset val="162"/>
      <scheme val="major"/>
    </font>
    <font>
      <i/>
      <sz val="11"/>
      <color rgb="FF808080"/>
      <name val="Cambria"/>
      <family val="1"/>
      <charset val="162"/>
      <scheme val="major"/>
    </font>
    <font>
      <b/>
      <sz val="12"/>
      <color rgb="FF1F4E78"/>
      <name val="Cambria"/>
      <family val="1"/>
      <charset val="16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1" fillId="0" borderId="0" xfId="0" applyFont="1"/>
    <xf numFmtId="0" fontId="2" fillId="0" borderId="0" xfId="0" applyFont="1"/>
    <xf numFmtId="14" fontId="3" fillId="2" borderId="0" xfId="0" applyNumberFormat="1" applyFont="1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0" fontId="5" fillId="2" borderId="0" xfId="0" applyFont="1" applyFill="1" applyAlignment="1">
      <alignment horizontal="center" vertical="center" wrapText="1"/>
    </xf>
    <xf numFmtId="0" fontId="0" fillId="0" borderId="2" xfId="0" applyBorder="1"/>
    <xf numFmtId="2" fontId="0" fillId="0" borderId="2" xfId="0" applyNumberFormat="1" applyBorder="1"/>
    <xf numFmtId="1" fontId="0" fillId="0" borderId="2" xfId="0" applyNumberFormat="1" applyBorder="1"/>
    <xf numFmtId="5" fontId="0" fillId="0" borderId="2" xfId="0" applyNumberFormat="1" applyBorder="1"/>
    <xf numFmtId="0" fontId="4" fillId="4" borderId="2" xfId="0" applyFont="1" applyFill="1" applyBorder="1"/>
    <xf numFmtId="0" fontId="4" fillId="0" borderId="2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14" fontId="0" fillId="0" borderId="0" xfId="0" applyNumberFormat="1" applyAlignment="1"/>
    <xf numFmtId="0" fontId="0" fillId="0" borderId="0" xfId="0" applyNumberFormat="1"/>
    <xf numFmtId="3" fontId="0" fillId="0" borderId="0" xfId="0" applyNumberFormat="1" applyAlignment="1">
      <alignment horizontal="left"/>
    </xf>
    <xf numFmtId="3" fontId="0" fillId="0" borderId="0" xfId="0" applyNumberForma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8" fillId="0" borderId="0" xfId="0" applyFont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5" fontId="10" fillId="0" borderId="6" xfId="0" applyNumberFormat="1" applyFont="1" applyBorder="1" applyAlignment="1">
      <alignment horizontal="center"/>
    </xf>
    <xf numFmtId="0" fontId="11" fillId="0" borderId="0" xfId="0" applyFont="1"/>
    <xf numFmtId="0" fontId="8" fillId="0" borderId="0" xfId="0" applyFont="1" applyAlignment="1">
      <alignment vertical="top"/>
    </xf>
    <xf numFmtId="0" fontId="10" fillId="0" borderId="0" xfId="0" applyFont="1" applyBorder="1" applyAlignment="1">
      <alignment horizontal="center"/>
    </xf>
    <xf numFmtId="165" fontId="10" fillId="0" borderId="0" xfId="0" applyNumberFormat="1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5" fontId="10" fillId="0" borderId="0" xfId="0" applyNumberFormat="1" applyFont="1" applyBorder="1" applyAlignment="1">
      <alignment horizontal="center"/>
    </xf>
    <xf numFmtId="0" fontId="8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[HR_Analytics_2026_Master.xlsx]03_Pivotlar!PivotTable8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2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Departman Bazlı İstihdam ve Maaş Dağılımı</a:t>
            </a:r>
            <a:endParaRPr lang="tr-T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25400"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'03_Pivotlar'!$B$3</c:f>
              <c:strCache>
                <c:ptCount val="1"/>
                <c:pt idx="0">
                  <c:v>Kişi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'03_Pivotlar'!$A$4:$A$9</c:f>
              <c:strCache>
                <c:ptCount val="5"/>
                <c:pt idx="0">
                  <c:v>Bilgi Teknolojileri</c:v>
                </c:pt>
                <c:pt idx="1">
                  <c:v>Finans &amp; Muhasebe</c:v>
                </c:pt>
                <c:pt idx="2">
                  <c:v>İnsan Kaynakları</c:v>
                </c:pt>
                <c:pt idx="3">
                  <c:v>Satış &amp; Pazarlama</c:v>
                </c:pt>
                <c:pt idx="4">
                  <c:v>Üretim &amp; Operasyon</c:v>
                </c:pt>
              </c:strCache>
            </c:strRef>
          </c:cat>
          <c:val>
            <c:numRef>
              <c:f>'03_Pivotlar'!$B$4:$B$9</c:f>
              <c:numCache>
                <c:formatCode>General</c:formatCode>
                <c:ptCount val="5"/>
                <c:pt idx="0">
                  <c:v>85</c:v>
                </c:pt>
                <c:pt idx="1">
                  <c:v>110</c:v>
                </c:pt>
                <c:pt idx="2">
                  <c:v>66</c:v>
                </c:pt>
                <c:pt idx="3">
                  <c:v>176</c:v>
                </c:pt>
                <c:pt idx="4">
                  <c:v>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4-4C7D-B307-77F3C6085EDF}"/>
            </c:ext>
          </c:extLst>
        </c:ser>
        <c:ser>
          <c:idx val="1"/>
          <c:order val="1"/>
          <c:tx>
            <c:strRef>
              <c:f>'03_Pivotlar'!$C$3</c:f>
              <c:strCache>
                <c:ptCount val="1"/>
                <c:pt idx="0">
                  <c:v>Ortalama Brüt Maaş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25400"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'03_Pivotlar'!$A$4:$A$9</c:f>
              <c:strCache>
                <c:ptCount val="5"/>
                <c:pt idx="0">
                  <c:v>Bilgi Teknolojileri</c:v>
                </c:pt>
                <c:pt idx="1">
                  <c:v>Finans &amp; Muhasebe</c:v>
                </c:pt>
                <c:pt idx="2">
                  <c:v>İnsan Kaynakları</c:v>
                </c:pt>
                <c:pt idx="3">
                  <c:v>Satış &amp; Pazarlama</c:v>
                </c:pt>
                <c:pt idx="4">
                  <c:v>Üretim &amp; Operasyon</c:v>
                </c:pt>
              </c:strCache>
            </c:strRef>
          </c:cat>
          <c:val>
            <c:numRef>
              <c:f>'03_Pivotlar'!$C$4:$C$9</c:f>
              <c:numCache>
                <c:formatCode>#,##0" ₺"</c:formatCode>
                <c:ptCount val="5"/>
                <c:pt idx="0">
                  <c:v>78830.588235294112</c:v>
                </c:pt>
                <c:pt idx="1">
                  <c:v>64717.272727272728</c:v>
                </c:pt>
                <c:pt idx="2">
                  <c:v>57328.78787878788</c:v>
                </c:pt>
                <c:pt idx="3">
                  <c:v>57699.431818181816</c:v>
                </c:pt>
                <c:pt idx="4">
                  <c:v>33196.51972157773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4-4C7D-B307-77F3C608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868687"/>
        <c:axId val="1904869167"/>
      </c:barChart>
      <c:catAx>
        <c:axId val="190486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4869167"/>
        <c:crosses val="autoZero"/>
        <c:auto val="1"/>
        <c:lblAlgn val="ctr"/>
        <c:lblOffset val="100"/>
        <c:noMultiLvlLbl val="0"/>
      </c:catAx>
      <c:valAx>
        <c:axId val="1904869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486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[HR_Analytics_2026_Master.xlsx]03_Pivotlar!PivotTable4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 i="0" u="none" strike="noStrike" cap="none" baseline="0"/>
              <a:t>Yıllara Göre İşe Alım Trendi (2008 - 2026)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'03_Pivotlar'!$H$1</c:f>
              <c:strCache>
                <c:ptCount val="1"/>
                <c:pt idx="0">
                  <c:v>Toplam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'03_Pivotlar'!$G$2:$G$21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'03_Pivotlar'!$H$2:$H$21</c:f>
              <c:numCache>
                <c:formatCode>General</c:formatCode>
                <c:ptCount val="19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38</c:v>
                </c:pt>
                <c:pt idx="7">
                  <c:v>35</c:v>
                </c:pt>
                <c:pt idx="8">
                  <c:v>45</c:v>
                </c:pt>
                <c:pt idx="9">
                  <c:v>48</c:v>
                </c:pt>
                <c:pt idx="10">
                  <c:v>48</c:v>
                </c:pt>
                <c:pt idx="11">
                  <c:v>43</c:v>
                </c:pt>
                <c:pt idx="12">
                  <c:v>53</c:v>
                </c:pt>
                <c:pt idx="13">
                  <c:v>31</c:v>
                </c:pt>
                <c:pt idx="14">
                  <c:v>114</c:v>
                </c:pt>
                <c:pt idx="15">
                  <c:v>146</c:v>
                </c:pt>
                <c:pt idx="16">
                  <c:v>140</c:v>
                </c:pt>
                <c:pt idx="17">
                  <c:v>135</c:v>
                </c:pt>
                <c:pt idx="18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D0-41E4-A889-D8822290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808287"/>
        <c:axId val="1378215823"/>
      </c:lineChart>
      <c:catAx>
        <c:axId val="133480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8215823"/>
        <c:crosses val="autoZero"/>
        <c:auto val="1"/>
        <c:lblAlgn val="ctr"/>
        <c:lblOffset val="100"/>
        <c:noMultiLvlLbl val="0"/>
      </c:catAx>
      <c:valAx>
        <c:axId val="137821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3480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[HR_Analytics_2026_Master.xlsx]03_Pivotlar!PivotTable5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Çıkış Nedenleri Analizi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'03_Pivotlar'!$B$29</c:f>
              <c:strCache>
                <c:ptCount val="1"/>
                <c:pt idx="0">
                  <c:v>Toplam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'03_Pivotlar'!$A$30:$A$35</c:f>
              <c:strCache>
                <c:ptCount val="5"/>
                <c:pt idx="0">
                  <c:v>Emeklilik</c:v>
                </c:pt>
                <c:pt idx="1">
                  <c:v>Evlilik/Taşınma</c:v>
                </c:pt>
                <c:pt idx="2">
                  <c:v>İstifa (Kariyer Değişikliği)</c:v>
                </c:pt>
                <c:pt idx="3">
                  <c:v>Performans Yetersizliği</c:v>
                </c:pt>
                <c:pt idx="4">
                  <c:v>Sağlık Sebepleri</c:v>
                </c:pt>
              </c:strCache>
            </c:strRef>
          </c:cat>
          <c:val>
            <c:numRef>
              <c:f>'03_Pivotlar'!$B$30:$B$35</c:f>
              <c:numCache>
                <c:formatCode>General</c:formatCode>
                <c:ptCount val="5"/>
                <c:pt idx="0">
                  <c:v>3</c:v>
                </c:pt>
                <c:pt idx="1">
                  <c:v>29</c:v>
                </c:pt>
                <c:pt idx="2">
                  <c:v>74</c:v>
                </c:pt>
                <c:pt idx="3">
                  <c:v>16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A-4FFE-9B09-C36209676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86203119"/>
        <c:axId val="1378172143"/>
      </c:barChart>
      <c:catAx>
        <c:axId val="138620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8172143"/>
        <c:crosses val="autoZero"/>
        <c:auto val="1"/>
        <c:lblAlgn val="ctr"/>
        <c:lblOffset val="100"/>
        <c:noMultiLvlLbl val="0"/>
      </c:catAx>
      <c:valAx>
        <c:axId val="137817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8620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[HR_Analytics_2026_Master.xlsx]03_Pivotlar!PivotTable6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200" b="1" i="0" u="none" strike="noStrike" cap="none" baseline="0"/>
              <a:t>Performans Notuna Göre Ortalama Eğitim Saatleri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'03_Pivotlar'!$J$27</c:f>
              <c:strCache>
                <c:ptCount val="1"/>
                <c:pt idx="0">
                  <c:v>Toplam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'03_Pivotlar'!$I$28:$I$33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'03_Pivotlar'!$J$28:$J$33</c:f>
              <c:numCache>
                <c:formatCode>#,##0</c:formatCode>
                <c:ptCount val="5"/>
                <c:pt idx="0">
                  <c:v>11.403508771929825</c:v>
                </c:pt>
                <c:pt idx="1">
                  <c:v>10.187050359712231</c:v>
                </c:pt>
                <c:pt idx="2">
                  <c:v>10.731977818853974</c:v>
                </c:pt>
                <c:pt idx="3">
                  <c:v>25.291479820627803</c:v>
                </c:pt>
                <c:pt idx="4">
                  <c:v>26.4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8-4DBC-8FC5-D26AD8A73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5109151"/>
        <c:axId val="1378145743"/>
      </c:barChart>
      <c:catAx>
        <c:axId val="13851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8145743"/>
        <c:crosses val="autoZero"/>
        <c:auto val="1"/>
        <c:lblAlgn val="ctr"/>
        <c:lblOffset val="100"/>
        <c:noMultiLvlLbl val="0"/>
      </c:catAx>
      <c:valAx>
        <c:axId val="13781457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8510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[HR_Analytics_2026_Master.xlsx]03_Pivotlar!PivotTable8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Departman Bazlı İstihdam ve Maaş Dağılımı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'03_Pivotlar'!$B$3</c:f>
              <c:strCache>
                <c:ptCount val="1"/>
                <c:pt idx="0">
                  <c:v>Kişi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'03_Pivotlar'!$A$4:$A$9</c:f>
              <c:strCache>
                <c:ptCount val="5"/>
                <c:pt idx="0">
                  <c:v>Bilgi Teknolojileri</c:v>
                </c:pt>
                <c:pt idx="1">
                  <c:v>Finans &amp; Muhasebe</c:v>
                </c:pt>
                <c:pt idx="2">
                  <c:v>İnsan Kaynakları</c:v>
                </c:pt>
                <c:pt idx="3">
                  <c:v>Satış &amp; Pazarlama</c:v>
                </c:pt>
                <c:pt idx="4">
                  <c:v>Üretim &amp; Operasyon</c:v>
                </c:pt>
              </c:strCache>
            </c:strRef>
          </c:cat>
          <c:val>
            <c:numRef>
              <c:f>'03_Pivotlar'!$B$4:$B$9</c:f>
              <c:numCache>
                <c:formatCode>General</c:formatCode>
                <c:ptCount val="5"/>
                <c:pt idx="0">
                  <c:v>85</c:v>
                </c:pt>
                <c:pt idx="1">
                  <c:v>110</c:v>
                </c:pt>
                <c:pt idx="2">
                  <c:v>66</c:v>
                </c:pt>
                <c:pt idx="3">
                  <c:v>176</c:v>
                </c:pt>
                <c:pt idx="4">
                  <c:v>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6-4BE3-A82A-77A7C7BCE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868687"/>
        <c:axId val="1904869167"/>
      </c:barChart>
      <c:lineChart>
        <c:grouping val="standard"/>
        <c:varyColors val="0"/>
        <c:ser>
          <c:idx val="1"/>
          <c:order val="1"/>
          <c:tx>
            <c:strRef>
              <c:f>'03_Pivotlar'!$C$3</c:f>
              <c:strCache>
                <c:ptCount val="1"/>
                <c:pt idx="0">
                  <c:v>Ortalama Brüt Maaş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'03_Pivotlar'!$A$4:$A$9</c:f>
              <c:strCache>
                <c:ptCount val="5"/>
                <c:pt idx="0">
                  <c:v>Bilgi Teknolojileri</c:v>
                </c:pt>
                <c:pt idx="1">
                  <c:v>Finans &amp; Muhasebe</c:v>
                </c:pt>
                <c:pt idx="2">
                  <c:v>İnsan Kaynakları</c:v>
                </c:pt>
                <c:pt idx="3">
                  <c:v>Satış &amp; Pazarlama</c:v>
                </c:pt>
                <c:pt idx="4">
                  <c:v>Üretim &amp; Operasyon</c:v>
                </c:pt>
              </c:strCache>
            </c:strRef>
          </c:cat>
          <c:val>
            <c:numRef>
              <c:f>'03_Pivotlar'!$C$4:$C$9</c:f>
              <c:numCache>
                <c:formatCode>#,##0" ₺"</c:formatCode>
                <c:ptCount val="5"/>
                <c:pt idx="0">
                  <c:v>78830.588235294112</c:v>
                </c:pt>
                <c:pt idx="1">
                  <c:v>64717.272727272728</c:v>
                </c:pt>
                <c:pt idx="2">
                  <c:v>57328.78787878788</c:v>
                </c:pt>
                <c:pt idx="3">
                  <c:v>57699.431818181816</c:v>
                </c:pt>
                <c:pt idx="4">
                  <c:v>33196.51972157773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6-4BE3-A82A-77A7C7BCE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16095"/>
        <c:axId val="211513215"/>
      </c:lineChart>
      <c:catAx>
        <c:axId val="190486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4869167"/>
        <c:crosses val="autoZero"/>
        <c:auto val="1"/>
        <c:lblAlgn val="ctr"/>
        <c:lblOffset val="100"/>
        <c:noMultiLvlLbl val="0"/>
      </c:catAx>
      <c:valAx>
        <c:axId val="1904869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4868687"/>
        <c:crosses val="autoZero"/>
        <c:crossBetween val="between"/>
      </c:valAx>
      <c:valAx>
        <c:axId val="211513215"/>
        <c:scaling>
          <c:orientation val="minMax"/>
        </c:scaling>
        <c:delete val="0"/>
        <c:axPos val="r"/>
        <c:numFmt formatCode="#,##0&quot; 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1516095"/>
        <c:crosses val="max"/>
        <c:crossBetween val="between"/>
      </c:valAx>
      <c:catAx>
        <c:axId val="21151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513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[HR_Analytics_2026_Master.xlsx]03_Pivotlar!PivotTable4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Yıllara Göre İşe Alım Trendi (2008 - 2026)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'03_Pivotlar'!$H$1</c:f>
              <c:strCache>
                <c:ptCount val="1"/>
                <c:pt idx="0">
                  <c:v>Toplam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'03_Pivotlar'!$G$2:$G$21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'03_Pivotlar'!$H$2:$H$21</c:f>
              <c:numCache>
                <c:formatCode>General</c:formatCode>
                <c:ptCount val="19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38</c:v>
                </c:pt>
                <c:pt idx="7">
                  <c:v>35</c:v>
                </c:pt>
                <c:pt idx="8">
                  <c:v>45</c:v>
                </c:pt>
                <c:pt idx="9">
                  <c:v>48</c:v>
                </c:pt>
                <c:pt idx="10">
                  <c:v>48</c:v>
                </c:pt>
                <c:pt idx="11">
                  <c:v>43</c:v>
                </c:pt>
                <c:pt idx="12">
                  <c:v>53</c:v>
                </c:pt>
                <c:pt idx="13">
                  <c:v>31</c:v>
                </c:pt>
                <c:pt idx="14">
                  <c:v>114</c:v>
                </c:pt>
                <c:pt idx="15">
                  <c:v>146</c:v>
                </c:pt>
                <c:pt idx="16">
                  <c:v>140</c:v>
                </c:pt>
                <c:pt idx="17">
                  <c:v>135</c:v>
                </c:pt>
                <c:pt idx="18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2-4924-84D0-8F27FB4CFA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334808287"/>
        <c:axId val="1378215823"/>
      </c:lineChart>
      <c:catAx>
        <c:axId val="133480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8215823"/>
        <c:crosses val="autoZero"/>
        <c:auto val="1"/>
        <c:lblAlgn val="ctr"/>
        <c:lblOffset val="100"/>
        <c:noMultiLvlLbl val="0"/>
      </c:catAx>
      <c:valAx>
        <c:axId val="13782158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3480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[HR_Analytics_2026_Master.xlsx]03_Pivotlar!PivotTable5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Çıkış Nedenleri Analizi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'03_Pivotlar'!$B$29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'03_Pivotlar'!$A$30:$A$35</c:f>
              <c:strCache>
                <c:ptCount val="5"/>
                <c:pt idx="0">
                  <c:v>Emeklilik</c:v>
                </c:pt>
                <c:pt idx="1">
                  <c:v>Evlilik/Taşınma</c:v>
                </c:pt>
                <c:pt idx="2">
                  <c:v>İstifa (Kariyer Değişikliği)</c:v>
                </c:pt>
                <c:pt idx="3">
                  <c:v>Performans Yetersizliği</c:v>
                </c:pt>
                <c:pt idx="4">
                  <c:v>Sağlık Sebepleri</c:v>
                </c:pt>
              </c:strCache>
            </c:strRef>
          </c:cat>
          <c:val>
            <c:numRef>
              <c:f>'03_Pivotlar'!$B$30:$B$35</c:f>
              <c:numCache>
                <c:formatCode>General</c:formatCode>
                <c:ptCount val="5"/>
                <c:pt idx="0">
                  <c:v>3</c:v>
                </c:pt>
                <c:pt idx="1">
                  <c:v>29</c:v>
                </c:pt>
                <c:pt idx="2">
                  <c:v>74</c:v>
                </c:pt>
                <c:pt idx="3">
                  <c:v>16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9-4EE6-9270-D57880F89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6203119"/>
        <c:axId val="1378172143"/>
      </c:barChart>
      <c:catAx>
        <c:axId val="138620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8172143"/>
        <c:crosses val="autoZero"/>
        <c:auto val="1"/>
        <c:lblAlgn val="ctr"/>
        <c:lblOffset val="100"/>
        <c:noMultiLvlLbl val="0"/>
      </c:catAx>
      <c:valAx>
        <c:axId val="137817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8620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[HR_Analytics_2026_Master.xlsx]03_Pivotlar!PivotTable6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Performans Notuna Göre Ortalama Eğitim Saatleri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'03_Pivotlar'!$J$27</c:f>
              <c:strCache>
                <c:ptCount val="1"/>
                <c:pt idx="0">
                  <c:v>Toplam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'03_Pivotlar'!$I$28:$I$33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'03_Pivotlar'!$J$28:$J$33</c:f>
              <c:numCache>
                <c:formatCode>#,##0</c:formatCode>
                <c:ptCount val="5"/>
                <c:pt idx="0">
                  <c:v>11.403508771929825</c:v>
                </c:pt>
                <c:pt idx="1">
                  <c:v>10.187050359712231</c:v>
                </c:pt>
                <c:pt idx="2">
                  <c:v>10.731977818853974</c:v>
                </c:pt>
                <c:pt idx="3">
                  <c:v>25.291479820627803</c:v>
                </c:pt>
                <c:pt idx="4">
                  <c:v>26.4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5-45D6-AD8B-3168D52B3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85109151"/>
        <c:axId val="1378145743"/>
      </c:barChart>
      <c:catAx>
        <c:axId val="13851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8145743"/>
        <c:crosses val="autoZero"/>
        <c:auto val="1"/>
        <c:lblAlgn val="ctr"/>
        <c:lblOffset val="100"/>
        <c:noMultiLvlLbl val="0"/>
      </c:catAx>
      <c:valAx>
        <c:axId val="13781457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8510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9</xdr:row>
      <xdr:rowOff>15240</xdr:rowOff>
    </xdr:from>
    <xdr:to>
      <xdr:col>5</xdr:col>
      <xdr:colOff>0</xdr:colOff>
      <xdr:row>24</xdr:row>
      <xdr:rowOff>15240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BE56AE4-137D-F03C-8871-823B93660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0</xdr:row>
      <xdr:rowOff>0</xdr:rowOff>
    </xdr:from>
    <xdr:to>
      <xdr:col>12</xdr:col>
      <xdr:colOff>541020</xdr:colOff>
      <xdr:row>15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F615626F-3D27-EFCA-2129-5D7465481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35</xdr:row>
      <xdr:rowOff>34290</xdr:rowOff>
    </xdr:from>
    <xdr:to>
      <xdr:col>4</xdr:col>
      <xdr:colOff>579120</xdr:colOff>
      <xdr:row>50</xdr:row>
      <xdr:rowOff>34290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432110A6-7155-A7E7-EE74-B413A0402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327660</xdr:colOff>
      <xdr:row>37</xdr:row>
      <xdr:rowOff>41910</xdr:rowOff>
    </xdr:from>
    <xdr:to>
      <xdr:col>11</xdr:col>
      <xdr:colOff>152400</xdr:colOff>
      <xdr:row>52</xdr:row>
      <xdr:rowOff>41910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EDAD35B3-359E-C057-9C7E-B1B24EEAB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190500</xdr:rowOff>
    </xdr:from>
    <xdr:to>
      <xdr:col>7</xdr:col>
      <xdr:colOff>419100</xdr:colOff>
      <xdr:row>23</xdr:row>
      <xdr:rowOff>175260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2304BD4-F4C5-417B-8482-348BF4370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8</xdr:row>
      <xdr:rowOff>190500</xdr:rowOff>
    </xdr:from>
    <xdr:to>
      <xdr:col>16</xdr:col>
      <xdr:colOff>403860</xdr:colOff>
      <xdr:row>23</xdr:row>
      <xdr:rowOff>175260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4FC82D3-FE44-44B0-9583-BEBBDFA63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25</xdr:row>
      <xdr:rowOff>3810</xdr:rowOff>
    </xdr:from>
    <xdr:to>
      <xdr:col>7</xdr:col>
      <xdr:colOff>419100</xdr:colOff>
      <xdr:row>40</xdr:row>
      <xdr:rowOff>3810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3D58C885-C7DF-4A8D-8C64-FAF09057D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24</xdr:row>
      <xdr:rowOff>179070</xdr:rowOff>
    </xdr:from>
    <xdr:to>
      <xdr:col>16</xdr:col>
      <xdr:colOff>388620</xdr:colOff>
      <xdr:row>39</xdr:row>
      <xdr:rowOff>179070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72B1E3B4-531C-48C9-924D-8BD0B47A1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44631</xdr:colOff>
      <xdr:row>0</xdr:row>
      <xdr:rowOff>54428</xdr:rowOff>
    </xdr:from>
    <xdr:to>
      <xdr:col>23</xdr:col>
      <xdr:colOff>44631</xdr:colOff>
      <xdr:row>13</xdr:row>
      <xdr:rowOff>52523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insiyet">
              <a:extLst>
                <a:ext uri="{FF2B5EF4-FFF2-40B4-BE49-F238E27FC236}">
                  <a16:creationId xmlns:a16="http://schemas.microsoft.com/office/drawing/2014/main" id="{D0C5B3E0-D101-2D9D-461F-A29C1E1457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nsiye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3917" y="54428"/>
              <a:ext cx="1828800" cy="2490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501831</xdr:colOff>
      <xdr:row>13</xdr:row>
      <xdr:rowOff>165461</xdr:rowOff>
    </xdr:from>
    <xdr:to>
      <xdr:col>19</xdr:col>
      <xdr:colOff>501831</xdr:colOff>
      <xdr:row>28</xdr:row>
      <xdr:rowOff>48168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Departman">
              <a:extLst>
                <a:ext uri="{FF2B5EF4-FFF2-40B4-BE49-F238E27FC236}">
                  <a16:creationId xmlns:a16="http://schemas.microsoft.com/office/drawing/2014/main" id="{BF7901F5-6EDB-777F-132D-93A5A96458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42717" y="2658290"/>
              <a:ext cx="1828800" cy="2495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42455</xdr:colOff>
      <xdr:row>13</xdr:row>
      <xdr:rowOff>158930</xdr:rowOff>
    </xdr:from>
    <xdr:to>
      <xdr:col>23</xdr:col>
      <xdr:colOff>42455</xdr:colOff>
      <xdr:row>28</xdr:row>
      <xdr:rowOff>41637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Yaka Tipi">
              <a:extLst>
                <a:ext uri="{FF2B5EF4-FFF2-40B4-BE49-F238E27FC236}">
                  <a16:creationId xmlns:a16="http://schemas.microsoft.com/office/drawing/2014/main" id="{14D881D0-4691-947B-C9E7-BDA4A39FBB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aka Tip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1741" y="2651759"/>
              <a:ext cx="1828800" cy="2495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509452</xdr:colOff>
      <xdr:row>0</xdr:row>
      <xdr:rowOff>34834</xdr:rowOff>
    </xdr:from>
    <xdr:to>
      <xdr:col>19</xdr:col>
      <xdr:colOff>509452</xdr:colOff>
      <xdr:row>13</xdr:row>
      <xdr:rowOff>32929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Lokasyon">
              <a:extLst>
                <a:ext uri="{FF2B5EF4-FFF2-40B4-BE49-F238E27FC236}">
                  <a16:creationId xmlns:a16="http://schemas.microsoft.com/office/drawing/2014/main" id="{4026E01A-C621-787E-91BF-56D2895D51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kasy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50338" y="34834"/>
              <a:ext cx="1828800" cy="2490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can uzun" refreshedDate="46203.971486921298" createdVersion="8" refreshedVersion="8" minRefreshableVersion="3" recordCount="1001" xr:uid="{EC49B4EC-218C-481E-893C-4989CFE3C4D8}">
  <cacheSource type="worksheet">
    <worksheetSource ref="A1:AJ1048576" sheet="01_Personel_Verisi"/>
  </cacheSource>
  <cacheFields count="36">
    <cacheField name="Sicil No" numFmtId="0">
      <sharedItems containsBlank="1"/>
    </cacheField>
    <cacheField name="Ad Soyad" numFmtId="0">
      <sharedItems containsBlank="1"/>
    </cacheField>
    <cacheField name="Cinsiyet" numFmtId="0">
      <sharedItems containsBlank="1" count="3">
        <s v="Kadın"/>
        <s v="Erkek"/>
        <m/>
      </sharedItems>
    </cacheField>
    <cacheField name="Doğum Tarihi" numFmtId="14">
      <sharedItems containsNonDate="0" containsDate="1" containsString="0" containsBlank="1" minDate="1969-06-07T00:00:00" maxDate="2004-12-28T00:00:00"/>
    </cacheField>
    <cacheField name="Yaş" numFmtId="0">
      <sharedItems containsString="0" containsBlank="1" containsNumber="1" containsInteger="1" minValue="22" maxValue="57"/>
    </cacheField>
    <cacheField name="Medeni Durum" numFmtId="0">
      <sharedItems containsBlank="1"/>
    </cacheField>
    <cacheField name="Çocuk Sayısı" numFmtId="0">
      <sharedItems containsString="0" containsBlank="1" containsNumber="1" containsInteger="1" minValue="0" maxValue="3"/>
    </cacheField>
    <cacheField name="Eğitim Durumu" numFmtId="0">
      <sharedItems containsBlank="1"/>
    </cacheField>
    <cacheField name="Departman" numFmtId="0">
      <sharedItems containsBlank="1" count="6">
        <s v="Üretim &amp; Operasyon"/>
        <s v="Satış &amp; Pazarlama"/>
        <s v="Finans &amp; Muhasebe"/>
        <s v="Bilgi Teknolojileri"/>
        <s v="İnsan Kaynakları"/>
        <m/>
      </sharedItems>
    </cacheField>
    <cacheField name="Pozisyon" numFmtId="0">
      <sharedItems containsBlank="1"/>
    </cacheField>
    <cacheField name="Kademe" numFmtId="0">
      <sharedItems containsBlank="1"/>
    </cacheField>
    <cacheField name="Yaka Tipi" numFmtId="0">
      <sharedItems containsBlank="1" count="3">
        <s v="Mavi Yaka"/>
        <s v="Beyaz Yaka"/>
        <m/>
      </sharedItems>
    </cacheField>
    <cacheField name="Yönetici" numFmtId="0">
      <sharedItems containsBlank="1"/>
    </cacheField>
    <cacheField name="Lokasyon" numFmtId="0">
      <sharedItems containsBlank="1" count="6">
        <s v="İstanbul Merkez"/>
        <s v="İzmir Merkez"/>
        <s v="Gebze Fabrika"/>
        <s v="Ankara Merkez"/>
        <s v="Bursa Merkez"/>
        <m/>
      </sharedItems>
    </cacheField>
    <cacheField name="İşe Giriş Tarihi" numFmtId="14">
      <sharedItems containsNonDate="0" containsDate="1" containsString="0" containsBlank="1" minDate="2008-06-21T00:00:00" maxDate="2026-05-28T00:00:00"/>
    </cacheField>
    <cacheField name="İşe Çıkış Tarihi" numFmtId="0">
      <sharedItems containsDate="1" containsBlank="1" containsMixedTypes="1" minDate="2010-08-08T00:00:00" maxDate="2026-06-01T00:00:00"/>
    </cacheField>
    <cacheField name="Çıkış Nedeni" numFmtId="0">
      <sharedItems containsBlank="1" count="7">
        <s v="Sağlık Sebepleri"/>
        <s v="İstifa (Kariyer Değişikliği)"/>
        <s v="-"/>
        <s v="Performans Yetersizliği"/>
        <s v="Evlilik/Taşınma"/>
        <s v="Emeklilik"/>
        <m/>
      </sharedItems>
    </cacheField>
    <cacheField name="SGK Çıkış Kodu" numFmtId="0">
      <sharedItems containsBlank="1" containsMixedTypes="1" containsNumber="1" containsInteger="1" minValue="3" maxValue="17"/>
    </cacheField>
    <cacheField name="Durum" numFmtId="0">
      <sharedItems containsBlank="1" count="3">
        <s v="Pasif"/>
        <s v="Aktif"/>
        <m/>
      </sharedItems>
    </cacheField>
    <cacheField name="Brüt Maaş" numFmtId="0">
      <sharedItems containsString="0" containsBlank="1" containsNumber="1" containsInteger="1" minValue="23800" maxValue="135500"/>
    </cacheField>
    <cacheField name="Prim" numFmtId="0">
      <sharedItems containsString="0" containsBlank="1" containsNumber="1" containsInteger="1" minValue="0" maxValue="39600"/>
    </cacheField>
    <cacheField name="Fazla Mesai (Saat)" numFmtId="0">
      <sharedItems containsString="0" containsBlank="1" containsNumber="1" containsInteger="1" minValue="0" maxValue="44"/>
    </cacheField>
    <cacheField name="SGK Gün Sayısı" numFmtId="0">
      <sharedItems containsString="0" containsBlank="1" containsNumber="1" containsInteger="1" minValue="17" maxValue="30"/>
    </cacheField>
    <cacheField name="Eksik Gün Kodu" numFmtId="0">
      <sharedItems containsBlank="1"/>
    </cacheField>
    <cacheField name="Rapor Gün Sayısı" numFmtId="0">
      <sharedItems containsString="0" containsBlank="1" containsNumber="1" containsInteger="1" minValue="0" maxValue="10"/>
    </cacheField>
    <cacheField name="Kullanılan Yıllık İzin" numFmtId="0">
      <sharedItems containsString="0" containsBlank="1" containsNumber="1" containsInteger="1" minValue="0" maxValue="14"/>
    </cacheField>
    <cacheField name="Ücretsiz İzin Gün" numFmtId="0">
      <sharedItems containsString="0" containsBlank="1" containsNumber="1" containsInteger="1" minValue="0" maxValue="3"/>
    </cacheField>
    <cacheField name="Devamsızlık Gün" numFmtId="0">
      <sharedItems containsString="0" containsBlank="1" containsNumber="1" containsInteger="1" minValue="0" maxValue="2"/>
    </cacheField>
    <cacheField name="Performans Notu" numFmtId="0">
      <sharedItems containsString="0" containsBlank="1" containsNumber="1" containsInteger="1" minValue="1" maxValue="5" count="6">
        <n v="1"/>
        <n v="3"/>
        <n v="5"/>
        <n v="4"/>
        <n v="2"/>
        <m/>
      </sharedItems>
    </cacheField>
    <cacheField name="Eğitim Saati" numFmtId="0">
      <sharedItems containsString="0" containsBlank="1" containsNumber="1" containsInteger="1" minValue="2" maxValue="39"/>
    </cacheField>
    <cacheField name="Başvuru Kaynağı" numFmtId="0">
      <sharedItems containsBlank="1"/>
    </cacheField>
    <cacheField name="Alan32" caption="Alan32" numFmtId="0">
      <sharedItems containsNonDate="0" containsString="0" containsBlank="1"/>
    </cacheField>
    <cacheField name="Kıdem Yılı" numFmtId="0">
      <sharedItems containsString="0" containsBlank="1" containsNumber="1" containsInteger="1" minValue="0" maxValue="18"/>
    </cacheField>
    <cacheField name="Yaş Aralığı" numFmtId="0">
      <sharedItems containsBlank="1"/>
    </cacheField>
    <cacheField name="Kıdem Aralığı" numFmtId="0">
      <sharedItems containsBlank="1"/>
    </cacheField>
    <cacheField name="İşe giriş yılı" numFmtId="0">
      <sharedItems containsString="0" containsBlank="1" containsNumber="1" containsInteger="1" minValue="2008" maxValue="2026" count="20">
        <n v="2025"/>
        <n v="2018"/>
        <n v="2024"/>
        <n v="2026"/>
        <n v="2017"/>
        <n v="2020"/>
        <n v="2014"/>
        <n v="2022"/>
        <n v="2015"/>
        <n v="2023"/>
        <n v="2013"/>
        <n v="2019"/>
        <n v="2012"/>
        <n v="2016"/>
        <n v="2021"/>
        <n v="2008"/>
        <n v="2010"/>
        <n v="2009"/>
        <n v="2011"/>
        <m/>
      </sharedItems>
    </cacheField>
  </cacheFields>
  <extLst>
    <ext xmlns:x14="http://schemas.microsoft.com/office/spreadsheetml/2009/9/main" uri="{725AE2AE-9491-48be-B2B4-4EB974FC3084}">
      <x14:pivotCacheDefinition pivotCacheId="10801230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ER0001"/>
    <s v="Selin Kara"/>
    <x v="0"/>
    <d v="1997-04-08T00:00:00"/>
    <n v="29"/>
    <s v="Bekar"/>
    <n v="0"/>
    <s v="Lisans"/>
    <x v="0"/>
    <s v="Operatör"/>
    <s v="Junior"/>
    <x v="0"/>
    <s v="Üretim &amp; Operasyon Müdürü"/>
    <x v="0"/>
    <d v="2025-12-31T00:00:00"/>
    <d v="2026-04-27T00:00:00"/>
    <x v="0"/>
    <n v="3"/>
    <x v="0"/>
    <n v="24800"/>
    <n v="0"/>
    <n v="30"/>
    <n v="30"/>
    <s v="-"/>
    <n v="0"/>
    <n v="0"/>
    <n v="0"/>
    <n v="0"/>
    <x v="0"/>
    <n v="11"/>
    <s v="LinkedIn"/>
    <m/>
    <n v="0"/>
    <s v="20-29"/>
    <s v="0-1 YIL"/>
    <x v="0"/>
  </r>
  <r>
    <s v="PER0002"/>
    <s v="Hüseyin Çetin"/>
    <x v="1"/>
    <d v="1992-09-07T00:00:00"/>
    <n v="34"/>
    <s v="Evli"/>
    <n v="1"/>
    <s v="Lisans"/>
    <x v="0"/>
    <s v="Takım Lideri"/>
    <s v="Senior"/>
    <x v="0"/>
    <s v="Üretim &amp; Operasyon Müdürü"/>
    <x v="1"/>
    <d v="2018-09-01T00:00:00"/>
    <d v="2025-03-21T00:00:00"/>
    <x v="1"/>
    <n v="4"/>
    <x v="0"/>
    <n v="41100"/>
    <n v="0"/>
    <n v="35"/>
    <n v="30"/>
    <s v="-"/>
    <n v="0"/>
    <n v="14"/>
    <n v="0"/>
    <n v="0"/>
    <x v="1"/>
    <n v="9"/>
    <s v="LinkedIn"/>
    <m/>
    <n v="7"/>
    <s v="30-39"/>
    <s v="5-10 YIL"/>
    <x v="1"/>
  </r>
  <r>
    <s v="PER0003"/>
    <s v="Mustafa Kaya"/>
    <x v="1"/>
    <d v="1998-10-12T00:00:00"/>
    <n v="28"/>
    <s v="Bekar"/>
    <n v="0"/>
    <s v="Lisans"/>
    <x v="0"/>
    <s v="Operatör"/>
    <s v="Junior"/>
    <x v="0"/>
    <s v="Üretim &amp; Operasyon Müdürü"/>
    <x v="0"/>
    <d v="2024-12-21T00:00:00"/>
    <s v="-"/>
    <x v="2"/>
    <s v="-"/>
    <x v="1"/>
    <n v="28400"/>
    <n v="0"/>
    <n v="40"/>
    <n v="27"/>
    <s v="01-Istirahat"/>
    <n v="3"/>
    <n v="6"/>
    <n v="0"/>
    <n v="0"/>
    <x v="2"/>
    <n v="32"/>
    <s v="Kariyer.net"/>
    <m/>
    <n v="1"/>
    <s v="20-29"/>
    <s v="1-3 YIL"/>
    <x v="2"/>
  </r>
  <r>
    <s v="PER0004"/>
    <s v="Merve Aydın"/>
    <x v="0"/>
    <d v="1998-08-01T00:00:00"/>
    <n v="28"/>
    <s v="Evli"/>
    <n v="0"/>
    <s v="Lisans"/>
    <x v="1"/>
    <s v="Satış Temsilcisi"/>
    <s v="Junior"/>
    <x v="1"/>
    <s v="Satış &amp; Pazarlama Müdürü"/>
    <x v="0"/>
    <d v="2026-01-16T00:00:00"/>
    <s v="-"/>
    <x v="2"/>
    <s v="-"/>
    <x v="1"/>
    <n v="34900"/>
    <n v="9900"/>
    <n v="4"/>
    <n v="27"/>
    <s v="01-Istirahat"/>
    <n v="3"/>
    <n v="0"/>
    <n v="0"/>
    <n v="0"/>
    <x v="3"/>
    <n v="20"/>
    <s v="Kariyer.net"/>
    <m/>
    <n v="0"/>
    <s v="20-29"/>
    <s v="0-1 YIL"/>
    <x v="3"/>
  </r>
  <r>
    <s v="PER0005"/>
    <s v="Fatma Öztürk"/>
    <x v="0"/>
    <d v="2002-03-01T00:00:00"/>
    <n v="24"/>
    <s v="Bekar"/>
    <n v="0"/>
    <s v="Lisans"/>
    <x v="0"/>
    <s v="Operatör"/>
    <s v="Junior"/>
    <x v="0"/>
    <s v="Üretim &amp; Operasyon Müdürü"/>
    <x v="2"/>
    <d v="2026-05-27T00:00:00"/>
    <s v="-"/>
    <x v="2"/>
    <s v="-"/>
    <x v="1"/>
    <n v="26200"/>
    <n v="0"/>
    <n v="18"/>
    <n v="29"/>
    <s v="01-Istirahat"/>
    <n v="1"/>
    <n v="0"/>
    <n v="0"/>
    <n v="0"/>
    <x v="1"/>
    <n v="8"/>
    <s v="Kariyer.net"/>
    <m/>
    <n v="0"/>
    <s v="20-29"/>
    <s v="0-1 YIL"/>
    <x v="3"/>
  </r>
  <r>
    <s v="PER0006"/>
    <s v="Mustafa Çetin"/>
    <x v="1"/>
    <d v="1980-12-02T00:00:00"/>
    <n v="46"/>
    <s v="Evli"/>
    <n v="1"/>
    <s v="Lisans"/>
    <x v="2"/>
    <s v="Mali İşler Uzmanı"/>
    <s v="Senior"/>
    <x v="1"/>
    <s v="Finans &amp; Muhasebe Müdürü"/>
    <x v="0"/>
    <d v="2017-12-13T00:00:00"/>
    <s v="-"/>
    <x v="2"/>
    <s v="-"/>
    <x v="1"/>
    <n v="62400"/>
    <n v="8600"/>
    <n v="3"/>
    <n v="28"/>
    <s v="01-Istirahat"/>
    <n v="2"/>
    <n v="9"/>
    <n v="0"/>
    <n v="0"/>
    <x v="4"/>
    <n v="8"/>
    <s v="Şirket Web Sitesi"/>
    <m/>
    <n v="8"/>
    <s v="40-49"/>
    <s v="5-10 YIL"/>
    <x v="4"/>
  </r>
  <r>
    <s v="PER0007"/>
    <s v="İrem Çetin"/>
    <x v="0"/>
    <d v="2004-10-12T00:00:00"/>
    <n v="22"/>
    <s v="Evli"/>
    <n v="1"/>
    <s v="Lisans"/>
    <x v="0"/>
    <s v="Operatör"/>
    <s v="Junior"/>
    <x v="0"/>
    <s v="Üretim &amp; Operasyon Müdürü"/>
    <x v="0"/>
    <d v="2024-01-01T00:00:00"/>
    <d v="2025-02-07T00:00:00"/>
    <x v="1"/>
    <n v="4"/>
    <x v="0"/>
    <n v="26500"/>
    <n v="0"/>
    <n v="21"/>
    <n v="30"/>
    <s v="-"/>
    <n v="0"/>
    <n v="0"/>
    <n v="0"/>
    <n v="0"/>
    <x v="2"/>
    <n v="38"/>
    <s v="Kariyer.net"/>
    <m/>
    <n v="2"/>
    <s v="20-29"/>
    <s v="1-3 YIL"/>
    <x v="2"/>
  </r>
  <r>
    <s v="PER0008"/>
    <s v="Burak Öztürk"/>
    <x v="1"/>
    <d v="1969-07-11T00:00:00"/>
    <n v="57"/>
    <s v="Evli"/>
    <n v="3"/>
    <s v="Lisans"/>
    <x v="0"/>
    <s v="Üretim Müdürü"/>
    <s v="Manager"/>
    <x v="1"/>
    <s v="Genel Müdür"/>
    <x v="0"/>
    <d v="2017-11-29T00:00:00"/>
    <s v="-"/>
    <x v="2"/>
    <s v="-"/>
    <x v="1"/>
    <n v="104100"/>
    <n v="0"/>
    <n v="7"/>
    <n v="27"/>
    <s v="02-Ucretsiz Izin"/>
    <n v="0"/>
    <n v="5"/>
    <n v="3"/>
    <n v="0"/>
    <x v="1"/>
    <n v="17"/>
    <s v="Referans"/>
    <m/>
    <n v="8"/>
    <s v="50+"/>
    <s v="5-10 YIL"/>
    <x v="4"/>
  </r>
  <r>
    <s v="PER0009"/>
    <s v="İrem Yıldız"/>
    <x v="0"/>
    <d v="1980-07-20T00:00:00"/>
    <n v="46"/>
    <s v="Bekar"/>
    <n v="0"/>
    <s v="Yüksek Lisans"/>
    <x v="0"/>
    <s v="Takım Lideri"/>
    <s v="Senior"/>
    <x v="0"/>
    <s v="Üretim &amp; Operasyon Müdürü"/>
    <x v="0"/>
    <d v="2020-01-25T00:00:00"/>
    <s v="-"/>
    <x v="2"/>
    <s v="-"/>
    <x v="1"/>
    <n v="44700"/>
    <n v="0"/>
    <n v="20"/>
    <n v="30"/>
    <s v="-"/>
    <n v="0"/>
    <n v="6"/>
    <n v="0"/>
    <n v="0"/>
    <x v="1"/>
    <n v="8"/>
    <s v="Kariyer.net"/>
    <m/>
    <n v="6"/>
    <s v="40-49"/>
    <s v="5-10 YIL"/>
    <x v="5"/>
  </r>
  <r>
    <s v="PER0010"/>
    <s v="Furkan Çelik"/>
    <x v="1"/>
    <d v="1990-03-19T00:00:00"/>
    <n v="36"/>
    <s v="Evli"/>
    <n v="0"/>
    <s v="Önlisans"/>
    <x v="2"/>
    <s v="Mali İşler Uzmanı"/>
    <s v="Senior"/>
    <x v="1"/>
    <s v="Finans &amp; Muhasebe Müdürü"/>
    <x v="3"/>
    <d v="2014-08-02T00:00:00"/>
    <s v="-"/>
    <x v="2"/>
    <s v="-"/>
    <x v="1"/>
    <n v="65000"/>
    <n v="5900"/>
    <n v="3"/>
    <n v="30"/>
    <s v="-"/>
    <n v="0"/>
    <n v="5"/>
    <n v="0"/>
    <n v="0"/>
    <x v="1"/>
    <n v="4"/>
    <s v="Kariyer.net"/>
    <m/>
    <n v="11"/>
    <s v="30-39"/>
    <s v="10+"/>
    <x v="6"/>
  </r>
  <r>
    <s v="PER0011"/>
    <s v="Furkan Aslan"/>
    <x v="1"/>
    <d v="2001-05-16T00:00:00"/>
    <n v="25"/>
    <s v="Evli"/>
    <n v="1"/>
    <s v="Lisans"/>
    <x v="2"/>
    <s v="Muhasebe Elemanı"/>
    <s v="Junior"/>
    <x v="1"/>
    <s v="Finans &amp; Muhasebe Müdürü"/>
    <x v="0"/>
    <d v="2026-01-17T00:00:00"/>
    <s v="-"/>
    <x v="2"/>
    <s v="-"/>
    <x v="1"/>
    <n v="37000"/>
    <n v="0"/>
    <n v="5"/>
    <n v="29"/>
    <s v="02-Ucretsiz Izin"/>
    <n v="0"/>
    <n v="0"/>
    <n v="1"/>
    <n v="0"/>
    <x v="1"/>
    <n v="9"/>
    <s v="Kariyer.net"/>
    <m/>
    <n v="0"/>
    <s v="20-29"/>
    <s v="0-1 YIL"/>
    <x v="3"/>
  </r>
  <r>
    <s v="PER0012"/>
    <s v="Hasan Yılmaz"/>
    <x v="1"/>
    <d v="2004-01-12T00:00:00"/>
    <n v="22"/>
    <s v="Evli"/>
    <n v="1"/>
    <s v="Lisans"/>
    <x v="0"/>
    <s v="Operatör"/>
    <s v="Junior"/>
    <x v="0"/>
    <s v="Üretim &amp; Operasyon Müdürü"/>
    <x v="4"/>
    <d v="2022-10-25T00:00:00"/>
    <s v="-"/>
    <x v="2"/>
    <s v="-"/>
    <x v="1"/>
    <n v="25100"/>
    <n v="0"/>
    <n v="15"/>
    <n v="30"/>
    <s v="-"/>
    <n v="0"/>
    <n v="7"/>
    <n v="0"/>
    <n v="0"/>
    <x v="1"/>
    <n v="4"/>
    <s v="Danışmanlık Firması"/>
    <m/>
    <n v="3"/>
    <s v="20-29"/>
    <s v="3-5 YIL"/>
    <x v="7"/>
  </r>
  <r>
    <s v="PER0013"/>
    <s v="Selin Şahin"/>
    <x v="0"/>
    <d v="1996-08-18T00:00:00"/>
    <n v="30"/>
    <s v="Evli"/>
    <n v="0"/>
    <s v="Lisans"/>
    <x v="0"/>
    <s v="Takım Lideri"/>
    <s v="Senior"/>
    <x v="0"/>
    <s v="Üretim &amp; Operasyon Müdürü"/>
    <x v="0"/>
    <d v="2015-08-18T00:00:00"/>
    <s v="-"/>
    <x v="2"/>
    <s v="-"/>
    <x v="1"/>
    <n v="40900"/>
    <n v="0"/>
    <n v="36"/>
    <n v="30"/>
    <s v="-"/>
    <n v="0"/>
    <n v="7"/>
    <n v="0"/>
    <n v="0"/>
    <x v="1"/>
    <n v="17"/>
    <s v="Kariyer.net"/>
    <m/>
    <n v="10"/>
    <s v="30-39"/>
    <s v="5-10 YIL"/>
    <x v="8"/>
  </r>
  <r>
    <s v="PER0014"/>
    <s v="Gamze Demir"/>
    <x v="0"/>
    <d v="1997-12-19T00:00:00"/>
    <n v="29"/>
    <s v="Evli"/>
    <n v="1"/>
    <s v="Önlisans"/>
    <x v="1"/>
    <s v="Satış Temsilcisi"/>
    <s v="Junior"/>
    <x v="1"/>
    <s v="Satış &amp; Pazarlama Müdürü"/>
    <x v="0"/>
    <d v="2023-01-10T00:00:00"/>
    <s v="-"/>
    <x v="2"/>
    <s v="-"/>
    <x v="1"/>
    <n v="31000"/>
    <n v="0"/>
    <n v="0"/>
    <n v="27"/>
    <s v="02-Ucretsiz Izin"/>
    <n v="0"/>
    <n v="5"/>
    <n v="3"/>
    <n v="0"/>
    <x v="1"/>
    <n v="18"/>
    <s v="LinkedIn"/>
    <m/>
    <n v="3"/>
    <s v="20-29"/>
    <s v="3-5 YIL"/>
    <x v="9"/>
  </r>
  <r>
    <s v="PER0015"/>
    <s v="Burak Doğan"/>
    <x v="1"/>
    <d v="2000-04-15T00:00:00"/>
    <n v="26"/>
    <s v="Evli"/>
    <n v="1"/>
    <s v="Lisans"/>
    <x v="1"/>
    <s v="Satış Temsilcisi"/>
    <s v="Junior"/>
    <x v="1"/>
    <s v="Satış &amp; Pazarlama Müdürü"/>
    <x v="0"/>
    <d v="2022-06-12T00:00:00"/>
    <s v="-"/>
    <x v="2"/>
    <s v="-"/>
    <x v="1"/>
    <n v="35000"/>
    <n v="12000"/>
    <n v="5"/>
    <n v="30"/>
    <s v="-"/>
    <n v="0"/>
    <n v="2"/>
    <n v="0"/>
    <n v="0"/>
    <x v="1"/>
    <n v="6"/>
    <s v="LinkedIn"/>
    <m/>
    <n v="4"/>
    <s v="20-29"/>
    <s v="3-5 YIL"/>
    <x v="7"/>
  </r>
  <r>
    <s v="PER0016"/>
    <s v="Kübra Özdemir"/>
    <x v="0"/>
    <d v="1999-09-08T00:00:00"/>
    <n v="27"/>
    <s v="Bekar"/>
    <n v="0"/>
    <s v="Önlisans"/>
    <x v="0"/>
    <s v="Operatör"/>
    <s v="Junior"/>
    <x v="0"/>
    <s v="Üretim &amp; Operasyon Müdürü"/>
    <x v="3"/>
    <d v="2022-10-08T00:00:00"/>
    <s v="-"/>
    <x v="2"/>
    <s v="-"/>
    <x v="1"/>
    <n v="28500"/>
    <n v="0"/>
    <n v="14"/>
    <n v="30"/>
    <s v="-"/>
    <n v="0"/>
    <n v="11"/>
    <n v="0"/>
    <n v="0"/>
    <x v="4"/>
    <n v="15"/>
    <s v="LinkedIn"/>
    <m/>
    <n v="3"/>
    <s v="20-29"/>
    <s v="3-5 YIL"/>
    <x v="7"/>
  </r>
  <r>
    <s v="PER0017"/>
    <s v="Dilan Çetin"/>
    <x v="0"/>
    <d v="1995-05-23T00:00:00"/>
    <n v="31"/>
    <s v="Bekar"/>
    <n v="0"/>
    <s v="Lisans"/>
    <x v="1"/>
    <s v="Kıdemli Satış Uzmanı"/>
    <s v="Senior"/>
    <x v="1"/>
    <s v="Satış &amp; Pazarlama Müdürü"/>
    <x v="0"/>
    <d v="2022-09-25T00:00:00"/>
    <s v="-"/>
    <x v="2"/>
    <s v="-"/>
    <x v="1"/>
    <n v="59200"/>
    <n v="6600"/>
    <n v="1"/>
    <n v="27"/>
    <s v="01-Istirahat"/>
    <n v="3"/>
    <n v="7"/>
    <n v="0"/>
    <n v="0"/>
    <x v="1"/>
    <n v="5"/>
    <s v="Kariyer.net"/>
    <m/>
    <n v="3"/>
    <s v="30-39"/>
    <s v="3-5 YIL"/>
    <x v="7"/>
  </r>
  <r>
    <s v="PER0018"/>
    <s v="Mehmet Yılmaz"/>
    <x v="1"/>
    <d v="1998-03-11T00:00:00"/>
    <n v="28"/>
    <s v="Bekar"/>
    <n v="0"/>
    <s v="Lisans"/>
    <x v="1"/>
    <s v="Kıdemli Satış Uzmanı"/>
    <s v="Senior"/>
    <x v="1"/>
    <s v="Satış &amp; Pazarlama Müdürü"/>
    <x v="4"/>
    <d v="2023-02-21T00:00:00"/>
    <s v="-"/>
    <x v="2"/>
    <s v="-"/>
    <x v="1"/>
    <n v="61300"/>
    <n v="16100"/>
    <n v="4"/>
    <n v="30"/>
    <s v="-"/>
    <n v="0"/>
    <n v="1"/>
    <n v="0"/>
    <n v="0"/>
    <x v="0"/>
    <n v="19"/>
    <s v="Kariyer.net"/>
    <m/>
    <n v="3"/>
    <s v="20-29"/>
    <s v="3-5 YIL"/>
    <x v="9"/>
  </r>
  <r>
    <s v="PER0019"/>
    <s v="Ayşe Aslan"/>
    <x v="0"/>
    <d v="2000-11-24T00:00:00"/>
    <n v="26"/>
    <s v="Bekar"/>
    <n v="0"/>
    <s v="Önlisans"/>
    <x v="0"/>
    <s v="Operatör"/>
    <s v="Junior"/>
    <x v="0"/>
    <s v="Üretim &amp; Operasyon Müdürü"/>
    <x v="4"/>
    <d v="2024-10-27T00:00:00"/>
    <s v="-"/>
    <x v="2"/>
    <s v="-"/>
    <x v="1"/>
    <n v="25200"/>
    <n v="0"/>
    <n v="19"/>
    <n v="28"/>
    <s v="10-Devamsizlik"/>
    <n v="0"/>
    <n v="2"/>
    <n v="0"/>
    <n v="2"/>
    <x v="1"/>
    <n v="19"/>
    <s v="LinkedIn"/>
    <m/>
    <n v="1"/>
    <s v="20-29"/>
    <s v="1-3 YIL"/>
    <x v="2"/>
  </r>
  <r>
    <s v="PER0020"/>
    <s v="Emre Çetin"/>
    <x v="1"/>
    <d v="2004-04-16T00:00:00"/>
    <n v="22"/>
    <s v="Evli"/>
    <n v="0"/>
    <s v="Lisans"/>
    <x v="0"/>
    <s v="Operatör"/>
    <s v="Junior"/>
    <x v="0"/>
    <s v="Üretim &amp; Operasyon Müdürü"/>
    <x v="4"/>
    <d v="2024-10-27T00:00:00"/>
    <s v="-"/>
    <x v="2"/>
    <s v="-"/>
    <x v="1"/>
    <n v="28200"/>
    <n v="0"/>
    <n v="21"/>
    <n v="25"/>
    <s v="01-Istirahat"/>
    <n v="5"/>
    <n v="8"/>
    <n v="0"/>
    <n v="0"/>
    <x v="2"/>
    <n v="31"/>
    <s v="Kariyer.net"/>
    <m/>
    <n v="1"/>
    <s v="20-29"/>
    <s v="1-3 YIL"/>
    <x v="2"/>
  </r>
  <r>
    <s v="PER0021"/>
    <s v="Can Şahin"/>
    <x v="1"/>
    <d v="1986-10-26T00:00:00"/>
    <n v="40"/>
    <s v="Evli"/>
    <n v="1"/>
    <s v="Lisans"/>
    <x v="1"/>
    <s v="Kıdemli Satış Uzmanı"/>
    <s v="Senior"/>
    <x v="1"/>
    <s v="Satış &amp; Pazarlama Müdürü"/>
    <x v="4"/>
    <d v="2018-10-22T00:00:00"/>
    <s v="-"/>
    <x v="2"/>
    <s v="-"/>
    <x v="1"/>
    <n v="60400"/>
    <n v="14300"/>
    <n v="3"/>
    <n v="29"/>
    <s v="01-Istirahat"/>
    <n v="1"/>
    <n v="0"/>
    <n v="0"/>
    <n v="0"/>
    <x v="4"/>
    <n v="8"/>
    <s v="Kariyer.net"/>
    <m/>
    <n v="7"/>
    <s v="40-49"/>
    <s v="5-10 YIL"/>
    <x v="1"/>
  </r>
  <r>
    <s v="PER0022"/>
    <s v="Ecem Kaya"/>
    <x v="0"/>
    <d v="2000-06-20T00:00:00"/>
    <n v="26"/>
    <s v="Bekar"/>
    <n v="0"/>
    <s v="Önlisans"/>
    <x v="0"/>
    <s v="Operatör"/>
    <s v="Junior"/>
    <x v="0"/>
    <s v="Üretim &amp; Operasyon Müdürü"/>
    <x v="0"/>
    <d v="2026-01-07T00:00:00"/>
    <d v="2026-02-09T00:00:00"/>
    <x v="1"/>
    <n v="4"/>
    <x v="0"/>
    <n v="27300"/>
    <n v="0"/>
    <n v="28"/>
    <n v="29"/>
    <s v="01-Istirahat"/>
    <n v="1"/>
    <n v="0"/>
    <n v="0"/>
    <n v="0"/>
    <x v="3"/>
    <n v="18"/>
    <s v="Kariyer.net"/>
    <m/>
    <n v="0"/>
    <s v="20-29"/>
    <s v="0-1 YIL"/>
    <x v="3"/>
  </r>
  <r>
    <s v="PER0023"/>
    <s v="Elif Kılıç"/>
    <x v="0"/>
    <d v="1982-08-01T00:00:00"/>
    <n v="44"/>
    <s v="Evli"/>
    <n v="2"/>
    <s v="Lisans"/>
    <x v="1"/>
    <s v="Kıdemli Satış Uzmanı"/>
    <s v="Senior"/>
    <x v="1"/>
    <s v="Satış &amp; Pazarlama Müdürü"/>
    <x v="3"/>
    <d v="2015-02-05T00:00:00"/>
    <d v="2025-02-09T00:00:00"/>
    <x v="3"/>
    <n v="17"/>
    <x v="0"/>
    <n v="58400"/>
    <n v="0"/>
    <n v="4"/>
    <n v="20"/>
    <s v="01-Istirahat"/>
    <n v="10"/>
    <n v="2"/>
    <n v="0"/>
    <n v="0"/>
    <x v="1"/>
    <n v="19"/>
    <s v="LinkedIn"/>
    <m/>
    <n v="11"/>
    <s v="40-49"/>
    <s v="10+"/>
    <x v="8"/>
  </r>
  <r>
    <s v="PER0024"/>
    <s v="Kübra Kara"/>
    <x v="0"/>
    <d v="1982-06-12T00:00:00"/>
    <n v="44"/>
    <s v="Bekar"/>
    <n v="0"/>
    <s v="Lisans"/>
    <x v="1"/>
    <s v="Satış Müdürü"/>
    <s v="Manager"/>
    <x v="1"/>
    <s v="Genel Müdür"/>
    <x v="0"/>
    <d v="2013-12-27T00:00:00"/>
    <s v="-"/>
    <x v="2"/>
    <s v="-"/>
    <x v="1"/>
    <n v="103300"/>
    <n v="27000"/>
    <n v="3"/>
    <n v="30"/>
    <s v="-"/>
    <n v="0"/>
    <n v="8"/>
    <n v="0"/>
    <n v="0"/>
    <x v="1"/>
    <n v="18"/>
    <s v="LinkedIn"/>
    <m/>
    <n v="12"/>
    <s v="40-49"/>
    <s v="10+"/>
    <x v="10"/>
  </r>
  <r>
    <s v="PER0025"/>
    <s v="Selin Kılıç"/>
    <x v="0"/>
    <d v="2004-10-24T00:00:00"/>
    <n v="22"/>
    <s v="Evli"/>
    <n v="0"/>
    <s v="Önlisans"/>
    <x v="0"/>
    <s v="Operatör"/>
    <s v="Junior"/>
    <x v="0"/>
    <s v="Üretim &amp; Operasyon Müdürü"/>
    <x v="1"/>
    <d v="2024-08-19T00:00:00"/>
    <s v="-"/>
    <x v="2"/>
    <s v="-"/>
    <x v="1"/>
    <n v="24000"/>
    <n v="0"/>
    <n v="42"/>
    <n v="29"/>
    <s v="01-Istirahat"/>
    <n v="1"/>
    <n v="14"/>
    <n v="0"/>
    <n v="0"/>
    <x v="1"/>
    <n v="18"/>
    <s v="Referans"/>
    <m/>
    <n v="1"/>
    <s v="20-29"/>
    <s v="1-3 YIL"/>
    <x v="2"/>
  </r>
  <r>
    <s v="PER0026"/>
    <s v="Ali Kara"/>
    <x v="1"/>
    <d v="1971-05-21T00:00:00"/>
    <n v="55"/>
    <s v="Evli"/>
    <n v="0"/>
    <s v="Yüksek Lisans"/>
    <x v="2"/>
    <s v="Finans Müdürü"/>
    <s v="Manager"/>
    <x v="1"/>
    <s v="Genel Müdür"/>
    <x v="4"/>
    <d v="2014-12-19T00:00:00"/>
    <s v="-"/>
    <x v="2"/>
    <s v="-"/>
    <x v="1"/>
    <n v="112800"/>
    <n v="0"/>
    <n v="0"/>
    <n v="25"/>
    <s v="01-Istirahat"/>
    <n v="5"/>
    <n v="13"/>
    <n v="0"/>
    <n v="0"/>
    <x v="3"/>
    <n v="19"/>
    <s v="Kariyer.net"/>
    <m/>
    <n v="11"/>
    <s v="50+"/>
    <s v="10+"/>
    <x v="6"/>
  </r>
  <r>
    <s v="PER0027"/>
    <s v="Ayşe Öztürk"/>
    <x v="0"/>
    <d v="1987-11-25T00:00:00"/>
    <n v="39"/>
    <s v="Bekar"/>
    <n v="0"/>
    <s v="Lisans"/>
    <x v="0"/>
    <s v="Takım Lideri"/>
    <s v="Senior"/>
    <x v="0"/>
    <s v="Üretim &amp; Operasyon Müdürü"/>
    <x v="4"/>
    <d v="2019-02-10T00:00:00"/>
    <s v="-"/>
    <x v="2"/>
    <s v="-"/>
    <x v="1"/>
    <n v="41400"/>
    <n v="0"/>
    <n v="30"/>
    <n v="30"/>
    <s v="-"/>
    <n v="0"/>
    <n v="6"/>
    <n v="0"/>
    <n v="0"/>
    <x v="0"/>
    <n v="7"/>
    <s v="Kariyer.net"/>
    <m/>
    <n v="7"/>
    <s v="30-39"/>
    <s v="5-10 YIL"/>
    <x v="11"/>
  </r>
  <r>
    <s v="PER0028"/>
    <s v="Hüseyin Doğan"/>
    <x v="1"/>
    <d v="2003-01-05T00:00:00"/>
    <n v="23"/>
    <s v="Evli"/>
    <n v="2"/>
    <s v="Lisans"/>
    <x v="2"/>
    <s v="Muhasebe Elemanı"/>
    <s v="Junior"/>
    <x v="1"/>
    <s v="Finans &amp; Muhasebe Müdürü"/>
    <x v="0"/>
    <d v="2023-08-21T00:00:00"/>
    <s v="-"/>
    <x v="2"/>
    <s v="-"/>
    <x v="1"/>
    <n v="39700"/>
    <n v="0"/>
    <n v="7"/>
    <n v="30"/>
    <s v="-"/>
    <n v="0"/>
    <n v="1"/>
    <n v="0"/>
    <n v="0"/>
    <x v="1"/>
    <n v="12"/>
    <s v="Kariyer.net"/>
    <m/>
    <n v="2"/>
    <s v="20-29"/>
    <s v="1-3 YIL"/>
    <x v="9"/>
  </r>
  <r>
    <s v="PER0029"/>
    <s v="Kübra Özdemir"/>
    <x v="0"/>
    <d v="2004-03-27T00:00:00"/>
    <n v="22"/>
    <s v="Evli"/>
    <n v="1"/>
    <s v="Lisans"/>
    <x v="0"/>
    <s v="Operatör"/>
    <s v="Junior"/>
    <x v="0"/>
    <s v="Üretim &amp; Operasyon Müdürü"/>
    <x v="2"/>
    <d v="2024-02-29T00:00:00"/>
    <d v="2024-05-29T00:00:00"/>
    <x v="1"/>
    <n v="4"/>
    <x v="0"/>
    <n v="24000"/>
    <n v="0"/>
    <n v="14"/>
    <n v="30"/>
    <s v="-"/>
    <n v="0"/>
    <n v="5"/>
    <n v="0"/>
    <n v="0"/>
    <x v="4"/>
    <n v="10"/>
    <s v="Kariyer.net"/>
    <m/>
    <n v="2"/>
    <s v="20-29"/>
    <s v="1-3 YIL"/>
    <x v="2"/>
  </r>
  <r>
    <s v="PER0030"/>
    <s v="Ahmet Çetin"/>
    <x v="1"/>
    <d v="1988-10-04T00:00:00"/>
    <n v="38"/>
    <s v="Evli"/>
    <n v="1"/>
    <s v="Önlisans"/>
    <x v="1"/>
    <s v="Kıdemli Satış Uzmanı"/>
    <s v="Senior"/>
    <x v="1"/>
    <s v="Satış &amp; Pazarlama Müdürü"/>
    <x v="0"/>
    <d v="2022-09-18T00:00:00"/>
    <s v="-"/>
    <x v="2"/>
    <s v="-"/>
    <x v="1"/>
    <n v="58800"/>
    <n v="20400"/>
    <n v="5"/>
    <n v="30"/>
    <s v="-"/>
    <n v="0"/>
    <n v="13"/>
    <n v="0"/>
    <n v="0"/>
    <x v="1"/>
    <n v="14"/>
    <s v="LinkedIn"/>
    <m/>
    <n v="3"/>
    <s v="30-39"/>
    <s v="3-5 YIL"/>
    <x v="7"/>
  </r>
  <r>
    <s v="PER0031"/>
    <s v="Defne Öztürk"/>
    <x v="0"/>
    <d v="1986-03-15T00:00:00"/>
    <n v="40"/>
    <s v="Bekar"/>
    <n v="0"/>
    <s v="Yüksek Lisans"/>
    <x v="3"/>
    <s v="BT Müdürü"/>
    <s v="Manager"/>
    <x v="1"/>
    <s v="Genel Müdür"/>
    <x v="4"/>
    <d v="2018-11-22T00:00:00"/>
    <s v="-"/>
    <x v="2"/>
    <s v="-"/>
    <x v="1"/>
    <n v="123100"/>
    <n v="0"/>
    <n v="6"/>
    <n v="30"/>
    <s v="-"/>
    <n v="0"/>
    <n v="8"/>
    <n v="0"/>
    <n v="0"/>
    <x v="3"/>
    <n v="31"/>
    <s v="Kariyer.net"/>
    <m/>
    <n v="7"/>
    <s v="40-49"/>
    <s v="5-10 YIL"/>
    <x v="1"/>
  </r>
  <r>
    <s v="PER0032"/>
    <s v="Ecem Aslan"/>
    <x v="0"/>
    <d v="2003-05-06T00:00:00"/>
    <n v="23"/>
    <s v="Evli"/>
    <n v="1"/>
    <s v="Lisans"/>
    <x v="0"/>
    <s v="Operatör"/>
    <s v="Junior"/>
    <x v="0"/>
    <s v="Üretim &amp; Operasyon Müdürü"/>
    <x v="2"/>
    <d v="2025-12-03T00:00:00"/>
    <s v="-"/>
    <x v="2"/>
    <s v="-"/>
    <x v="1"/>
    <n v="25500"/>
    <n v="0"/>
    <n v="15"/>
    <n v="30"/>
    <s v="-"/>
    <n v="0"/>
    <n v="0"/>
    <n v="0"/>
    <n v="0"/>
    <x v="4"/>
    <n v="17"/>
    <s v="LinkedIn"/>
    <m/>
    <n v="0"/>
    <s v="20-29"/>
    <s v="0-1 YIL"/>
    <x v="0"/>
  </r>
  <r>
    <s v="PER0033"/>
    <s v="Dilan Çetin"/>
    <x v="0"/>
    <d v="1986-04-11T00:00:00"/>
    <n v="40"/>
    <s v="Evli"/>
    <n v="2"/>
    <s v="Önlisans"/>
    <x v="0"/>
    <s v="Üretim Müdürü"/>
    <s v="Manager"/>
    <x v="1"/>
    <s v="Genel Müdür"/>
    <x v="0"/>
    <d v="2020-05-28T00:00:00"/>
    <s v="-"/>
    <x v="2"/>
    <s v="-"/>
    <x v="1"/>
    <n v="108800"/>
    <n v="0"/>
    <n v="7"/>
    <n v="29"/>
    <s v="01-Istirahat"/>
    <n v="1"/>
    <n v="1"/>
    <n v="0"/>
    <n v="0"/>
    <x v="1"/>
    <n v="9"/>
    <s v="Kariyer.net"/>
    <m/>
    <n v="6"/>
    <s v="40-49"/>
    <s v="5-10 YIL"/>
    <x v="5"/>
  </r>
  <r>
    <s v="PER0034"/>
    <s v="Can Yıldız"/>
    <x v="1"/>
    <d v="1998-05-11T00:00:00"/>
    <n v="28"/>
    <s v="Bekar"/>
    <n v="0"/>
    <s v="Lisans"/>
    <x v="1"/>
    <s v="Kıdemli Satış Uzmanı"/>
    <s v="Senior"/>
    <x v="1"/>
    <s v="Satış &amp; Pazarlama Müdürü"/>
    <x v="0"/>
    <d v="2017-06-10T00:00:00"/>
    <s v="-"/>
    <x v="2"/>
    <s v="-"/>
    <x v="1"/>
    <n v="58800"/>
    <n v="11300"/>
    <n v="4"/>
    <n v="27"/>
    <s v="02-Ucretsiz Izin"/>
    <n v="0"/>
    <n v="12"/>
    <n v="3"/>
    <n v="0"/>
    <x v="1"/>
    <n v="2"/>
    <s v="LinkedIn"/>
    <m/>
    <n v="9"/>
    <s v="20-29"/>
    <s v="5-10 YIL"/>
    <x v="4"/>
  </r>
  <r>
    <s v="PER0035"/>
    <s v="Ecem Doğan"/>
    <x v="0"/>
    <d v="1981-08-11T00:00:00"/>
    <n v="45"/>
    <s v="Evli"/>
    <n v="1"/>
    <s v="Lisans"/>
    <x v="4"/>
    <s v="İK Uzmanı"/>
    <s v="Senior"/>
    <x v="1"/>
    <s v="İnsan Kaynakları Müdürü"/>
    <x v="0"/>
    <d v="2019-01-16T00:00:00"/>
    <s v="-"/>
    <x v="2"/>
    <s v="-"/>
    <x v="1"/>
    <n v="53300"/>
    <n v="0"/>
    <n v="7"/>
    <n v="28"/>
    <s v="01-Istirahat"/>
    <n v="2"/>
    <n v="11"/>
    <n v="0"/>
    <n v="0"/>
    <x v="4"/>
    <n v="6"/>
    <s v="Referans"/>
    <m/>
    <n v="7"/>
    <s v="40-49"/>
    <s v="5-10 YIL"/>
    <x v="11"/>
  </r>
  <r>
    <s v="PER0036"/>
    <s v="Oğuzhan Çetin"/>
    <x v="1"/>
    <d v="2002-06-01T00:00:00"/>
    <n v="24"/>
    <s v="Evli"/>
    <n v="2"/>
    <s v="Lisans"/>
    <x v="0"/>
    <s v="Operatör"/>
    <s v="Junior"/>
    <x v="0"/>
    <s v="Üretim &amp; Operasyon Müdürü"/>
    <x v="4"/>
    <d v="2026-05-09T00:00:00"/>
    <s v="-"/>
    <x v="2"/>
    <s v="-"/>
    <x v="1"/>
    <n v="25500"/>
    <n v="0"/>
    <n v="11"/>
    <n v="30"/>
    <s v="-"/>
    <n v="0"/>
    <n v="0"/>
    <n v="0"/>
    <n v="0"/>
    <x v="4"/>
    <n v="7"/>
    <s v="LinkedIn"/>
    <m/>
    <n v="0"/>
    <s v="20-29"/>
    <s v="0-1 YIL"/>
    <x v="3"/>
  </r>
  <r>
    <s v="PER0037"/>
    <s v="Oğuzhan Çelik"/>
    <x v="1"/>
    <d v="1993-01-05T00:00:00"/>
    <n v="33"/>
    <s v="Bekar"/>
    <n v="0"/>
    <s v="Lisans"/>
    <x v="2"/>
    <s v="Mali İşler Uzmanı"/>
    <s v="Senior"/>
    <x v="1"/>
    <s v="Finans &amp; Muhasebe Müdürü"/>
    <x v="0"/>
    <d v="2014-08-17T00:00:00"/>
    <s v="-"/>
    <x v="2"/>
    <s v="-"/>
    <x v="1"/>
    <n v="61700"/>
    <n v="7800"/>
    <n v="0"/>
    <n v="30"/>
    <s v="-"/>
    <n v="0"/>
    <n v="14"/>
    <n v="0"/>
    <n v="0"/>
    <x v="3"/>
    <n v="35"/>
    <s v="Kariyer.net"/>
    <m/>
    <n v="11"/>
    <s v="30-39"/>
    <s v="10+"/>
    <x v="6"/>
  </r>
  <r>
    <s v="PER0038"/>
    <s v="Ömer Şahin"/>
    <x v="1"/>
    <d v="2003-11-05T00:00:00"/>
    <n v="23"/>
    <s v="Evli"/>
    <n v="1"/>
    <s v="Lisans"/>
    <x v="0"/>
    <s v="Operatör"/>
    <s v="Junior"/>
    <x v="0"/>
    <s v="Üretim &amp; Operasyon Müdürü"/>
    <x v="0"/>
    <d v="2024-01-05T00:00:00"/>
    <s v="-"/>
    <x v="2"/>
    <s v="-"/>
    <x v="1"/>
    <n v="28300"/>
    <n v="0"/>
    <n v="15"/>
    <n v="30"/>
    <s v="-"/>
    <n v="0"/>
    <n v="13"/>
    <n v="0"/>
    <n v="0"/>
    <x v="3"/>
    <n v="19"/>
    <s v="Kariyer.net"/>
    <m/>
    <n v="2"/>
    <s v="20-29"/>
    <s v="1-3 YIL"/>
    <x v="2"/>
  </r>
  <r>
    <s v="PER0039"/>
    <s v="Hüseyin Aydın"/>
    <x v="1"/>
    <d v="1984-01-26T00:00:00"/>
    <n v="42"/>
    <s v="Bekar"/>
    <n v="0"/>
    <s v="Yüksek Lisans"/>
    <x v="1"/>
    <s v="Satış Müdürü"/>
    <s v="Manager"/>
    <x v="1"/>
    <s v="Genel Müdür"/>
    <x v="2"/>
    <d v="2012-04-11T00:00:00"/>
    <s v="-"/>
    <x v="2"/>
    <s v="-"/>
    <x v="1"/>
    <n v="119400"/>
    <n v="39600"/>
    <n v="5"/>
    <n v="30"/>
    <s v="-"/>
    <n v="0"/>
    <n v="3"/>
    <n v="0"/>
    <n v="0"/>
    <x v="4"/>
    <n v="2"/>
    <s v="Referans"/>
    <m/>
    <n v="14"/>
    <s v="40-49"/>
    <s v="10+"/>
    <x v="12"/>
  </r>
  <r>
    <s v="PER0040"/>
    <s v="Ömer Kara"/>
    <x v="1"/>
    <d v="1979-10-11T00:00:00"/>
    <n v="47"/>
    <s v="Evli"/>
    <n v="0"/>
    <s v="Lisans"/>
    <x v="3"/>
    <s v="Kıdemli Yazılım Uzmanı"/>
    <s v="Senior"/>
    <x v="1"/>
    <s v="Bilgi Teknolojileri Müdürü"/>
    <x v="4"/>
    <d v="2014-08-12T00:00:00"/>
    <s v="-"/>
    <x v="2"/>
    <s v="-"/>
    <x v="1"/>
    <n v="76500"/>
    <n v="0"/>
    <n v="2"/>
    <n v="30"/>
    <s v="-"/>
    <n v="0"/>
    <n v="3"/>
    <n v="0"/>
    <n v="0"/>
    <x v="1"/>
    <n v="2"/>
    <s v="Kariyer.net"/>
    <m/>
    <n v="11"/>
    <s v="40-49"/>
    <s v="10+"/>
    <x v="6"/>
  </r>
  <r>
    <s v="PER0041"/>
    <s v="Burak Arslan"/>
    <x v="1"/>
    <d v="2001-08-17T00:00:00"/>
    <n v="25"/>
    <s v="Evli"/>
    <n v="1"/>
    <s v="Lisans"/>
    <x v="0"/>
    <s v="Operatör"/>
    <s v="Junior"/>
    <x v="0"/>
    <s v="Üretim &amp; Operasyon Müdürü"/>
    <x v="1"/>
    <d v="2023-07-10T00:00:00"/>
    <s v="-"/>
    <x v="2"/>
    <s v="-"/>
    <x v="1"/>
    <n v="24100"/>
    <n v="0"/>
    <n v="32"/>
    <n v="30"/>
    <s v="-"/>
    <n v="0"/>
    <n v="13"/>
    <n v="0"/>
    <n v="0"/>
    <x v="4"/>
    <n v="14"/>
    <s v="Kariyer.net"/>
    <m/>
    <n v="2"/>
    <s v="20-29"/>
    <s v="1-3 YIL"/>
    <x v="9"/>
  </r>
  <r>
    <s v="PER0042"/>
    <s v="Ali Kaya"/>
    <x v="1"/>
    <d v="2002-04-01T00:00:00"/>
    <n v="24"/>
    <s v="Evli"/>
    <n v="2"/>
    <s v="Lisans"/>
    <x v="0"/>
    <s v="Operatör"/>
    <s v="Junior"/>
    <x v="0"/>
    <s v="Üretim &amp; Operasyon Müdürü"/>
    <x v="0"/>
    <d v="2023-09-11T00:00:00"/>
    <s v="-"/>
    <x v="2"/>
    <s v="-"/>
    <x v="1"/>
    <n v="28500"/>
    <n v="0"/>
    <n v="41"/>
    <n v="30"/>
    <s v="-"/>
    <n v="0"/>
    <n v="1"/>
    <n v="0"/>
    <n v="0"/>
    <x v="0"/>
    <n v="19"/>
    <s v="Referans"/>
    <m/>
    <n v="2"/>
    <s v="20-29"/>
    <s v="1-3 YIL"/>
    <x v="9"/>
  </r>
  <r>
    <s v="PER0043"/>
    <s v="Ecem Öztürk"/>
    <x v="0"/>
    <d v="2002-12-15T00:00:00"/>
    <n v="24"/>
    <s v="Evli"/>
    <n v="0"/>
    <s v="Lisans"/>
    <x v="0"/>
    <s v="Operatör"/>
    <s v="Junior"/>
    <x v="0"/>
    <s v="Üretim &amp; Operasyon Müdürü"/>
    <x v="2"/>
    <d v="2025-09-10T00:00:00"/>
    <s v="-"/>
    <x v="2"/>
    <s v="-"/>
    <x v="1"/>
    <n v="27400"/>
    <n v="0"/>
    <n v="25"/>
    <n v="30"/>
    <s v="-"/>
    <n v="0"/>
    <n v="0"/>
    <n v="0"/>
    <n v="0"/>
    <x v="1"/>
    <n v="17"/>
    <s v="LinkedIn"/>
    <m/>
    <n v="0"/>
    <s v="20-29"/>
    <s v="0-1 YIL"/>
    <x v="0"/>
  </r>
  <r>
    <s v="PER0044"/>
    <s v="Ahmet Öztürk"/>
    <x v="1"/>
    <d v="1998-04-11T00:00:00"/>
    <n v="28"/>
    <s v="Bekar"/>
    <n v="0"/>
    <s v="Önlisans"/>
    <x v="1"/>
    <s v="Kıdemli Satış Uzmanı"/>
    <s v="Senior"/>
    <x v="1"/>
    <s v="Satış &amp; Pazarlama Müdürü"/>
    <x v="3"/>
    <d v="2018-10-11T00:00:00"/>
    <s v="-"/>
    <x v="2"/>
    <s v="-"/>
    <x v="1"/>
    <n v="56200"/>
    <n v="6100"/>
    <n v="4"/>
    <n v="30"/>
    <s v="-"/>
    <n v="0"/>
    <n v="1"/>
    <n v="0"/>
    <n v="0"/>
    <x v="3"/>
    <n v="14"/>
    <s v="Şirket Web Sitesi"/>
    <m/>
    <n v="7"/>
    <s v="20-29"/>
    <s v="5-10 YIL"/>
    <x v="1"/>
  </r>
  <r>
    <s v="PER0045"/>
    <s v="Ömer Yılmaz"/>
    <x v="1"/>
    <d v="1980-09-08T00:00:00"/>
    <n v="46"/>
    <s v="Bekar"/>
    <n v="0"/>
    <s v="Lisans"/>
    <x v="1"/>
    <s v="Kıdemli Satış Uzmanı"/>
    <s v="Senior"/>
    <x v="1"/>
    <s v="Satış &amp; Pazarlama Müdürü"/>
    <x v="3"/>
    <d v="2022-10-08T00:00:00"/>
    <s v="-"/>
    <x v="2"/>
    <s v="-"/>
    <x v="1"/>
    <n v="54600"/>
    <n v="14300"/>
    <n v="1"/>
    <n v="30"/>
    <s v="-"/>
    <n v="0"/>
    <n v="6"/>
    <n v="0"/>
    <n v="0"/>
    <x v="1"/>
    <n v="7"/>
    <s v="Şirket Web Sitesi"/>
    <m/>
    <n v="3"/>
    <s v="40-49"/>
    <s v="3-5 YIL"/>
    <x v="7"/>
  </r>
  <r>
    <s v="PER0046"/>
    <s v="Aslan Özdemir"/>
    <x v="0"/>
    <d v="2000-09-06T00:00:00"/>
    <n v="26"/>
    <s v="Evli"/>
    <n v="1"/>
    <s v="Lisans"/>
    <x v="0"/>
    <s v="Operatör"/>
    <s v="Junior"/>
    <x v="0"/>
    <s v="Üretim &amp; Operasyon Müdürü"/>
    <x v="3"/>
    <d v="2023-10-26T00:00:00"/>
    <s v="-"/>
    <x v="2"/>
    <s v="-"/>
    <x v="1"/>
    <n v="26800"/>
    <n v="0"/>
    <n v="16"/>
    <n v="30"/>
    <s v="-"/>
    <n v="0"/>
    <n v="4"/>
    <n v="0"/>
    <n v="0"/>
    <x v="1"/>
    <n v="3"/>
    <s v="LinkedIn"/>
    <m/>
    <n v="2"/>
    <s v="20-29"/>
    <s v="1-3 YIL"/>
    <x v="9"/>
  </r>
  <r>
    <s v="PER0047"/>
    <s v="Ali Şahin"/>
    <x v="1"/>
    <d v="2004-07-08T00:00:00"/>
    <n v="22"/>
    <s v="Bekar"/>
    <n v="0"/>
    <s v="Lisans"/>
    <x v="0"/>
    <s v="Operatör"/>
    <s v="Junior"/>
    <x v="0"/>
    <s v="Üretim &amp; Operasyon Müdürü"/>
    <x v="0"/>
    <d v="2023-10-18T00:00:00"/>
    <d v="2024-01-10T00:00:00"/>
    <x v="4"/>
    <n v="3"/>
    <x v="0"/>
    <n v="28400"/>
    <n v="0"/>
    <n v="14"/>
    <n v="30"/>
    <s v="-"/>
    <n v="0"/>
    <n v="14"/>
    <n v="0"/>
    <n v="0"/>
    <x v="1"/>
    <n v="12"/>
    <s v="Referans"/>
    <m/>
    <n v="2"/>
    <s v="20-29"/>
    <s v="1-3 YIL"/>
    <x v="9"/>
  </r>
  <r>
    <s v="PER0048"/>
    <s v="Serkan Kaya"/>
    <x v="1"/>
    <d v="2000-08-10T00:00:00"/>
    <n v="26"/>
    <s v="Bekar"/>
    <n v="0"/>
    <s v="Lisans"/>
    <x v="0"/>
    <s v="Operatör"/>
    <s v="Junior"/>
    <x v="0"/>
    <s v="Üretim &amp; Operasyon Müdürü"/>
    <x v="0"/>
    <d v="2024-05-07T00:00:00"/>
    <s v="-"/>
    <x v="2"/>
    <s v="-"/>
    <x v="1"/>
    <n v="27800"/>
    <n v="0"/>
    <n v="39"/>
    <n v="30"/>
    <s v="-"/>
    <n v="0"/>
    <n v="4"/>
    <n v="0"/>
    <n v="0"/>
    <x v="3"/>
    <n v="28"/>
    <s v="Danışmanlık Firması"/>
    <m/>
    <n v="2"/>
    <s v="20-29"/>
    <s v="1-3 YIL"/>
    <x v="2"/>
  </r>
  <r>
    <s v="PER0049"/>
    <s v="Hüseyin Kılıç"/>
    <x v="1"/>
    <d v="1993-09-18T00:00:00"/>
    <n v="33"/>
    <s v="Evli"/>
    <n v="2"/>
    <s v="Lisans"/>
    <x v="1"/>
    <s v="Kıdemli Satış Uzmanı"/>
    <s v="Senior"/>
    <x v="1"/>
    <s v="Satış &amp; Pazarlama Müdürü"/>
    <x v="4"/>
    <d v="2016-03-04T00:00:00"/>
    <s v="-"/>
    <x v="2"/>
    <s v="-"/>
    <x v="1"/>
    <n v="59900"/>
    <n v="6800"/>
    <n v="1"/>
    <n v="27"/>
    <s v="02-Ucretsiz Izin"/>
    <n v="0"/>
    <n v="9"/>
    <n v="3"/>
    <n v="0"/>
    <x v="1"/>
    <n v="8"/>
    <s v="LinkedIn"/>
    <m/>
    <n v="10"/>
    <s v="30-39"/>
    <s v="5-10 YIL"/>
    <x v="13"/>
  </r>
  <r>
    <s v="PER0050"/>
    <s v="Furkan Demir"/>
    <x v="1"/>
    <d v="1992-02-27T00:00:00"/>
    <n v="34"/>
    <s v="Bekar"/>
    <n v="0"/>
    <s v="Doktora"/>
    <x v="0"/>
    <s v="Takım Lideri"/>
    <s v="Senior"/>
    <x v="0"/>
    <s v="Üretim &amp; Operasyon Müdürü"/>
    <x v="1"/>
    <d v="2021-02-18T00:00:00"/>
    <s v="-"/>
    <x v="2"/>
    <s v="-"/>
    <x v="1"/>
    <n v="42800"/>
    <n v="0"/>
    <n v="44"/>
    <n v="30"/>
    <s v="-"/>
    <n v="0"/>
    <n v="2"/>
    <n v="0"/>
    <n v="0"/>
    <x v="1"/>
    <n v="13"/>
    <s v="Kariyer.net"/>
    <m/>
    <n v="5"/>
    <s v="30-39"/>
    <s v="5-10 YIL"/>
    <x v="14"/>
  </r>
  <r>
    <s v="PER0051"/>
    <s v="Mustafa Aslan"/>
    <x v="1"/>
    <d v="1997-03-10T00:00:00"/>
    <n v="29"/>
    <s v="Bekar"/>
    <n v="0"/>
    <s v="Lisans"/>
    <x v="0"/>
    <s v="Takım Lideri"/>
    <s v="Senior"/>
    <x v="0"/>
    <s v="Üretim &amp; Operasyon Müdürü"/>
    <x v="0"/>
    <d v="2017-04-28T00:00:00"/>
    <s v="-"/>
    <x v="2"/>
    <s v="-"/>
    <x v="1"/>
    <n v="45000"/>
    <n v="0"/>
    <n v="22"/>
    <n v="27"/>
    <s v="02-Ucretsiz Izin"/>
    <n v="0"/>
    <n v="10"/>
    <n v="1"/>
    <n v="2"/>
    <x v="1"/>
    <n v="18"/>
    <s v="Kariyer.net"/>
    <m/>
    <n v="9"/>
    <s v="20-29"/>
    <s v="5-10 YIL"/>
    <x v="4"/>
  </r>
  <r>
    <s v="PER0052"/>
    <s v="Furkan Aydın"/>
    <x v="1"/>
    <d v="1982-08-18T00:00:00"/>
    <n v="44"/>
    <s v="Evli"/>
    <n v="1"/>
    <s v="Önlisans"/>
    <x v="0"/>
    <s v="Takım Lideri"/>
    <s v="Senior"/>
    <x v="0"/>
    <s v="Üretim &amp; Operasyon Müdürü"/>
    <x v="0"/>
    <d v="2020-07-12T00:00:00"/>
    <s v="-"/>
    <x v="2"/>
    <s v="-"/>
    <x v="1"/>
    <n v="42700"/>
    <n v="0"/>
    <n v="10"/>
    <n v="27"/>
    <s v="01-Istirahat"/>
    <n v="3"/>
    <n v="14"/>
    <n v="0"/>
    <n v="0"/>
    <x v="1"/>
    <n v="13"/>
    <s v="Danışmanlık Firması"/>
    <m/>
    <n v="5"/>
    <s v="40-49"/>
    <s v="5-10 YIL"/>
    <x v="5"/>
  </r>
  <r>
    <s v="PER0053"/>
    <s v="Can Doğan"/>
    <x v="1"/>
    <d v="1985-04-27T00:00:00"/>
    <n v="41"/>
    <s v="Evli"/>
    <n v="3"/>
    <s v="Yüksek Lisans"/>
    <x v="2"/>
    <s v="Finans Müdürü"/>
    <s v="Manager"/>
    <x v="1"/>
    <s v="Genel Müdür"/>
    <x v="2"/>
    <d v="2018-03-21T00:00:00"/>
    <d v="2021-12-13T00:00:00"/>
    <x v="4"/>
    <n v="3"/>
    <x v="0"/>
    <n v="115800"/>
    <n v="0"/>
    <n v="9"/>
    <n v="29"/>
    <s v="02-Ucretsiz Izin"/>
    <n v="0"/>
    <n v="7"/>
    <n v="1"/>
    <n v="0"/>
    <x v="1"/>
    <n v="6"/>
    <s v="Kariyer.net"/>
    <m/>
    <n v="8"/>
    <s v="40-49"/>
    <s v="5-10 YIL"/>
    <x v="1"/>
  </r>
  <r>
    <s v="PER0054"/>
    <s v="Ecem Demir"/>
    <x v="0"/>
    <d v="1989-06-13T00:00:00"/>
    <n v="37"/>
    <s v="Evli"/>
    <n v="1"/>
    <s v="Lisans"/>
    <x v="0"/>
    <s v="Üretim Müdürü"/>
    <s v="Manager"/>
    <x v="1"/>
    <s v="Genel Müdür"/>
    <x v="0"/>
    <d v="2019-02-02T00:00:00"/>
    <s v="-"/>
    <x v="2"/>
    <s v="-"/>
    <x v="1"/>
    <n v="90900"/>
    <n v="0"/>
    <n v="3"/>
    <n v="30"/>
    <s v="-"/>
    <n v="0"/>
    <n v="8"/>
    <n v="0"/>
    <n v="0"/>
    <x v="1"/>
    <n v="10"/>
    <s v="LinkedIn"/>
    <m/>
    <n v="7"/>
    <s v="30-39"/>
    <s v="5-10 YIL"/>
    <x v="11"/>
  </r>
  <r>
    <s v="PER0055"/>
    <s v="Oğuzhan Özdemir"/>
    <x v="1"/>
    <d v="2002-10-18T00:00:00"/>
    <n v="24"/>
    <s v="Evli"/>
    <n v="3"/>
    <s v="Lisans"/>
    <x v="0"/>
    <s v="Operatör"/>
    <s v="Junior"/>
    <x v="0"/>
    <s v="Üretim &amp; Operasyon Müdürü"/>
    <x v="0"/>
    <d v="2026-04-25T00:00:00"/>
    <s v="-"/>
    <x v="2"/>
    <s v="-"/>
    <x v="1"/>
    <n v="24100"/>
    <n v="0"/>
    <n v="26"/>
    <n v="30"/>
    <s v="-"/>
    <n v="0"/>
    <n v="0"/>
    <n v="0"/>
    <n v="0"/>
    <x v="3"/>
    <n v="14"/>
    <s v="LinkedIn"/>
    <m/>
    <n v="0"/>
    <s v="20-29"/>
    <s v="0-1 YIL"/>
    <x v="3"/>
  </r>
  <r>
    <s v="PER0056"/>
    <s v="Serkan Aslan"/>
    <x v="1"/>
    <d v="1983-11-13T00:00:00"/>
    <n v="43"/>
    <s v="Evli"/>
    <n v="2"/>
    <s v="Lisans"/>
    <x v="4"/>
    <s v="İK Müdürü"/>
    <s v="Manager"/>
    <x v="1"/>
    <s v="Genel Müdür"/>
    <x v="2"/>
    <d v="2008-06-21T00:00:00"/>
    <d v="2020-09-27T00:00:00"/>
    <x v="4"/>
    <n v="3"/>
    <x v="0"/>
    <n v="110100"/>
    <n v="7300"/>
    <n v="9"/>
    <n v="30"/>
    <s v="-"/>
    <n v="0"/>
    <n v="9"/>
    <n v="0"/>
    <n v="0"/>
    <x v="4"/>
    <n v="12"/>
    <s v="LinkedIn"/>
    <m/>
    <n v="18"/>
    <s v="40-49"/>
    <s v="10+"/>
    <x v="15"/>
  </r>
  <r>
    <s v="PER0057"/>
    <s v="Mehmet Çelik"/>
    <x v="1"/>
    <d v="1990-08-02T00:00:00"/>
    <n v="36"/>
    <s v="Evli"/>
    <n v="2"/>
    <s v="Lisans"/>
    <x v="3"/>
    <s v="Kıdemli Yazılım Uzmanı"/>
    <s v="Senior"/>
    <x v="1"/>
    <s v="Bilgi Teknolojileri Müdürü"/>
    <x v="0"/>
    <d v="2022-11-26T00:00:00"/>
    <s v="-"/>
    <x v="2"/>
    <s v="-"/>
    <x v="1"/>
    <n v="83500"/>
    <n v="0"/>
    <n v="6"/>
    <n v="29"/>
    <s v="02-Ucretsiz Izin"/>
    <n v="0"/>
    <n v="14"/>
    <n v="1"/>
    <n v="0"/>
    <x v="1"/>
    <n v="16"/>
    <s v="Şirket Web Sitesi"/>
    <m/>
    <n v="3"/>
    <s v="30-39"/>
    <s v="3-5 YIL"/>
    <x v="7"/>
  </r>
  <r>
    <s v="PER0058"/>
    <s v="Aslan Çelik"/>
    <x v="0"/>
    <d v="2003-01-22T00:00:00"/>
    <n v="23"/>
    <s v="Bekar"/>
    <n v="0"/>
    <s v="Önlisans"/>
    <x v="1"/>
    <s v="Satış Temsilcisi"/>
    <s v="Junior"/>
    <x v="1"/>
    <s v="Satış &amp; Pazarlama Müdürü"/>
    <x v="0"/>
    <d v="2025-02-01T00:00:00"/>
    <s v="-"/>
    <x v="2"/>
    <s v="-"/>
    <x v="1"/>
    <n v="36000"/>
    <n v="12400"/>
    <n v="3"/>
    <n v="30"/>
    <s v="-"/>
    <n v="0"/>
    <n v="11"/>
    <n v="0"/>
    <n v="0"/>
    <x v="0"/>
    <n v="12"/>
    <s v="Referans"/>
    <m/>
    <n v="1"/>
    <s v="20-29"/>
    <s v="1-3 YIL"/>
    <x v="0"/>
  </r>
  <r>
    <s v="PER0059"/>
    <s v="Defne Doğan"/>
    <x v="0"/>
    <d v="1986-07-15T00:00:00"/>
    <n v="40"/>
    <s v="Bekar"/>
    <n v="0"/>
    <s v="Lisans"/>
    <x v="2"/>
    <s v="Mali İşler Uzmanı"/>
    <s v="Senior"/>
    <x v="1"/>
    <s v="Finans &amp; Muhasebe Müdürü"/>
    <x v="0"/>
    <d v="2014-08-21T00:00:00"/>
    <s v="-"/>
    <x v="2"/>
    <s v="-"/>
    <x v="1"/>
    <n v="57700"/>
    <n v="0"/>
    <n v="5"/>
    <n v="30"/>
    <s v="-"/>
    <n v="0"/>
    <n v="13"/>
    <n v="0"/>
    <n v="0"/>
    <x v="4"/>
    <n v="16"/>
    <s v="Kariyer.net"/>
    <m/>
    <n v="11"/>
    <s v="40-49"/>
    <s v="10+"/>
    <x v="6"/>
  </r>
  <r>
    <s v="PER0060"/>
    <s v="Burak Demir"/>
    <x v="1"/>
    <d v="1997-09-24T00:00:00"/>
    <n v="29"/>
    <s v="Evli"/>
    <n v="3"/>
    <s v="Lisans"/>
    <x v="0"/>
    <s v="Operatör"/>
    <s v="Junior"/>
    <x v="0"/>
    <s v="Üretim &amp; Operasyon Müdürü"/>
    <x v="3"/>
    <d v="2026-05-20T00:00:00"/>
    <s v="-"/>
    <x v="2"/>
    <s v="-"/>
    <x v="1"/>
    <n v="26500"/>
    <n v="0"/>
    <n v="34"/>
    <n v="28"/>
    <s v="01-Istirahat"/>
    <n v="2"/>
    <n v="0"/>
    <n v="0"/>
    <n v="0"/>
    <x v="3"/>
    <n v="31"/>
    <s v="LinkedIn"/>
    <m/>
    <n v="0"/>
    <s v="20-29"/>
    <s v="0-1 YIL"/>
    <x v="3"/>
  </r>
  <r>
    <s v="PER0061"/>
    <s v="Gökhan Şahin"/>
    <x v="1"/>
    <d v="1998-12-20T00:00:00"/>
    <n v="28"/>
    <s v="Bekar"/>
    <n v="0"/>
    <s v="Yüksek Lisans"/>
    <x v="0"/>
    <s v="Operatör"/>
    <s v="Junior"/>
    <x v="0"/>
    <s v="Üretim &amp; Operasyon Müdürü"/>
    <x v="0"/>
    <d v="2025-10-16T00:00:00"/>
    <s v="-"/>
    <x v="2"/>
    <s v="-"/>
    <x v="1"/>
    <n v="24600"/>
    <n v="0"/>
    <n v="31"/>
    <n v="30"/>
    <s v="-"/>
    <n v="0"/>
    <n v="0"/>
    <n v="0"/>
    <n v="0"/>
    <x v="1"/>
    <n v="14"/>
    <s v="LinkedIn"/>
    <m/>
    <n v="0"/>
    <s v="20-29"/>
    <s v="0-1 YIL"/>
    <x v="0"/>
  </r>
  <r>
    <s v="PER0062"/>
    <s v="Hasan Kaya"/>
    <x v="1"/>
    <d v="1991-03-24T00:00:00"/>
    <n v="35"/>
    <s v="Evli"/>
    <n v="1"/>
    <s v="Lisans"/>
    <x v="4"/>
    <s v="İK Uzmanı"/>
    <s v="Senior"/>
    <x v="1"/>
    <s v="İnsan Kaynakları Müdürü"/>
    <x v="2"/>
    <d v="2018-04-21T00:00:00"/>
    <s v="-"/>
    <x v="2"/>
    <s v="-"/>
    <x v="1"/>
    <n v="59700"/>
    <n v="0"/>
    <n v="5"/>
    <n v="30"/>
    <s v="-"/>
    <n v="0"/>
    <n v="7"/>
    <n v="0"/>
    <n v="0"/>
    <x v="0"/>
    <n v="2"/>
    <s v="Kariyer.net"/>
    <m/>
    <n v="8"/>
    <s v="30-39"/>
    <s v="5-10 YIL"/>
    <x v="1"/>
  </r>
  <r>
    <s v="PER0063"/>
    <s v="Selin Çetin"/>
    <x v="0"/>
    <d v="2003-02-10T00:00:00"/>
    <n v="23"/>
    <s v="Evli"/>
    <n v="0"/>
    <s v="Lisans"/>
    <x v="0"/>
    <s v="Operatör"/>
    <s v="Junior"/>
    <x v="0"/>
    <s v="Üretim &amp; Operasyon Müdürü"/>
    <x v="0"/>
    <d v="2023-08-01T00:00:00"/>
    <d v="2024-07-12T00:00:00"/>
    <x v="4"/>
    <n v="3"/>
    <x v="0"/>
    <n v="23900"/>
    <n v="0"/>
    <n v="15"/>
    <n v="30"/>
    <s v="-"/>
    <n v="0"/>
    <n v="8"/>
    <n v="0"/>
    <n v="0"/>
    <x v="3"/>
    <n v="29"/>
    <s v="Kariyer.net"/>
    <m/>
    <n v="2"/>
    <s v="20-29"/>
    <s v="1-3 YIL"/>
    <x v="9"/>
  </r>
  <r>
    <s v="PER0064"/>
    <s v="Hüseyin Doğan"/>
    <x v="1"/>
    <d v="1990-06-12T00:00:00"/>
    <n v="36"/>
    <s v="Evli"/>
    <n v="1"/>
    <s v="Lisans"/>
    <x v="1"/>
    <s v="Kıdemli Satış Uzmanı"/>
    <s v="Senior"/>
    <x v="1"/>
    <s v="Satış &amp; Pazarlama Müdürü"/>
    <x v="2"/>
    <d v="2022-03-06T00:00:00"/>
    <s v="-"/>
    <x v="2"/>
    <s v="-"/>
    <x v="1"/>
    <n v="57500"/>
    <n v="14600"/>
    <n v="5"/>
    <n v="30"/>
    <s v="-"/>
    <n v="0"/>
    <n v="6"/>
    <n v="0"/>
    <n v="0"/>
    <x v="1"/>
    <n v="13"/>
    <s v="Kariyer.net"/>
    <m/>
    <n v="4"/>
    <s v="30-39"/>
    <s v="3-5 YIL"/>
    <x v="7"/>
  </r>
  <r>
    <s v="PER0065"/>
    <s v="Burak Şahin"/>
    <x v="1"/>
    <d v="2000-01-07T00:00:00"/>
    <n v="26"/>
    <s v="Bekar"/>
    <n v="0"/>
    <s v="Doktora"/>
    <x v="0"/>
    <s v="Operatör"/>
    <s v="Junior"/>
    <x v="0"/>
    <s v="Üretim &amp; Operasyon Müdürü"/>
    <x v="2"/>
    <d v="2024-07-04T00:00:00"/>
    <s v="-"/>
    <x v="2"/>
    <s v="-"/>
    <x v="1"/>
    <n v="28600"/>
    <n v="0"/>
    <n v="33"/>
    <n v="30"/>
    <s v="-"/>
    <n v="0"/>
    <n v="11"/>
    <n v="0"/>
    <n v="0"/>
    <x v="1"/>
    <n v="19"/>
    <s v="Referans"/>
    <m/>
    <n v="1"/>
    <s v="20-29"/>
    <s v="1-3 YIL"/>
    <x v="2"/>
  </r>
  <r>
    <s v="PER0066"/>
    <s v="Mustafa Arslan"/>
    <x v="1"/>
    <d v="1989-03-26T00:00:00"/>
    <n v="37"/>
    <s v="Bekar"/>
    <n v="0"/>
    <s v="Lisans"/>
    <x v="2"/>
    <s v="Mali İşler Uzmanı"/>
    <s v="Senior"/>
    <x v="1"/>
    <s v="Finans &amp; Muhasebe Müdürü"/>
    <x v="3"/>
    <d v="2020-09-28T00:00:00"/>
    <s v="-"/>
    <x v="2"/>
    <s v="-"/>
    <x v="1"/>
    <n v="59600"/>
    <n v="5800"/>
    <n v="0"/>
    <n v="30"/>
    <s v="-"/>
    <n v="0"/>
    <n v="13"/>
    <n v="0"/>
    <n v="0"/>
    <x v="4"/>
    <n v="13"/>
    <s v="Kariyer.net"/>
    <m/>
    <n v="5"/>
    <s v="30-39"/>
    <s v="5-10 YIL"/>
    <x v="5"/>
  </r>
  <r>
    <s v="PER0067"/>
    <s v="Can Şahin"/>
    <x v="1"/>
    <d v="2001-07-06T00:00:00"/>
    <n v="25"/>
    <s v="Evli"/>
    <n v="1"/>
    <s v="Önlisans"/>
    <x v="0"/>
    <s v="Operatör"/>
    <s v="Junior"/>
    <x v="0"/>
    <s v="Üretim &amp; Operasyon Müdürü"/>
    <x v="0"/>
    <d v="2025-01-07T00:00:00"/>
    <s v="-"/>
    <x v="2"/>
    <s v="-"/>
    <x v="1"/>
    <n v="28600"/>
    <n v="0"/>
    <n v="11"/>
    <n v="28"/>
    <s v="01-Istirahat"/>
    <n v="2"/>
    <n v="0"/>
    <n v="0"/>
    <n v="0"/>
    <x v="4"/>
    <n v="14"/>
    <s v="LinkedIn"/>
    <m/>
    <n v="1"/>
    <s v="20-29"/>
    <s v="1-3 YIL"/>
    <x v="0"/>
  </r>
  <r>
    <s v="PER0068"/>
    <s v="Gamze Demir"/>
    <x v="0"/>
    <d v="1997-12-01T00:00:00"/>
    <n v="29"/>
    <s v="Evli"/>
    <n v="1"/>
    <s v="Lisans"/>
    <x v="0"/>
    <s v="Operatör"/>
    <s v="Junior"/>
    <x v="0"/>
    <s v="Üretim &amp; Operasyon Müdürü"/>
    <x v="2"/>
    <d v="2023-07-24T00:00:00"/>
    <s v="-"/>
    <x v="2"/>
    <s v="-"/>
    <x v="1"/>
    <n v="24600"/>
    <n v="0"/>
    <n v="21"/>
    <n v="30"/>
    <s v="-"/>
    <n v="0"/>
    <n v="11"/>
    <n v="0"/>
    <n v="0"/>
    <x v="3"/>
    <n v="17"/>
    <s v="LinkedIn"/>
    <m/>
    <n v="2"/>
    <s v="20-29"/>
    <s v="1-3 YIL"/>
    <x v="9"/>
  </r>
  <r>
    <s v="PER0069"/>
    <s v="Elif Çetin"/>
    <x v="0"/>
    <d v="2000-05-01T00:00:00"/>
    <n v="26"/>
    <s v="Evli"/>
    <n v="1"/>
    <s v="Yüksek Lisans"/>
    <x v="0"/>
    <s v="Operatör"/>
    <s v="Junior"/>
    <x v="0"/>
    <s v="Üretim &amp; Operasyon Müdürü"/>
    <x v="0"/>
    <d v="2023-12-05T00:00:00"/>
    <s v="-"/>
    <x v="2"/>
    <s v="-"/>
    <x v="1"/>
    <n v="24500"/>
    <n v="0"/>
    <n v="33"/>
    <n v="29"/>
    <s v="01-Istirahat"/>
    <n v="1"/>
    <n v="8"/>
    <n v="0"/>
    <n v="0"/>
    <x v="3"/>
    <n v="35"/>
    <s v="Kariyer.net"/>
    <m/>
    <n v="2"/>
    <s v="20-29"/>
    <s v="1-3 YIL"/>
    <x v="9"/>
  </r>
  <r>
    <s v="PER0070"/>
    <s v="Gökhan Yıldız"/>
    <x v="1"/>
    <d v="2003-01-23T00:00:00"/>
    <n v="23"/>
    <s v="Evli"/>
    <n v="0"/>
    <s v="Lisans"/>
    <x v="0"/>
    <s v="Operatör"/>
    <s v="Junior"/>
    <x v="0"/>
    <s v="Üretim &amp; Operasyon Müdürü"/>
    <x v="4"/>
    <d v="2025-09-10T00:00:00"/>
    <s v="-"/>
    <x v="2"/>
    <s v="-"/>
    <x v="1"/>
    <n v="28600"/>
    <n v="0"/>
    <n v="43"/>
    <n v="28"/>
    <s v="01-Istirahat"/>
    <n v="1"/>
    <n v="0"/>
    <n v="1"/>
    <n v="0"/>
    <x v="0"/>
    <n v="19"/>
    <s v="Kariyer.net"/>
    <m/>
    <n v="0"/>
    <s v="20-29"/>
    <s v="0-1 YIL"/>
    <x v="0"/>
  </r>
  <r>
    <s v="PER0071"/>
    <s v="Ömer Yılmaz"/>
    <x v="1"/>
    <d v="2000-05-09T00:00:00"/>
    <n v="26"/>
    <s v="Evli"/>
    <n v="3"/>
    <s v="Lisans"/>
    <x v="0"/>
    <s v="Operatör"/>
    <s v="Junior"/>
    <x v="0"/>
    <s v="Üretim &amp; Operasyon Müdürü"/>
    <x v="2"/>
    <d v="2023-03-04T00:00:00"/>
    <s v="-"/>
    <x v="2"/>
    <s v="-"/>
    <x v="1"/>
    <n v="24500"/>
    <n v="0"/>
    <n v="15"/>
    <n v="30"/>
    <s v="-"/>
    <n v="0"/>
    <n v="8"/>
    <n v="0"/>
    <n v="0"/>
    <x v="3"/>
    <n v="24"/>
    <s v="LinkedIn"/>
    <m/>
    <n v="3"/>
    <s v="20-29"/>
    <s v="3-5 YIL"/>
    <x v="9"/>
  </r>
  <r>
    <s v="PER0072"/>
    <s v="Elif Aslan"/>
    <x v="0"/>
    <d v="1969-11-01T00:00:00"/>
    <n v="57"/>
    <s v="Bekar"/>
    <n v="0"/>
    <s v="Yüksek Lisans"/>
    <x v="2"/>
    <s v="Finans Müdürü"/>
    <s v="Manager"/>
    <x v="1"/>
    <s v="Genel Müdür"/>
    <x v="0"/>
    <d v="2018-06-23T00:00:00"/>
    <s v="-"/>
    <x v="2"/>
    <s v="-"/>
    <x v="1"/>
    <n v="118800"/>
    <n v="0"/>
    <n v="9"/>
    <n v="30"/>
    <s v="-"/>
    <n v="0"/>
    <n v="11"/>
    <n v="0"/>
    <n v="0"/>
    <x v="1"/>
    <n v="2"/>
    <s v="LinkedIn"/>
    <m/>
    <n v="8"/>
    <s v="50+"/>
    <s v="5-10 YIL"/>
    <x v="1"/>
  </r>
  <r>
    <s v="PER0073"/>
    <s v="Hilal Yıldız"/>
    <x v="0"/>
    <d v="2003-02-06T00:00:00"/>
    <n v="23"/>
    <s v="Evli"/>
    <n v="1"/>
    <s v="Lisans"/>
    <x v="0"/>
    <s v="Operatör"/>
    <s v="Junior"/>
    <x v="0"/>
    <s v="Üretim &amp; Operasyon Müdürü"/>
    <x v="2"/>
    <d v="2023-02-05T00:00:00"/>
    <s v="-"/>
    <x v="2"/>
    <s v="-"/>
    <x v="1"/>
    <n v="24300"/>
    <n v="0"/>
    <n v="14"/>
    <n v="30"/>
    <s v="-"/>
    <n v="0"/>
    <n v="11"/>
    <n v="0"/>
    <n v="0"/>
    <x v="1"/>
    <n v="7"/>
    <s v="Kariyer.net"/>
    <m/>
    <n v="3"/>
    <s v="20-29"/>
    <s v="3-5 YIL"/>
    <x v="9"/>
  </r>
  <r>
    <s v="PER0074"/>
    <s v="Serkan Aslan"/>
    <x v="1"/>
    <d v="1988-03-15T00:00:00"/>
    <n v="38"/>
    <s v="Bekar"/>
    <n v="0"/>
    <s v="Lisans"/>
    <x v="3"/>
    <s v="BT Müdürü"/>
    <s v="Manager"/>
    <x v="1"/>
    <s v="Genel Müdür"/>
    <x v="3"/>
    <d v="2010-07-13T00:00:00"/>
    <d v="2023-02-10T00:00:00"/>
    <x v="1"/>
    <n v="4"/>
    <x v="0"/>
    <n v="118000"/>
    <n v="0"/>
    <n v="2"/>
    <n v="30"/>
    <s v="-"/>
    <n v="0"/>
    <n v="13"/>
    <n v="0"/>
    <n v="0"/>
    <x v="1"/>
    <n v="18"/>
    <s v="Danışmanlık Firması"/>
    <m/>
    <n v="15"/>
    <s v="30-39"/>
    <s v="10+"/>
    <x v="16"/>
  </r>
  <r>
    <s v="PER0075"/>
    <s v="Hasan Doğan"/>
    <x v="1"/>
    <d v="1989-04-20T00:00:00"/>
    <n v="37"/>
    <s v="Evli"/>
    <n v="2"/>
    <s v="Lisans"/>
    <x v="0"/>
    <s v="Takım Lideri"/>
    <s v="Senior"/>
    <x v="0"/>
    <s v="Üretim &amp; Operasyon Müdürü"/>
    <x v="0"/>
    <d v="2015-09-12T00:00:00"/>
    <s v="-"/>
    <x v="2"/>
    <s v="-"/>
    <x v="1"/>
    <n v="41000"/>
    <n v="0"/>
    <n v="22"/>
    <n v="30"/>
    <s v="-"/>
    <n v="0"/>
    <n v="5"/>
    <n v="0"/>
    <n v="0"/>
    <x v="3"/>
    <n v="26"/>
    <s v="Kariyer.net"/>
    <m/>
    <n v="10"/>
    <s v="30-39"/>
    <s v="5-10 YIL"/>
    <x v="8"/>
  </r>
  <r>
    <s v="PER0076"/>
    <s v="Selin Arslan"/>
    <x v="0"/>
    <d v="2002-12-07T00:00:00"/>
    <n v="24"/>
    <s v="Bekar"/>
    <n v="0"/>
    <s v="Lisans"/>
    <x v="1"/>
    <s v="Satış Temsilcisi"/>
    <s v="Junior"/>
    <x v="1"/>
    <s v="Satış &amp; Pazarlama Müdürü"/>
    <x v="0"/>
    <d v="2022-11-12T00:00:00"/>
    <s v="-"/>
    <x v="2"/>
    <s v="-"/>
    <x v="1"/>
    <n v="35300"/>
    <n v="4900"/>
    <n v="4"/>
    <n v="30"/>
    <s v="-"/>
    <n v="0"/>
    <n v="1"/>
    <n v="0"/>
    <n v="0"/>
    <x v="1"/>
    <n v="18"/>
    <s v="LinkedIn"/>
    <m/>
    <n v="3"/>
    <s v="20-29"/>
    <s v="3-5 YIL"/>
    <x v="7"/>
  </r>
  <r>
    <s v="PER0077"/>
    <s v="Defne Kılıç"/>
    <x v="0"/>
    <d v="1997-07-21T00:00:00"/>
    <n v="29"/>
    <s v="Evli"/>
    <n v="1"/>
    <s v="Lisans"/>
    <x v="3"/>
    <s v="Yazılım Uzman Yardımcısı"/>
    <s v="Junior"/>
    <x v="1"/>
    <s v="Bilgi Teknolojileri Müdürü"/>
    <x v="2"/>
    <d v="2024-01-07T00:00:00"/>
    <s v="-"/>
    <x v="2"/>
    <s v="-"/>
    <x v="1"/>
    <n v="46600"/>
    <n v="0"/>
    <n v="6"/>
    <n v="30"/>
    <s v="-"/>
    <n v="0"/>
    <n v="3"/>
    <n v="0"/>
    <n v="0"/>
    <x v="1"/>
    <n v="11"/>
    <s v="Şirket Web Sitesi"/>
    <m/>
    <n v="2"/>
    <s v="20-29"/>
    <s v="1-3 YIL"/>
    <x v="2"/>
  </r>
  <r>
    <s v="PER0078"/>
    <s v="Mustafa Aydın"/>
    <x v="1"/>
    <d v="1998-01-02T00:00:00"/>
    <n v="28"/>
    <s v="Bekar"/>
    <n v="0"/>
    <s v="Lisans"/>
    <x v="0"/>
    <s v="Operatör"/>
    <s v="Junior"/>
    <x v="0"/>
    <s v="Üretim &amp; Operasyon Müdürü"/>
    <x v="0"/>
    <d v="2023-05-28T00:00:00"/>
    <s v="-"/>
    <x v="2"/>
    <s v="-"/>
    <x v="1"/>
    <n v="27000"/>
    <n v="0"/>
    <n v="17"/>
    <n v="28"/>
    <s v="01-Istirahat"/>
    <n v="2"/>
    <n v="5"/>
    <n v="0"/>
    <n v="0"/>
    <x v="1"/>
    <n v="7"/>
    <s v="LinkedIn"/>
    <m/>
    <n v="3"/>
    <s v="20-29"/>
    <s v="3-5 YIL"/>
    <x v="9"/>
  </r>
  <r>
    <s v="PER0079"/>
    <s v="Büşra Yılmaz"/>
    <x v="0"/>
    <d v="2000-09-23T00:00:00"/>
    <n v="26"/>
    <s v="Bekar"/>
    <n v="0"/>
    <s v="Lisans"/>
    <x v="0"/>
    <s v="Operatör"/>
    <s v="Junior"/>
    <x v="0"/>
    <s v="Üretim &amp; Operasyon Müdürü"/>
    <x v="0"/>
    <d v="2025-11-05T00:00:00"/>
    <s v="-"/>
    <x v="2"/>
    <s v="-"/>
    <x v="1"/>
    <n v="27900"/>
    <n v="0"/>
    <n v="21"/>
    <n v="30"/>
    <s v="-"/>
    <n v="0"/>
    <n v="0"/>
    <n v="0"/>
    <n v="0"/>
    <x v="3"/>
    <n v="24"/>
    <s v="LinkedIn"/>
    <m/>
    <n v="0"/>
    <s v="20-29"/>
    <s v="0-1 YIL"/>
    <x v="0"/>
  </r>
  <r>
    <s v="PER0080"/>
    <s v="Burak Şahin"/>
    <x v="1"/>
    <d v="1999-08-07T00:00:00"/>
    <n v="27"/>
    <s v="Bekar"/>
    <n v="0"/>
    <s v="Lisans"/>
    <x v="1"/>
    <s v="Satış Temsilcisi"/>
    <s v="Junior"/>
    <x v="1"/>
    <s v="Satış &amp; Pazarlama Müdürü"/>
    <x v="0"/>
    <d v="2024-08-17T00:00:00"/>
    <s v="-"/>
    <x v="2"/>
    <s v="-"/>
    <x v="1"/>
    <n v="35700"/>
    <n v="10500"/>
    <n v="5"/>
    <n v="30"/>
    <s v="-"/>
    <n v="0"/>
    <n v="12"/>
    <n v="0"/>
    <n v="0"/>
    <x v="1"/>
    <n v="3"/>
    <s v="Şirket Web Sitesi"/>
    <m/>
    <n v="1"/>
    <s v="20-29"/>
    <s v="1-3 YIL"/>
    <x v="2"/>
  </r>
  <r>
    <s v="PER0081"/>
    <s v="Serkan Demir"/>
    <x v="1"/>
    <d v="1994-10-12T00:00:00"/>
    <n v="32"/>
    <s v="Evli"/>
    <n v="1"/>
    <s v="Lisans"/>
    <x v="2"/>
    <s v="Mali İşler Uzmanı"/>
    <s v="Senior"/>
    <x v="1"/>
    <s v="Finans &amp; Muhasebe Müdürü"/>
    <x v="0"/>
    <d v="2019-10-06T00:00:00"/>
    <s v="-"/>
    <x v="2"/>
    <s v="-"/>
    <x v="1"/>
    <n v="61400"/>
    <n v="0"/>
    <n v="9"/>
    <n v="28"/>
    <s v="01-Istirahat"/>
    <n v="2"/>
    <n v="6"/>
    <n v="0"/>
    <n v="0"/>
    <x v="1"/>
    <n v="10"/>
    <s v="LinkedIn"/>
    <m/>
    <n v="6"/>
    <s v="30-39"/>
    <s v="5-10 YIL"/>
    <x v="11"/>
  </r>
  <r>
    <s v="PER0082"/>
    <s v="İrem Kaya"/>
    <x v="0"/>
    <d v="2004-01-14T00:00:00"/>
    <n v="22"/>
    <s v="Evli"/>
    <n v="3"/>
    <s v="Lisans"/>
    <x v="0"/>
    <s v="Operatör"/>
    <s v="Junior"/>
    <x v="0"/>
    <s v="Üretim &amp; Operasyon Müdürü"/>
    <x v="1"/>
    <d v="2022-07-01T00:00:00"/>
    <s v="-"/>
    <x v="2"/>
    <s v="-"/>
    <x v="1"/>
    <n v="24600"/>
    <n v="0"/>
    <n v="12"/>
    <n v="25"/>
    <s v="01-Istirahat"/>
    <n v="5"/>
    <n v="12"/>
    <n v="0"/>
    <n v="0"/>
    <x v="4"/>
    <n v="3"/>
    <s v="Kariyer.net"/>
    <m/>
    <n v="3"/>
    <s v="20-29"/>
    <s v="3-5 YIL"/>
    <x v="7"/>
  </r>
  <r>
    <s v="PER0083"/>
    <s v="Selin Kılıç"/>
    <x v="0"/>
    <d v="1986-11-02T00:00:00"/>
    <n v="40"/>
    <s v="Bekar"/>
    <n v="0"/>
    <s v="Önlisans"/>
    <x v="2"/>
    <s v="Finans Müdürü"/>
    <s v="Manager"/>
    <x v="1"/>
    <s v="Genel Müdür"/>
    <x v="2"/>
    <d v="2009-04-02T00:00:00"/>
    <s v="-"/>
    <x v="2"/>
    <s v="-"/>
    <x v="1"/>
    <n v="113000"/>
    <n v="0"/>
    <n v="8"/>
    <n v="27"/>
    <s v="02-Ucretsiz Izin"/>
    <n v="0"/>
    <n v="12"/>
    <n v="3"/>
    <n v="0"/>
    <x v="1"/>
    <n v="16"/>
    <s v="Danışmanlık Firması"/>
    <m/>
    <n v="17"/>
    <s v="40-49"/>
    <s v="10+"/>
    <x v="17"/>
  </r>
  <r>
    <s v="PER0084"/>
    <s v="Defne Şahin"/>
    <x v="0"/>
    <d v="1992-01-05T00:00:00"/>
    <n v="34"/>
    <s v="Evli"/>
    <n v="1"/>
    <s v="Önlisans"/>
    <x v="3"/>
    <s v="Kıdemli Yazılım Uzmanı"/>
    <s v="Senior"/>
    <x v="1"/>
    <s v="Bilgi Teknolojileri Müdürü"/>
    <x v="2"/>
    <d v="2015-06-08T00:00:00"/>
    <s v="-"/>
    <x v="2"/>
    <s v="-"/>
    <x v="1"/>
    <n v="73900"/>
    <n v="8500"/>
    <n v="1"/>
    <n v="30"/>
    <s v="-"/>
    <n v="0"/>
    <n v="13"/>
    <n v="0"/>
    <n v="0"/>
    <x v="1"/>
    <n v="4"/>
    <s v="Kariyer.net"/>
    <m/>
    <n v="11"/>
    <s v="30-39"/>
    <s v="10+"/>
    <x v="8"/>
  </r>
  <r>
    <s v="PER0085"/>
    <s v="Dilan Öztürk"/>
    <x v="0"/>
    <d v="1999-05-10T00:00:00"/>
    <n v="27"/>
    <s v="Bekar"/>
    <n v="0"/>
    <s v="Lisans"/>
    <x v="0"/>
    <s v="Operatör"/>
    <s v="Junior"/>
    <x v="0"/>
    <s v="Üretim &amp; Operasyon Müdürü"/>
    <x v="0"/>
    <d v="2024-07-22T00:00:00"/>
    <s v="-"/>
    <x v="2"/>
    <s v="-"/>
    <x v="1"/>
    <n v="26800"/>
    <n v="0"/>
    <n v="22"/>
    <n v="30"/>
    <s v="-"/>
    <n v="0"/>
    <n v="4"/>
    <n v="0"/>
    <n v="0"/>
    <x v="4"/>
    <n v="5"/>
    <s v="Kariyer.net"/>
    <m/>
    <n v="1"/>
    <s v="20-29"/>
    <s v="1-3 YIL"/>
    <x v="2"/>
  </r>
  <r>
    <s v="PER0086"/>
    <s v="İrem Kara"/>
    <x v="0"/>
    <d v="2003-03-09T00:00:00"/>
    <n v="23"/>
    <s v="Evli"/>
    <n v="0"/>
    <s v="Önlisans"/>
    <x v="4"/>
    <s v="İK Uzman Yardımcısı"/>
    <s v="Junior"/>
    <x v="1"/>
    <s v="İnsan Kaynakları Müdürü"/>
    <x v="0"/>
    <d v="2022-10-24T00:00:00"/>
    <s v="-"/>
    <x v="2"/>
    <s v="-"/>
    <x v="1"/>
    <n v="34400"/>
    <n v="4400"/>
    <n v="8"/>
    <n v="30"/>
    <s v="-"/>
    <n v="0"/>
    <n v="8"/>
    <n v="0"/>
    <n v="0"/>
    <x v="1"/>
    <n v="17"/>
    <s v="LinkedIn"/>
    <m/>
    <n v="3"/>
    <s v="20-29"/>
    <s v="3-5 YIL"/>
    <x v="7"/>
  </r>
  <r>
    <s v="PER0087"/>
    <s v="Oğuzhan Kılıç"/>
    <x v="1"/>
    <d v="2004-01-23T00:00:00"/>
    <n v="22"/>
    <s v="Bekar"/>
    <n v="0"/>
    <s v="Yüksek Lisans"/>
    <x v="0"/>
    <s v="Operatör"/>
    <s v="Junior"/>
    <x v="0"/>
    <s v="Üretim &amp; Operasyon Müdürü"/>
    <x v="0"/>
    <d v="2023-06-23T00:00:00"/>
    <d v="2025-02-22T00:00:00"/>
    <x v="4"/>
    <n v="3"/>
    <x v="0"/>
    <n v="26300"/>
    <n v="0"/>
    <n v="17"/>
    <n v="30"/>
    <s v="-"/>
    <n v="0"/>
    <n v="10"/>
    <n v="0"/>
    <n v="0"/>
    <x v="3"/>
    <n v="14"/>
    <s v="LinkedIn"/>
    <m/>
    <n v="3"/>
    <s v="20-29"/>
    <s v="3-5 YIL"/>
    <x v="9"/>
  </r>
  <r>
    <s v="PER0088"/>
    <s v="Can Aydın"/>
    <x v="1"/>
    <d v="2002-05-05T00:00:00"/>
    <n v="24"/>
    <s v="Evli"/>
    <n v="0"/>
    <s v="Lisans"/>
    <x v="1"/>
    <s v="Satış Temsilcisi"/>
    <s v="Junior"/>
    <x v="1"/>
    <s v="Satış &amp; Pazarlama Müdürü"/>
    <x v="4"/>
    <d v="2024-06-16T00:00:00"/>
    <s v="-"/>
    <x v="2"/>
    <s v="-"/>
    <x v="1"/>
    <n v="30800"/>
    <n v="0"/>
    <n v="3"/>
    <n v="28"/>
    <s v="01-Istirahat"/>
    <n v="2"/>
    <n v="7"/>
    <n v="0"/>
    <n v="0"/>
    <x v="1"/>
    <n v="3"/>
    <s v="Kariyer.net"/>
    <m/>
    <n v="2"/>
    <s v="20-29"/>
    <s v="1-3 YIL"/>
    <x v="2"/>
  </r>
  <r>
    <s v="PER0089"/>
    <s v="Aslan Çetin"/>
    <x v="0"/>
    <d v="1995-02-22T00:00:00"/>
    <n v="31"/>
    <s v="Evli"/>
    <n v="0"/>
    <s v="Yüksek Lisans"/>
    <x v="2"/>
    <s v="Mali İşler Uzmanı"/>
    <s v="Senior"/>
    <x v="1"/>
    <s v="Finans &amp; Muhasebe Müdürü"/>
    <x v="0"/>
    <d v="2015-09-06T00:00:00"/>
    <s v="-"/>
    <x v="2"/>
    <s v="-"/>
    <x v="1"/>
    <n v="63800"/>
    <n v="0"/>
    <n v="9"/>
    <n v="29"/>
    <s v="02-Ucretsiz Izin"/>
    <n v="0"/>
    <n v="6"/>
    <n v="1"/>
    <n v="0"/>
    <x v="4"/>
    <n v="9"/>
    <s v="Kariyer.net"/>
    <m/>
    <n v="10"/>
    <s v="30-39"/>
    <s v="5-10 YIL"/>
    <x v="8"/>
  </r>
  <r>
    <s v="PER0090"/>
    <s v="Furkan Kaya"/>
    <x v="1"/>
    <d v="1996-07-17T00:00:00"/>
    <n v="30"/>
    <s v="Bekar"/>
    <n v="0"/>
    <s v="Lisans"/>
    <x v="0"/>
    <s v="Takım Lideri"/>
    <s v="Senior"/>
    <x v="0"/>
    <s v="Üretim &amp; Operasyon Müdürü"/>
    <x v="0"/>
    <d v="2016-09-06T00:00:00"/>
    <d v="2022-10-11T00:00:00"/>
    <x v="4"/>
    <n v="3"/>
    <x v="0"/>
    <n v="41700"/>
    <n v="0"/>
    <n v="17"/>
    <n v="29"/>
    <s v="01-Istirahat"/>
    <n v="1"/>
    <n v="6"/>
    <n v="0"/>
    <n v="0"/>
    <x v="4"/>
    <n v="12"/>
    <s v="LinkedIn"/>
    <m/>
    <n v="9"/>
    <s v="30-39"/>
    <s v="5-10 YIL"/>
    <x v="13"/>
  </r>
  <r>
    <s v="PER0091"/>
    <s v="Volkan Kaya"/>
    <x v="1"/>
    <d v="2001-06-11T00:00:00"/>
    <n v="25"/>
    <s v="Evli"/>
    <n v="1"/>
    <s v="Önlisans"/>
    <x v="0"/>
    <s v="Operatör"/>
    <s v="Junior"/>
    <x v="0"/>
    <s v="Üretim &amp; Operasyon Müdürü"/>
    <x v="1"/>
    <d v="2025-11-24T00:00:00"/>
    <s v="-"/>
    <x v="2"/>
    <s v="-"/>
    <x v="1"/>
    <n v="24300"/>
    <n v="0"/>
    <n v="32"/>
    <n v="29"/>
    <s v="01-Istirahat"/>
    <n v="1"/>
    <n v="0"/>
    <n v="0"/>
    <n v="0"/>
    <x v="3"/>
    <n v="26"/>
    <s v="LinkedIn"/>
    <m/>
    <n v="0"/>
    <s v="20-29"/>
    <s v="0-1 YIL"/>
    <x v="0"/>
  </r>
  <r>
    <s v="PER0092"/>
    <s v="Ömer Yılmaz"/>
    <x v="1"/>
    <d v="1997-10-21T00:00:00"/>
    <n v="29"/>
    <s v="Bekar"/>
    <n v="0"/>
    <s v="Yüksek Lisans"/>
    <x v="0"/>
    <s v="Takım Lideri"/>
    <s v="Senior"/>
    <x v="0"/>
    <s v="Üretim &amp; Operasyon Müdürü"/>
    <x v="0"/>
    <d v="2014-08-04T00:00:00"/>
    <s v="-"/>
    <x v="2"/>
    <s v="-"/>
    <x v="1"/>
    <n v="39500"/>
    <n v="0"/>
    <n v="22"/>
    <n v="30"/>
    <s v="-"/>
    <n v="0"/>
    <n v="9"/>
    <n v="0"/>
    <n v="0"/>
    <x v="0"/>
    <n v="18"/>
    <s v="LinkedIn"/>
    <m/>
    <n v="11"/>
    <s v="20-29"/>
    <s v="10+"/>
    <x v="6"/>
  </r>
  <r>
    <s v="PER0093"/>
    <s v="Can Özdemir"/>
    <x v="1"/>
    <d v="2003-04-20T00:00:00"/>
    <n v="23"/>
    <s v="Bekar"/>
    <n v="0"/>
    <s v="Lisans"/>
    <x v="0"/>
    <s v="Operatör"/>
    <s v="Junior"/>
    <x v="0"/>
    <s v="Üretim &amp; Operasyon Müdürü"/>
    <x v="3"/>
    <d v="2023-05-09T00:00:00"/>
    <s v="-"/>
    <x v="2"/>
    <s v="-"/>
    <x v="1"/>
    <n v="24400"/>
    <n v="0"/>
    <n v="30"/>
    <n v="30"/>
    <s v="-"/>
    <n v="0"/>
    <n v="9"/>
    <n v="0"/>
    <n v="0"/>
    <x v="1"/>
    <n v="14"/>
    <s v="LinkedIn"/>
    <m/>
    <n v="3"/>
    <s v="20-29"/>
    <s v="3-5 YIL"/>
    <x v="9"/>
  </r>
  <r>
    <s v="PER0094"/>
    <s v="Mustafa Aslan"/>
    <x v="1"/>
    <d v="1999-02-18T00:00:00"/>
    <n v="27"/>
    <s v="Bekar"/>
    <n v="0"/>
    <s v="Önlisans"/>
    <x v="0"/>
    <s v="Operatör"/>
    <s v="Junior"/>
    <x v="0"/>
    <s v="Üretim &amp; Operasyon Müdürü"/>
    <x v="2"/>
    <d v="2022-12-25T00:00:00"/>
    <s v="-"/>
    <x v="2"/>
    <s v="-"/>
    <x v="1"/>
    <n v="25400"/>
    <n v="0"/>
    <n v="28"/>
    <n v="29"/>
    <s v="10-Devamsizlik"/>
    <n v="0"/>
    <n v="13"/>
    <n v="0"/>
    <n v="1"/>
    <x v="1"/>
    <n v="5"/>
    <s v="Kariyer.net"/>
    <m/>
    <n v="3"/>
    <s v="20-29"/>
    <s v="3-5 YIL"/>
    <x v="7"/>
  </r>
  <r>
    <s v="PER0095"/>
    <s v="Mustafa Çetin"/>
    <x v="1"/>
    <d v="1988-12-22T00:00:00"/>
    <n v="38"/>
    <s v="Evli"/>
    <n v="1"/>
    <s v="Önlisans"/>
    <x v="0"/>
    <s v="Takım Lideri"/>
    <s v="Senior"/>
    <x v="0"/>
    <s v="Üretim &amp; Operasyon Müdürü"/>
    <x v="0"/>
    <d v="2014-08-05T00:00:00"/>
    <s v="-"/>
    <x v="2"/>
    <s v="-"/>
    <x v="1"/>
    <n v="43100"/>
    <n v="0"/>
    <n v="29"/>
    <n v="27"/>
    <s v="01-Istirahat"/>
    <n v="1"/>
    <n v="5"/>
    <n v="0"/>
    <n v="2"/>
    <x v="1"/>
    <n v="8"/>
    <s v="Kariyer.net"/>
    <m/>
    <n v="11"/>
    <s v="30-39"/>
    <s v="10+"/>
    <x v="6"/>
  </r>
  <r>
    <s v="PER0096"/>
    <s v="Furkan Çelik"/>
    <x v="1"/>
    <d v="2004-03-21T00:00:00"/>
    <n v="22"/>
    <s v="Evli"/>
    <n v="1"/>
    <s v="Önlisans"/>
    <x v="4"/>
    <s v="İK Uzman Yardımcısı"/>
    <s v="Junior"/>
    <x v="1"/>
    <s v="İnsan Kaynakları Müdürü"/>
    <x v="0"/>
    <d v="2024-04-27T00:00:00"/>
    <s v="-"/>
    <x v="2"/>
    <s v="-"/>
    <x v="1"/>
    <n v="37100"/>
    <n v="0"/>
    <n v="0"/>
    <n v="29"/>
    <s v="02-Ucretsiz Izin"/>
    <n v="0"/>
    <n v="3"/>
    <n v="1"/>
    <n v="0"/>
    <x v="4"/>
    <n v="5"/>
    <s v="LinkedIn"/>
    <m/>
    <n v="2"/>
    <s v="20-29"/>
    <s v="1-3 YIL"/>
    <x v="2"/>
  </r>
  <r>
    <s v="PER0097"/>
    <s v="Ali Yılmaz"/>
    <x v="1"/>
    <d v="2004-04-24T00:00:00"/>
    <n v="22"/>
    <s v="Bekar"/>
    <n v="0"/>
    <s v="Önlisans"/>
    <x v="0"/>
    <s v="Operatör"/>
    <s v="Junior"/>
    <x v="0"/>
    <s v="Üretim &amp; Operasyon Müdürü"/>
    <x v="0"/>
    <d v="2024-04-26T00:00:00"/>
    <s v="-"/>
    <x v="2"/>
    <s v="-"/>
    <x v="1"/>
    <n v="25200"/>
    <n v="0"/>
    <n v="39"/>
    <n v="30"/>
    <s v="-"/>
    <n v="0"/>
    <n v="6"/>
    <n v="0"/>
    <n v="0"/>
    <x v="1"/>
    <n v="17"/>
    <s v="Kariyer.net"/>
    <m/>
    <n v="2"/>
    <s v="20-29"/>
    <s v="1-3 YIL"/>
    <x v="2"/>
  </r>
  <r>
    <s v="PER0098"/>
    <s v="Furkan Aslan"/>
    <x v="1"/>
    <d v="2000-02-01T00:00:00"/>
    <n v="26"/>
    <s v="Evli"/>
    <n v="0"/>
    <s v="Yüksek Lisans"/>
    <x v="0"/>
    <s v="Operatör"/>
    <s v="Junior"/>
    <x v="0"/>
    <s v="Üretim &amp; Operasyon Müdürü"/>
    <x v="0"/>
    <d v="2023-05-26T00:00:00"/>
    <s v="-"/>
    <x v="2"/>
    <s v="-"/>
    <x v="1"/>
    <n v="24900"/>
    <n v="0"/>
    <n v="41"/>
    <n v="28"/>
    <s v="01-Istirahat"/>
    <n v="1"/>
    <n v="14"/>
    <n v="1"/>
    <n v="0"/>
    <x v="1"/>
    <n v="13"/>
    <s v="Referans"/>
    <m/>
    <n v="3"/>
    <s v="20-29"/>
    <s v="3-5 YIL"/>
    <x v="9"/>
  </r>
  <r>
    <s v="PER0099"/>
    <s v="Can Arslan"/>
    <x v="1"/>
    <d v="2002-05-12T00:00:00"/>
    <n v="24"/>
    <s v="Bekar"/>
    <n v="0"/>
    <s v="Önlisans"/>
    <x v="0"/>
    <s v="Operatör"/>
    <s v="Junior"/>
    <x v="0"/>
    <s v="Üretim &amp; Operasyon Müdürü"/>
    <x v="4"/>
    <d v="2025-12-22T00:00:00"/>
    <s v="-"/>
    <x v="2"/>
    <s v="-"/>
    <x v="1"/>
    <n v="25000"/>
    <n v="0"/>
    <n v="16"/>
    <n v="28"/>
    <s v="01-Istirahat"/>
    <n v="1"/>
    <n v="0"/>
    <n v="0"/>
    <n v="1"/>
    <x v="1"/>
    <n v="12"/>
    <s v="LinkedIn"/>
    <m/>
    <n v="0"/>
    <s v="20-29"/>
    <s v="0-1 YIL"/>
    <x v="0"/>
  </r>
  <r>
    <s v="PER0100"/>
    <s v="Ahmet Kaya"/>
    <x v="1"/>
    <d v="1990-02-16T00:00:00"/>
    <n v="36"/>
    <s v="Evli"/>
    <n v="1"/>
    <s v="Lisans"/>
    <x v="2"/>
    <s v="Finans Müdürü"/>
    <s v="Manager"/>
    <x v="1"/>
    <s v="Genel Müdür"/>
    <x v="0"/>
    <d v="2012-01-28T00:00:00"/>
    <s v="-"/>
    <x v="2"/>
    <s v="-"/>
    <x v="1"/>
    <n v="110900"/>
    <n v="0"/>
    <n v="9"/>
    <n v="25"/>
    <s v="01-Istirahat"/>
    <n v="5"/>
    <n v="0"/>
    <n v="0"/>
    <n v="0"/>
    <x v="1"/>
    <n v="8"/>
    <s v="Şirket Web Sitesi"/>
    <m/>
    <n v="14"/>
    <s v="30-39"/>
    <s v="10+"/>
    <x v="12"/>
  </r>
  <r>
    <s v="PER0101"/>
    <s v="Mustafa Çetin"/>
    <x v="1"/>
    <d v="1999-09-08T00:00:00"/>
    <n v="27"/>
    <s v="Bekar"/>
    <n v="0"/>
    <s v="Önlisans"/>
    <x v="1"/>
    <s v="Satış Temsilcisi"/>
    <s v="Junior"/>
    <x v="1"/>
    <s v="Satış &amp; Pazarlama Müdürü"/>
    <x v="0"/>
    <d v="2024-04-04T00:00:00"/>
    <s v="-"/>
    <x v="2"/>
    <s v="-"/>
    <x v="1"/>
    <n v="34000"/>
    <n v="0"/>
    <n v="2"/>
    <n v="27"/>
    <s v="01-Istirahat"/>
    <n v="3"/>
    <n v="3"/>
    <n v="0"/>
    <n v="0"/>
    <x v="3"/>
    <n v="18"/>
    <s v="Kariyer.net"/>
    <m/>
    <n v="2"/>
    <s v="20-29"/>
    <s v="1-3 YIL"/>
    <x v="2"/>
  </r>
  <r>
    <s v="PER0102"/>
    <s v="Mehmet Doğan"/>
    <x v="1"/>
    <d v="2001-04-05T00:00:00"/>
    <n v="25"/>
    <s v="Bekar"/>
    <n v="0"/>
    <s v="Yüksek Lisans"/>
    <x v="0"/>
    <s v="Operatör"/>
    <s v="Junior"/>
    <x v="0"/>
    <s v="Üretim &amp; Operasyon Müdürü"/>
    <x v="0"/>
    <d v="2026-03-08T00:00:00"/>
    <s v="-"/>
    <x v="2"/>
    <s v="-"/>
    <x v="1"/>
    <n v="24700"/>
    <n v="0"/>
    <n v="27"/>
    <n v="30"/>
    <s v="-"/>
    <n v="0"/>
    <n v="0"/>
    <n v="0"/>
    <n v="0"/>
    <x v="1"/>
    <n v="4"/>
    <s v="Kariyer.net"/>
    <m/>
    <n v="0"/>
    <s v="20-29"/>
    <s v="0-1 YIL"/>
    <x v="3"/>
  </r>
  <r>
    <s v="PER0103"/>
    <s v="Serkan Aydın"/>
    <x v="1"/>
    <d v="1994-06-14T00:00:00"/>
    <n v="32"/>
    <s v="Evli"/>
    <n v="1"/>
    <s v="Önlisans"/>
    <x v="1"/>
    <s v="Kıdemli Satış Uzmanı"/>
    <s v="Senior"/>
    <x v="1"/>
    <s v="Satış &amp; Pazarlama Müdürü"/>
    <x v="0"/>
    <d v="2019-09-29T00:00:00"/>
    <s v="-"/>
    <x v="2"/>
    <s v="-"/>
    <x v="1"/>
    <n v="53500"/>
    <n v="15200"/>
    <n v="0"/>
    <n v="27"/>
    <s v="02-Ucretsiz Izin"/>
    <n v="0"/>
    <n v="4"/>
    <n v="3"/>
    <n v="0"/>
    <x v="1"/>
    <n v="3"/>
    <s v="LinkedIn"/>
    <m/>
    <n v="6"/>
    <s v="30-39"/>
    <s v="5-10 YIL"/>
    <x v="11"/>
  </r>
  <r>
    <s v="PER0104"/>
    <s v="Hüseyin Doğan"/>
    <x v="1"/>
    <d v="1987-12-09T00:00:00"/>
    <n v="39"/>
    <s v="Evli"/>
    <n v="0"/>
    <s v="Lisans"/>
    <x v="1"/>
    <s v="Satış Müdürü"/>
    <s v="Manager"/>
    <x v="1"/>
    <s v="Genel Müdür"/>
    <x v="0"/>
    <d v="2019-01-19T00:00:00"/>
    <s v="-"/>
    <x v="2"/>
    <s v="-"/>
    <x v="1"/>
    <n v="106400"/>
    <n v="23200"/>
    <n v="3"/>
    <n v="30"/>
    <s v="-"/>
    <n v="0"/>
    <n v="5"/>
    <n v="0"/>
    <n v="0"/>
    <x v="3"/>
    <n v="39"/>
    <s v="Kariyer.net"/>
    <m/>
    <n v="7"/>
    <s v="30-39"/>
    <s v="5-10 YIL"/>
    <x v="11"/>
  </r>
  <r>
    <s v="PER0105"/>
    <s v="Hilal Aydın"/>
    <x v="0"/>
    <d v="2002-07-16T00:00:00"/>
    <n v="24"/>
    <s v="Evli"/>
    <n v="2"/>
    <s v="Lisans"/>
    <x v="1"/>
    <s v="Satış Temsilcisi"/>
    <s v="Junior"/>
    <x v="1"/>
    <s v="Satış &amp; Pazarlama Müdürü"/>
    <x v="3"/>
    <d v="2026-01-02T00:00:00"/>
    <s v="-"/>
    <x v="2"/>
    <s v="-"/>
    <x v="1"/>
    <n v="35800"/>
    <n v="0"/>
    <n v="4"/>
    <n v="29"/>
    <s v="01-Istirahat"/>
    <n v="1"/>
    <n v="0"/>
    <n v="0"/>
    <n v="0"/>
    <x v="1"/>
    <n v="16"/>
    <s v="LinkedIn"/>
    <m/>
    <n v="0"/>
    <s v="20-29"/>
    <s v="0-1 YIL"/>
    <x v="3"/>
  </r>
  <r>
    <s v="PER0106"/>
    <s v="Gökhan Yılmaz"/>
    <x v="1"/>
    <d v="1993-03-25T00:00:00"/>
    <n v="33"/>
    <s v="Bekar"/>
    <n v="0"/>
    <s v="Lisans"/>
    <x v="1"/>
    <s v="Kıdemli Satış Uzmanı"/>
    <s v="Senior"/>
    <x v="1"/>
    <s v="Satış &amp; Pazarlama Müdürü"/>
    <x v="2"/>
    <d v="2019-02-05T00:00:00"/>
    <s v="-"/>
    <x v="2"/>
    <s v="-"/>
    <x v="1"/>
    <n v="60600"/>
    <n v="19700"/>
    <n v="0"/>
    <n v="29"/>
    <s v="01-Istirahat"/>
    <n v="1"/>
    <n v="1"/>
    <n v="0"/>
    <n v="0"/>
    <x v="1"/>
    <n v="7"/>
    <s v="Kariyer.net"/>
    <m/>
    <n v="7"/>
    <s v="30-39"/>
    <s v="5-10 YIL"/>
    <x v="11"/>
  </r>
  <r>
    <s v="PER0107"/>
    <s v="Serkan Kaya"/>
    <x v="1"/>
    <d v="1978-04-17T00:00:00"/>
    <n v="48"/>
    <s v="Evli"/>
    <n v="1"/>
    <s v="Yüksek Lisans"/>
    <x v="0"/>
    <s v="Üretim Müdürü"/>
    <s v="Manager"/>
    <x v="1"/>
    <s v="Genel Müdür"/>
    <x v="0"/>
    <d v="2010-08-25T00:00:00"/>
    <s v="-"/>
    <x v="2"/>
    <s v="-"/>
    <x v="1"/>
    <n v="90800"/>
    <n v="0"/>
    <n v="5"/>
    <n v="30"/>
    <s v="-"/>
    <n v="0"/>
    <n v="2"/>
    <n v="0"/>
    <n v="0"/>
    <x v="2"/>
    <n v="14"/>
    <s v="Referans"/>
    <m/>
    <n v="15"/>
    <s v="40-49"/>
    <s v="10+"/>
    <x v="16"/>
  </r>
  <r>
    <s v="PER0108"/>
    <s v="Mustafa Aslan"/>
    <x v="1"/>
    <d v="1998-08-06T00:00:00"/>
    <n v="28"/>
    <s v="Bekar"/>
    <n v="0"/>
    <s v="Lisans"/>
    <x v="4"/>
    <s v="İK Uzman Yardımcısı"/>
    <s v="Junior"/>
    <x v="1"/>
    <s v="İnsan Kaynakları Müdürü"/>
    <x v="0"/>
    <d v="2022-07-20T00:00:00"/>
    <s v="-"/>
    <x v="2"/>
    <s v="-"/>
    <x v="1"/>
    <n v="33100"/>
    <n v="0"/>
    <n v="3"/>
    <n v="30"/>
    <s v="-"/>
    <n v="0"/>
    <n v="2"/>
    <n v="0"/>
    <n v="0"/>
    <x v="1"/>
    <n v="15"/>
    <s v="Kariyer.net"/>
    <m/>
    <n v="3"/>
    <s v="20-29"/>
    <s v="3-5 YIL"/>
    <x v="7"/>
  </r>
  <r>
    <s v="PER0109"/>
    <s v="Aslan Kılıç"/>
    <x v="0"/>
    <d v="1998-01-16T00:00:00"/>
    <n v="28"/>
    <s v="Bekar"/>
    <n v="0"/>
    <s v="Lisans"/>
    <x v="2"/>
    <s v="Muhasebe Elemanı"/>
    <s v="Junior"/>
    <x v="1"/>
    <s v="Finans &amp; Muhasebe Müdürü"/>
    <x v="2"/>
    <d v="2022-12-26T00:00:00"/>
    <s v="-"/>
    <x v="2"/>
    <s v="-"/>
    <x v="1"/>
    <n v="35100"/>
    <n v="0"/>
    <n v="4"/>
    <n v="30"/>
    <s v="-"/>
    <n v="0"/>
    <n v="2"/>
    <n v="0"/>
    <n v="0"/>
    <x v="1"/>
    <n v="10"/>
    <s v="Şirket Web Sitesi"/>
    <m/>
    <n v="3"/>
    <s v="20-29"/>
    <s v="3-5 YIL"/>
    <x v="7"/>
  </r>
  <r>
    <s v="PER0110"/>
    <s v="Ahmet Kaya"/>
    <x v="1"/>
    <d v="2001-09-19T00:00:00"/>
    <n v="25"/>
    <s v="Bekar"/>
    <n v="0"/>
    <s v="Lisans"/>
    <x v="0"/>
    <s v="Operatör"/>
    <s v="Junior"/>
    <x v="0"/>
    <s v="Üretim &amp; Operasyon Müdürü"/>
    <x v="0"/>
    <d v="2025-05-06T00:00:00"/>
    <s v="-"/>
    <x v="2"/>
    <s v="-"/>
    <x v="1"/>
    <n v="24600"/>
    <n v="0"/>
    <n v="30"/>
    <n v="30"/>
    <s v="-"/>
    <n v="0"/>
    <n v="12"/>
    <n v="0"/>
    <n v="0"/>
    <x v="1"/>
    <n v="5"/>
    <s v="Kariyer.net"/>
    <m/>
    <n v="1"/>
    <s v="20-29"/>
    <s v="1-3 YIL"/>
    <x v="0"/>
  </r>
  <r>
    <s v="PER0111"/>
    <s v="Burak Kılıç"/>
    <x v="1"/>
    <d v="1999-09-18T00:00:00"/>
    <n v="27"/>
    <s v="Bekar"/>
    <n v="0"/>
    <s v="Lisans"/>
    <x v="0"/>
    <s v="Operatör"/>
    <s v="Junior"/>
    <x v="0"/>
    <s v="Üretim &amp; Operasyon Müdürü"/>
    <x v="4"/>
    <d v="2025-04-01T00:00:00"/>
    <s v="-"/>
    <x v="2"/>
    <s v="-"/>
    <x v="1"/>
    <n v="24000"/>
    <n v="0"/>
    <n v="17"/>
    <n v="30"/>
    <s v="-"/>
    <n v="0"/>
    <n v="8"/>
    <n v="0"/>
    <n v="0"/>
    <x v="1"/>
    <n v="9"/>
    <s v="Kariyer.net"/>
    <m/>
    <n v="1"/>
    <s v="20-29"/>
    <s v="1-3 YIL"/>
    <x v="0"/>
  </r>
  <r>
    <s v="PER0112"/>
    <s v="Mustafa Aydın"/>
    <x v="1"/>
    <d v="1991-07-21T00:00:00"/>
    <n v="35"/>
    <s v="Evli"/>
    <n v="1"/>
    <s v="Yüksek Lisans"/>
    <x v="4"/>
    <s v="İK Müdürü"/>
    <s v="Manager"/>
    <x v="1"/>
    <s v="Genel Müdür"/>
    <x v="0"/>
    <d v="2011-09-30T00:00:00"/>
    <s v="-"/>
    <x v="2"/>
    <s v="-"/>
    <x v="1"/>
    <n v="105300"/>
    <n v="8400"/>
    <n v="8"/>
    <n v="28"/>
    <s v="01-Istirahat"/>
    <n v="2"/>
    <n v="0"/>
    <n v="0"/>
    <n v="0"/>
    <x v="4"/>
    <n v="8"/>
    <s v="Kariyer.net"/>
    <m/>
    <n v="14"/>
    <s v="30-39"/>
    <s v="10+"/>
    <x v="18"/>
  </r>
  <r>
    <s v="PER0113"/>
    <s v="İrem Çetin"/>
    <x v="0"/>
    <d v="2001-08-21T00:00:00"/>
    <n v="25"/>
    <s v="Bekar"/>
    <n v="0"/>
    <s v="Önlisans"/>
    <x v="0"/>
    <s v="Operatör"/>
    <s v="Junior"/>
    <x v="0"/>
    <s v="Üretim &amp; Operasyon Müdürü"/>
    <x v="0"/>
    <d v="2023-02-13T00:00:00"/>
    <s v="-"/>
    <x v="2"/>
    <s v="-"/>
    <x v="1"/>
    <n v="25300"/>
    <n v="0"/>
    <n v="35"/>
    <n v="25"/>
    <s v="01-Istirahat"/>
    <n v="5"/>
    <n v="7"/>
    <n v="0"/>
    <n v="0"/>
    <x v="0"/>
    <n v="14"/>
    <s v="Referans"/>
    <m/>
    <n v="3"/>
    <s v="20-29"/>
    <s v="3-5 YIL"/>
    <x v="9"/>
  </r>
  <r>
    <s v="PER0114"/>
    <s v="Aslan Kaya"/>
    <x v="0"/>
    <d v="1991-01-01T00:00:00"/>
    <n v="35"/>
    <s v="Evli"/>
    <n v="1"/>
    <s v="Yüksek Lisans"/>
    <x v="3"/>
    <s v="Kıdemli Yazılım Uzmanı"/>
    <s v="Senior"/>
    <x v="1"/>
    <s v="Bilgi Teknolojileri Müdürü"/>
    <x v="2"/>
    <d v="2019-07-05T00:00:00"/>
    <s v="-"/>
    <x v="2"/>
    <s v="-"/>
    <x v="1"/>
    <n v="76600"/>
    <n v="0"/>
    <n v="8"/>
    <n v="30"/>
    <s v="-"/>
    <n v="0"/>
    <n v="12"/>
    <n v="0"/>
    <n v="0"/>
    <x v="0"/>
    <n v="19"/>
    <s v="LinkedIn"/>
    <m/>
    <n v="6"/>
    <s v="30-39"/>
    <s v="5-10 YIL"/>
    <x v="11"/>
  </r>
  <r>
    <s v="PER0115"/>
    <s v="Fatma Kılıç"/>
    <x v="0"/>
    <d v="1990-09-12T00:00:00"/>
    <n v="36"/>
    <s v="Evli"/>
    <n v="1"/>
    <s v="Lisans"/>
    <x v="4"/>
    <s v="İK Müdürü"/>
    <s v="Manager"/>
    <x v="1"/>
    <s v="Genel Müdür"/>
    <x v="0"/>
    <d v="2020-10-09T00:00:00"/>
    <s v="-"/>
    <x v="2"/>
    <s v="-"/>
    <x v="1"/>
    <n v="106500"/>
    <n v="0"/>
    <n v="0"/>
    <n v="30"/>
    <s v="-"/>
    <n v="0"/>
    <n v="7"/>
    <n v="0"/>
    <n v="0"/>
    <x v="1"/>
    <n v="12"/>
    <s v="Kariyer.net"/>
    <m/>
    <n v="5"/>
    <s v="30-39"/>
    <s v="5-10 YIL"/>
    <x v="5"/>
  </r>
  <r>
    <s v="PER0116"/>
    <s v="Emre Özdemir"/>
    <x v="1"/>
    <d v="1977-07-08T00:00:00"/>
    <n v="49"/>
    <s v="Evli"/>
    <n v="2"/>
    <s v="Lisans"/>
    <x v="4"/>
    <s v="İK Müdürü"/>
    <s v="Manager"/>
    <x v="1"/>
    <s v="Genel Müdür"/>
    <x v="4"/>
    <d v="2013-03-18T00:00:00"/>
    <s v="-"/>
    <x v="2"/>
    <s v="-"/>
    <x v="1"/>
    <n v="102400"/>
    <n v="0"/>
    <n v="0"/>
    <n v="30"/>
    <s v="-"/>
    <n v="0"/>
    <n v="11"/>
    <n v="0"/>
    <n v="0"/>
    <x v="1"/>
    <n v="5"/>
    <s v="LinkedIn"/>
    <m/>
    <n v="13"/>
    <s v="40-49"/>
    <s v="10+"/>
    <x v="10"/>
  </r>
  <r>
    <s v="PER0117"/>
    <s v="Hüseyin Çelik"/>
    <x v="1"/>
    <d v="1988-01-06T00:00:00"/>
    <n v="38"/>
    <s v="Evli"/>
    <n v="1"/>
    <s v="Lisans"/>
    <x v="0"/>
    <s v="Takım Lideri"/>
    <s v="Senior"/>
    <x v="0"/>
    <s v="Üretim &amp; Operasyon Müdürü"/>
    <x v="0"/>
    <d v="2023-03-30T00:00:00"/>
    <s v="-"/>
    <x v="2"/>
    <s v="-"/>
    <x v="1"/>
    <n v="40900"/>
    <n v="0"/>
    <n v="21"/>
    <n v="30"/>
    <s v="-"/>
    <n v="0"/>
    <n v="0"/>
    <n v="0"/>
    <n v="0"/>
    <x v="1"/>
    <n v="4"/>
    <s v="Danışmanlık Firması"/>
    <m/>
    <n v="3"/>
    <s v="30-39"/>
    <s v="3-5 YIL"/>
    <x v="9"/>
  </r>
  <r>
    <s v="PER0118"/>
    <s v="İrem Çetin"/>
    <x v="0"/>
    <d v="1989-10-05T00:00:00"/>
    <n v="37"/>
    <s v="Evli"/>
    <n v="1"/>
    <s v="Lisans"/>
    <x v="1"/>
    <s v="Kıdemli Satış Uzmanı"/>
    <s v="Senior"/>
    <x v="1"/>
    <s v="Satış &amp; Pazarlama Müdürü"/>
    <x v="0"/>
    <d v="2018-12-14T00:00:00"/>
    <s v="-"/>
    <x v="2"/>
    <s v="-"/>
    <x v="1"/>
    <n v="57500"/>
    <n v="12100"/>
    <n v="0"/>
    <n v="20"/>
    <s v="01-Istirahat"/>
    <n v="10"/>
    <n v="14"/>
    <n v="0"/>
    <n v="0"/>
    <x v="4"/>
    <n v="18"/>
    <s v="Kariyer.net"/>
    <m/>
    <n v="7"/>
    <s v="30-39"/>
    <s v="5-10 YIL"/>
    <x v="1"/>
  </r>
  <r>
    <s v="PER0119"/>
    <s v="Aslan Şahin"/>
    <x v="0"/>
    <d v="1989-03-26T00:00:00"/>
    <n v="37"/>
    <s v="Evli"/>
    <n v="1"/>
    <s v="Lisans"/>
    <x v="4"/>
    <s v="İK Uzmanı"/>
    <s v="Senior"/>
    <x v="1"/>
    <s v="İnsan Kaynakları Müdürü"/>
    <x v="4"/>
    <d v="2021-06-25T00:00:00"/>
    <s v="-"/>
    <x v="2"/>
    <s v="-"/>
    <x v="1"/>
    <n v="52200"/>
    <n v="0"/>
    <n v="2"/>
    <n v="30"/>
    <s v="-"/>
    <n v="0"/>
    <n v="12"/>
    <n v="0"/>
    <n v="0"/>
    <x v="1"/>
    <n v="16"/>
    <s v="Referans"/>
    <m/>
    <n v="5"/>
    <s v="30-39"/>
    <s v="5-10 YIL"/>
    <x v="14"/>
  </r>
  <r>
    <s v="PER0120"/>
    <s v="Selin Yılmaz"/>
    <x v="0"/>
    <d v="1992-08-05T00:00:00"/>
    <n v="34"/>
    <s v="Bekar"/>
    <n v="0"/>
    <s v="Lisans"/>
    <x v="1"/>
    <s v="Kıdemli Satış Uzmanı"/>
    <s v="Senior"/>
    <x v="1"/>
    <s v="Satış &amp; Pazarlama Müdürü"/>
    <x v="0"/>
    <d v="2019-01-08T00:00:00"/>
    <s v="-"/>
    <x v="2"/>
    <s v="-"/>
    <x v="1"/>
    <n v="62200"/>
    <n v="8300"/>
    <n v="1"/>
    <n v="29"/>
    <s v="01-Istirahat"/>
    <n v="1"/>
    <n v="11"/>
    <n v="0"/>
    <n v="0"/>
    <x v="0"/>
    <n v="12"/>
    <s v="Kariyer.net"/>
    <m/>
    <n v="7"/>
    <s v="30-39"/>
    <s v="5-10 YIL"/>
    <x v="11"/>
  </r>
  <r>
    <s v="PER0121"/>
    <s v="Ayşe Çelik"/>
    <x v="0"/>
    <d v="2001-06-23T00:00:00"/>
    <n v="25"/>
    <s v="Evli"/>
    <n v="0"/>
    <s v="Yüksek Lisans"/>
    <x v="0"/>
    <s v="Operatör"/>
    <s v="Junior"/>
    <x v="0"/>
    <s v="Üretim &amp; Operasyon Müdürü"/>
    <x v="1"/>
    <d v="2022-09-25T00:00:00"/>
    <s v="-"/>
    <x v="2"/>
    <s v="-"/>
    <x v="1"/>
    <n v="26400"/>
    <n v="0"/>
    <n v="33"/>
    <n v="30"/>
    <s v="-"/>
    <n v="0"/>
    <n v="8"/>
    <n v="0"/>
    <n v="0"/>
    <x v="1"/>
    <n v="15"/>
    <s v="Kariyer.net"/>
    <m/>
    <n v="3"/>
    <s v="20-29"/>
    <s v="3-5 YIL"/>
    <x v="7"/>
  </r>
  <r>
    <s v="PER0122"/>
    <s v="Hüseyin Kara"/>
    <x v="1"/>
    <d v="2004-01-08T00:00:00"/>
    <n v="22"/>
    <s v="Evli"/>
    <n v="2"/>
    <s v="Lisans"/>
    <x v="3"/>
    <s v="Yazılım Uzman Yardımcısı"/>
    <s v="Junior"/>
    <x v="1"/>
    <s v="Bilgi Teknolojileri Müdürü"/>
    <x v="1"/>
    <d v="2026-01-05T00:00:00"/>
    <s v="-"/>
    <x v="2"/>
    <s v="-"/>
    <x v="1"/>
    <n v="43000"/>
    <n v="0"/>
    <n v="6"/>
    <n v="30"/>
    <s v="-"/>
    <n v="0"/>
    <n v="0"/>
    <n v="0"/>
    <n v="0"/>
    <x v="1"/>
    <n v="12"/>
    <s v="Şirket Web Sitesi"/>
    <m/>
    <n v="0"/>
    <s v="20-29"/>
    <s v="0-1 YIL"/>
    <x v="3"/>
  </r>
  <r>
    <s v="PER0123"/>
    <s v="Hasan Şahin"/>
    <x v="1"/>
    <d v="2002-08-26T00:00:00"/>
    <n v="24"/>
    <s v="Evli"/>
    <n v="2"/>
    <s v="Lisans"/>
    <x v="2"/>
    <s v="Muhasebe Elemanı"/>
    <s v="Junior"/>
    <x v="1"/>
    <s v="Finans &amp; Muhasebe Müdürü"/>
    <x v="0"/>
    <d v="2025-02-08T00:00:00"/>
    <s v="-"/>
    <x v="2"/>
    <s v="-"/>
    <x v="1"/>
    <n v="33300"/>
    <n v="0"/>
    <n v="4"/>
    <n v="29"/>
    <s v="01-Istirahat"/>
    <n v="1"/>
    <n v="7"/>
    <n v="0"/>
    <n v="0"/>
    <x v="3"/>
    <n v="39"/>
    <s v="Kariyer.net"/>
    <m/>
    <n v="1"/>
    <s v="20-29"/>
    <s v="1-3 YIL"/>
    <x v="0"/>
  </r>
  <r>
    <s v="PER0124"/>
    <s v="Mustafa Demir"/>
    <x v="1"/>
    <d v="1993-08-03T00:00:00"/>
    <n v="33"/>
    <s v="Bekar"/>
    <n v="0"/>
    <s v="Önlisans"/>
    <x v="3"/>
    <s v="Kıdemli Yazılım Uzmanı"/>
    <s v="Senior"/>
    <x v="1"/>
    <s v="Bilgi Teknolojileri Müdürü"/>
    <x v="0"/>
    <d v="2020-11-25T00:00:00"/>
    <s v="-"/>
    <x v="2"/>
    <s v="-"/>
    <x v="1"/>
    <n v="81700"/>
    <n v="0"/>
    <n v="5"/>
    <n v="30"/>
    <s v="-"/>
    <n v="0"/>
    <n v="6"/>
    <n v="0"/>
    <n v="0"/>
    <x v="3"/>
    <n v="39"/>
    <s v="Kariyer.net"/>
    <m/>
    <n v="5"/>
    <s v="30-39"/>
    <s v="5-10 YIL"/>
    <x v="5"/>
  </r>
  <r>
    <s v="PER0125"/>
    <s v="Elif Arslan"/>
    <x v="0"/>
    <d v="1969-06-07T00:00:00"/>
    <n v="57"/>
    <s v="Evli"/>
    <n v="0"/>
    <s v="Lisans"/>
    <x v="1"/>
    <s v="Satış Müdürü"/>
    <s v="Manager"/>
    <x v="1"/>
    <s v="Genel Müdür"/>
    <x v="0"/>
    <d v="2011-04-10T00:00:00"/>
    <s v="-"/>
    <x v="2"/>
    <s v="-"/>
    <x v="1"/>
    <n v="111300"/>
    <n v="0"/>
    <n v="2"/>
    <n v="30"/>
    <s v="-"/>
    <n v="0"/>
    <n v="5"/>
    <n v="0"/>
    <n v="0"/>
    <x v="4"/>
    <n v="11"/>
    <s v="Kariyer.net"/>
    <m/>
    <n v="15"/>
    <s v="50+"/>
    <s v="10+"/>
    <x v="18"/>
  </r>
  <r>
    <s v="PER0126"/>
    <s v="Mustafa Çelik"/>
    <x v="1"/>
    <d v="1970-11-23T00:00:00"/>
    <n v="56"/>
    <s v="Bekar"/>
    <n v="0"/>
    <s v="Lisans"/>
    <x v="4"/>
    <s v="İK Müdürü"/>
    <s v="Manager"/>
    <x v="1"/>
    <s v="Genel Müdür"/>
    <x v="4"/>
    <d v="2017-09-10T00:00:00"/>
    <s v="-"/>
    <x v="2"/>
    <s v="-"/>
    <x v="1"/>
    <n v="104900"/>
    <n v="0"/>
    <n v="1"/>
    <n v="29"/>
    <s v="01-Istirahat"/>
    <n v="1"/>
    <n v="0"/>
    <n v="0"/>
    <n v="0"/>
    <x v="1"/>
    <n v="18"/>
    <s v="Kariyer.net"/>
    <m/>
    <n v="8"/>
    <s v="50+"/>
    <s v="5-10 YIL"/>
    <x v="4"/>
  </r>
  <r>
    <s v="PER0127"/>
    <s v="Büşra Yıldız"/>
    <x v="0"/>
    <d v="1988-01-11T00:00:00"/>
    <n v="38"/>
    <s v="Bekar"/>
    <n v="0"/>
    <s v="Lisans"/>
    <x v="0"/>
    <s v="Takım Lideri"/>
    <s v="Senior"/>
    <x v="0"/>
    <s v="Üretim &amp; Operasyon Müdürü"/>
    <x v="0"/>
    <d v="2015-01-06T00:00:00"/>
    <s v="-"/>
    <x v="2"/>
    <s v="-"/>
    <x v="1"/>
    <n v="44900"/>
    <n v="0"/>
    <n v="13"/>
    <n v="29"/>
    <s v="01-Istirahat"/>
    <n v="1"/>
    <n v="12"/>
    <n v="0"/>
    <n v="0"/>
    <x v="1"/>
    <n v="13"/>
    <s v="Kariyer.net"/>
    <m/>
    <n v="11"/>
    <s v="30-39"/>
    <s v="10+"/>
    <x v="8"/>
  </r>
  <r>
    <s v="PER0128"/>
    <s v="Fatma Arslan"/>
    <x v="0"/>
    <d v="2002-05-01T00:00:00"/>
    <n v="24"/>
    <s v="Evli"/>
    <n v="3"/>
    <s v="Yüksek Lisans"/>
    <x v="0"/>
    <s v="Operatör"/>
    <s v="Junior"/>
    <x v="0"/>
    <s v="Üretim &amp; Operasyon Müdürü"/>
    <x v="2"/>
    <d v="2026-05-08T00:00:00"/>
    <s v="-"/>
    <x v="2"/>
    <s v="-"/>
    <x v="1"/>
    <n v="27300"/>
    <n v="0"/>
    <n v="39"/>
    <n v="30"/>
    <s v="-"/>
    <n v="0"/>
    <n v="0"/>
    <n v="0"/>
    <n v="0"/>
    <x v="2"/>
    <n v="28"/>
    <s v="Kariyer.net"/>
    <m/>
    <n v="0"/>
    <s v="20-29"/>
    <s v="0-1 YIL"/>
    <x v="3"/>
  </r>
  <r>
    <s v="PER0129"/>
    <s v="Gökhan Özdemir"/>
    <x v="1"/>
    <d v="1979-05-13T00:00:00"/>
    <n v="47"/>
    <s v="Evli"/>
    <n v="0"/>
    <s v="Lisans"/>
    <x v="3"/>
    <s v="BT Müdürü"/>
    <s v="Manager"/>
    <x v="1"/>
    <s v="Genel Müdür"/>
    <x v="4"/>
    <d v="2020-02-22T00:00:00"/>
    <s v="-"/>
    <x v="2"/>
    <s v="-"/>
    <x v="1"/>
    <n v="119100"/>
    <n v="0"/>
    <n v="7"/>
    <n v="30"/>
    <s v="-"/>
    <n v="0"/>
    <n v="6"/>
    <n v="0"/>
    <n v="0"/>
    <x v="1"/>
    <n v="3"/>
    <s v="Kariyer.net"/>
    <m/>
    <n v="6"/>
    <s v="40-49"/>
    <s v="5-10 YIL"/>
    <x v="5"/>
  </r>
  <r>
    <s v="PER0130"/>
    <s v="Mustafa Kaya"/>
    <x v="1"/>
    <d v="1998-05-11T00:00:00"/>
    <n v="28"/>
    <s v="Bekar"/>
    <n v="0"/>
    <s v="Doktora"/>
    <x v="1"/>
    <s v="Kıdemli Satış Uzmanı"/>
    <s v="Senior"/>
    <x v="1"/>
    <s v="Satış &amp; Pazarlama Müdürü"/>
    <x v="0"/>
    <d v="2019-10-18T00:00:00"/>
    <s v="-"/>
    <x v="2"/>
    <s v="-"/>
    <x v="1"/>
    <n v="61300"/>
    <n v="18100"/>
    <n v="4"/>
    <n v="29"/>
    <s v="01-Istirahat"/>
    <n v="1"/>
    <n v="5"/>
    <n v="0"/>
    <n v="0"/>
    <x v="1"/>
    <n v="18"/>
    <s v="LinkedIn"/>
    <m/>
    <n v="6"/>
    <s v="20-29"/>
    <s v="5-10 YIL"/>
    <x v="11"/>
  </r>
  <r>
    <s v="PER0131"/>
    <s v="Ecem Demir"/>
    <x v="0"/>
    <d v="1986-04-23T00:00:00"/>
    <n v="40"/>
    <s v="Evli"/>
    <n v="1"/>
    <s v="Lisans"/>
    <x v="0"/>
    <s v="Üretim Müdürü"/>
    <s v="Manager"/>
    <x v="1"/>
    <s v="Genel Müdür"/>
    <x v="0"/>
    <d v="2020-12-27T00:00:00"/>
    <s v="-"/>
    <x v="2"/>
    <s v="-"/>
    <x v="1"/>
    <n v="94400"/>
    <n v="0"/>
    <n v="9"/>
    <n v="28"/>
    <s v="01-Istirahat"/>
    <n v="2"/>
    <n v="9"/>
    <n v="0"/>
    <n v="0"/>
    <x v="3"/>
    <n v="20"/>
    <s v="LinkedIn"/>
    <m/>
    <n v="5"/>
    <s v="40-49"/>
    <s v="5-10 YIL"/>
    <x v="5"/>
  </r>
  <r>
    <s v="PER0132"/>
    <s v="Merve Özdemir"/>
    <x v="0"/>
    <d v="2002-04-13T00:00:00"/>
    <n v="24"/>
    <s v="Bekar"/>
    <n v="0"/>
    <s v="Lisans"/>
    <x v="0"/>
    <s v="Operatör"/>
    <s v="Junior"/>
    <x v="0"/>
    <s v="Üretim &amp; Operasyon Müdürü"/>
    <x v="0"/>
    <d v="2026-01-17T00:00:00"/>
    <s v="-"/>
    <x v="2"/>
    <s v="-"/>
    <x v="1"/>
    <n v="26500"/>
    <n v="0"/>
    <n v="17"/>
    <n v="29"/>
    <s v="01-Istirahat"/>
    <n v="1"/>
    <n v="0"/>
    <n v="0"/>
    <n v="0"/>
    <x v="1"/>
    <n v="5"/>
    <s v="Şirket Web Sitesi"/>
    <m/>
    <n v="0"/>
    <s v="20-29"/>
    <s v="0-1 YIL"/>
    <x v="3"/>
  </r>
  <r>
    <s v="PER0133"/>
    <s v="Volkan Kaya"/>
    <x v="1"/>
    <d v="1991-07-05T00:00:00"/>
    <n v="35"/>
    <s v="Bekar"/>
    <n v="0"/>
    <s v="Lisans"/>
    <x v="1"/>
    <s v="Kıdemli Satış Uzmanı"/>
    <s v="Senior"/>
    <x v="1"/>
    <s v="Satış &amp; Pazarlama Müdürü"/>
    <x v="0"/>
    <d v="2014-07-25T00:00:00"/>
    <d v="2023-12-17T00:00:00"/>
    <x v="3"/>
    <n v="17"/>
    <x v="0"/>
    <n v="53100"/>
    <n v="10200"/>
    <n v="3"/>
    <n v="30"/>
    <s v="-"/>
    <n v="0"/>
    <n v="8"/>
    <n v="0"/>
    <n v="0"/>
    <x v="3"/>
    <n v="24"/>
    <s v="LinkedIn"/>
    <m/>
    <n v="11"/>
    <s v="30-39"/>
    <s v="10+"/>
    <x v="6"/>
  </r>
  <r>
    <s v="PER0134"/>
    <s v="Ömer Aydın"/>
    <x v="1"/>
    <d v="1986-06-25T00:00:00"/>
    <n v="40"/>
    <s v="Bekar"/>
    <n v="0"/>
    <s v="Lisans"/>
    <x v="1"/>
    <s v="Satış Müdürü"/>
    <s v="Manager"/>
    <x v="1"/>
    <s v="Genel Müdür"/>
    <x v="2"/>
    <d v="2014-04-15T00:00:00"/>
    <s v="-"/>
    <x v="2"/>
    <s v="-"/>
    <x v="1"/>
    <n v="114200"/>
    <n v="31100"/>
    <n v="3"/>
    <n v="30"/>
    <s v="-"/>
    <n v="0"/>
    <n v="5"/>
    <n v="0"/>
    <n v="0"/>
    <x v="1"/>
    <n v="7"/>
    <s v="Kariyer.net"/>
    <m/>
    <n v="12"/>
    <s v="40-49"/>
    <s v="10+"/>
    <x v="6"/>
  </r>
  <r>
    <s v="PER0135"/>
    <s v="Selin Arslan"/>
    <x v="0"/>
    <d v="1989-06-08T00:00:00"/>
    <n v="37"/>
    <s v="Bekar"/>
    <n v="0"/>
    <s v="Önlisans"/>
    <x v="1"/>
    <s v="Kıdemli Satış Uzmanı"/>
    <s v="Senior"/>
    <x v="1"/>
    <s v="Satış &amp; Pazarlama Müdürü"/>
    <x v="0"/>
    <d v="2020-10-09T00:00:00"/>
    <s v="-"/>
    <x v="2"/>
    <s v="-"/>
    <x v="1"/>
    <n v="53800"/>
    <n v="18800"/>
    <n v="3"/>
    <n v="29"/>
    <s v="01-Istirahat"/>
    <n v="1"/>
    <n v="3"/>
    <n v="0"/>
    <n v="0"/>
    <x v="2"/>
    <n v="27"/>
    <s v="Kariyer.net"/>
    <m/>
    <n v="5"/>
    <s v="30-39"/>
    <s v="5-10 YIL"/>
    <x v="5"/>
  </r>
  <r>
    <s v="PER0136"/>
    <s v="Hasan Özdemir"/>
    <x v="1"/>
    <d v="1999-12-19T00:00:00"/>
    <n v="27"/>
    <s v="Evli"/>
    <n v="1"/>
    <s v="Yüksek Lisans"/>
    <x v="0"/>
    <s v="Operatör"/>
    <s v="Junior"/>
    <x v="0"/>
    <s v="Üretim &amp; Operasyon Müdürü"/>
    <x v="0"/>
    <d v="2022-08-21T00:00:00"/>
    <d v="2026-04-08T00:00:00"/>
    <x v="3"/>
    <n v="17"/>
    <x v="0"/>
    <n v="26400"/>
    <n v="0"/>
    <n v="11"/>
    <n v="25"/>
    <s v="01-Istirahat"/>
    <n v="5"/>
    <n v="9"/>
    <n v="0"/>
    <n v="0"/>
    <x v="1"/>
    <n v="16"/>
    <s v="LinkedIn"/>
    <m/>
    <n v="3"/>
    <s v="20-29"/>
    <s v="3-5 YIL"/>
    <x v="7"/>
  </r>
  <r>
    <s v="PER0137"/>
    <s v="Ahmet Doğan"/>
    <x v="1"/>
    <d v="1995-12-10T00:00:00"/>
    <n v="31"/>
    <s v="Bekar"/>
    <n v="0"/>
    <s v="Lisans"/>
    <x v="0"/>
    <s v="Takım Lideri"/>
    <s v="Senior"/>
    <x v="0"/>
    <s v="Üretim &amp; Operasyon Müdürü"/>
    <x v="3"/>
    <d v="2018-09-20T00:00:00"/>
    <s v="-"/>
    <x v="2"/>
    <s v="-"/>
    <x v="1"/>
    <n v="39800"/>
    <n v="0"/>
    <n v="11"/>
    <n v="30"/>
    <s v="-"/>
    <n v="0"/>
    <n v="5"/>
    <n v="0"/>
    <n v="0"/>
    <x v="0"/>
    <n v="4"/>
    <s v="Şirket Web Sitesi"/>
    <m/>
    <n v="7"/>
    <s v="30-39"/>
    <s v="5-10 YIL"/>
    <x v="1"/>
  </r>
  <r>
    <s v="PER0138"/>
    <s v="Aslan Özdemir"/>
    <x v="0"/>
    <d v="2002-04-21T00:00:00"/>
    <n v="24"/>
    <s v="Evli"/>
    <n v="3"/>
    <s v="Yüksek Lisans"/>
    <x v="0"/>
    <s v="Operatör"/>
    <s v="Junior"/>
    <x v="0"/>
    <s v="Üretim &amp; Operasyon Müdürü"/>
    <x v="0"/>
    <d v="2023-02-28T00:00:00"/>
    <d v="2025-03-16T00:00:00"/>
    <x v="4"/>
    <n v="3"/>
    <x v="0"/>
    <n v="28700"/>
    <n v="0"/>
    <n v="38"/>
    <n v="30"/>
    <s v="-"/>
    <n v="0"/>
    <n v="3"/>
    <n v="0"/>
    <n v="0"/>
    <x v="3"/>
    <n v="37"/>
    <s v="Şirket Web Sitesi"/>
    <m/>
    <n v="3"/>
    <s v="20-29"/>
    <s v="3-5 YIL"/>
    <x v="9"/>
  </r>
  <r>
    <s v="PER0139"/>
    <s v="Gamze Doğan"/>
    <x v="0"/>
    <d v="2000-05-11T00:00:00"/>
    <n v="26"/>
    <s v="Evli"/>
    <n v="0"/>
    <s v="Önlisans"/>
    <x v="4"/>
    <s v="İK Uzman Yardımcısı"/>
    <s v="Junior"/>
    <x v="1"/>
    <s v="İnsan Kaynakları Müdürü"/>
    <x v="0"/>
    <d v="2022-07-25T00:00:00"/>
    <s v="-"/>
    <x v="2"/>
    <s v="-"/>
    <x v="1"/>
    <n v="34800"/>
    <n v="0"/>
    <n v="6"/>
    <n v="27"/>
    <s v="01-Istirahat"/>
    <n v="2"/>
    <n v="7"/>
    <n v="1"/>
    <n v="0"/>
    <x v="1"/>
    <n v="15"/>
    <s v="Referans"/>
    <m/>
    <n v="3"/>
    <s v="20-29"/>
    <s v="3-5 YIL"/>
    <x v="7"/>
  </r>
  <r>
    <s v="PER0140"/>
    <s v="Hüseyin Kaya"/>
    <x v="1"/>
    <d v="2004-04-26T00:00:00"/>
    <n v="22"/>
    <s v="Evli"/>
    <n v="1"/>
    <s v="Lisans"/>
    <x v="4"/>
    <s v="İK Uzman Yardımcısı"/>
    <s v="Junior"/>
    <x v="1"/>
    <s v="İnsan Kaynakları Müdürü"/>
    <x v="0"/>
    <d v="2023-09-04T00:00:00"/>
    <s v="-"/>
    <x v="2"/>
    <s v="-"/>
    <x v="1"/>
    <n v="34400"/>
    <n v="2000"/>
    <n v="3"/>
    <n v="29"/>
    <s v="01-Istirahat"/>
    <n v="1"/>
    <n v="9"/>
    <n v="0"/>
    <n v="0"/>
    <x v="3"/>
    <n v="13"/>
    <s v="Şirket Web Sitesi"/>
    <m/>
    <n v="2"/>
    <s v="20-29"/>
    <s v="1-3 YIL"/>
    <x v="9"/>
  </r>
  <r>
    <s v="PER0141"/>
    <s v="Ömer Çelik"/>
    <x v="1"/>
    <d v="1993-09-10T00:00:00"/>
    <n v="33"/>
    <s v="Evli"/>
    <n v="0"/>
    <s v="Önlisans"/>
    <x v="3"/>
    <s v="Kıdemli Yazılım Uzmanı"/>
    <s v="Senior"/>
    <x v="1"/>
    <s v="Bilgi Teknolojileri Müdürü"/>
    <x v="4"/>
    <d v="2018-12-16T00:00:00"/>
    <s v="-"/>
    <x v="2"/>
    <s v="-"/>
    <x v="1"/>
    <n v="75800"/>
    <n v="0"/>
    <n v="2"/>
    <n v="30"/>
    <s v="-"/>
    <n v="0"/>
    <n v="11"/>
    <n v="0"/>
    <n v="0"/>
    <x v="1"/>
    <n v="5"/>
    <s v="Kariyer.net"/>
    <m/>
    <n v="7"/>
    <s v="30-39"/>
    <s v="5-10 YIL"/>
    <x v="1"/>
  </r>
  <r>
    <s v="PER0142"/>
    <s v="Emre Arslan"/>
    <x v="1"/>
    <d v="2002-06-04T00:00:00"/>
    <n v="24"/>
    <s v="Evli"/>
    <n v="1"/>
    <s v="Lisans"/>
    <x v="0"/>
    <s v="Operatör"/>
    <s v="Junior"/>
    <x v="0"/>
    <s v="Üretim &amp; Operasyon Müdürü"/>
    <x v="4"/>
    <d v="2024-04-23T00:00:00"/>
    <s v="-"/>
    <x v="2"/>
    <s v="-"/>
    <x v="1"/>
    <n v="27600"/>
    <n v="0"/>
    <n v="30"/>
    <n v="30"/>
    <s v="-"/>
    <n v="0"/>
    <n v="6"/>
    <n v="0"/>
    <n v="0"/>
    <x v="1"/>
    <n v="3"/>
    <s v="Referans"/>
    <m/>
    <n v="2"/>
    <s v="20-29"/>
    <s v="1-3 YIL"/>
    <x v="2"/>
  </r>
  <r>
    <s v="PER0143"/>
    <s v="Serkan Arslan"/>
    <x v="1"/>
    <d v="2004-09-19T00:00:00"/>
    <n v="22"/>
    <s v="Evli"/>
    <n v="1"/>
    <s v="Yüksek Lisans"/>
    <x v="0"/>
    <s v="Operatör"/>
    <s v="Junior"/>
    <x v="0"/>
    <s v="Üretim &amp; Operasyon Müdürü"/>
    <x v="2"/>
    <d v="2025-08-13T00:00:00"/>
    <d v="2026-03-24T00:00:00"/>
    <x v="4"/>
    <n v="3"/>
    <x v="0"/>
    <n v="27300"/>
    <n v="0"/>
    <n v="15"/>
    <n v="27"/>
    <s v="01-Istirahat"/>
    <n v="3"/>
    <n v="0"/>
    <n v="0"/>
    <n v="0"/>
    <x v="3"/>
    <n v="28"/>
    <s v="LinkedIn"/>
    <m/>
    <n v="0"/>
    <s v="20-29"/>
    <s v="0-1 YIL"/>
    <x v="0"/>
  </r>
  <r>
    <s v="PER0144"/>
    <s v="Ecem Aslan"/>
    <x v="0"/>
    <d v="1986-01-17T00:00:00"/>
    <n v="40"/>
    <s v="Evli"/>
    <n v="1"/>
    <s v="Lisans"/>
    <x v="1"/>
    <s v="Kıdemli Satış Uzmanı"/>
    <s v="Senior"/>
    <x v="1"/>
    <s v="Satış &amp; Pazarlama Müdürü"/>
    <x v="0"/>
    <d v="2016-09-03T00:00:00"/>
    <s v="-"/>
    <x v="2"/>
    <s v="-"/>
    <x v="1"/>
    <n v="56500"/>
    <n v="0"/>
    <n v="2"/>
    <n v="28"/>
    <s v="01-Istirahat"/>
    <n v="2"/>
    <n v="9"/>
    <n v="0"/>
    <n v="0"/>
    <x v="1"/>
    <n v="3"/>
    <s v="Kariyer.net"/>
    <m/>
    <n v="9"/>
    <s v="40-49"/>
    <s v="5-10 YIL"/>
    <x v="13"/>
  </r>
  <r>
    <s v="PER0145"/>
    <s v="İrem Aslan"/>
    <x v="0"/>
    <d v="1983-08-13T00:00:00"/>
    <n v="43"/>
    <s v="Bekar"/>
    <n v="0"/>
    <s v="Lisans"/>
    <x v="3"/>
    <s v="Kıdemli Yazılım Uzmanı"/>
    <s v="Senior"/>
    <x v="1"/>
    <s v="Bilgi Teknolojileri Müdürü"/>
    <x v="1"/>
    <d v="2017-10-04T00:00:00"/>
    <s v="-"/>
    <x v="2"/>
    <s v="-"/>
    <x v="1"/>
    <n v="79500"/>
    <n v="0"/>
    <n v="9"/>
    <n v="28"/>
    <s v="01-Istirahat"/>
    <n v="2"/>
    <n v="11"/>
    <n v="0"/>
    <n v="0"/>
    <x v="1"/>
    <n v="6"/>
    <s v="LinkedIn"/>
    <m/>
    <n v="8"/>
    <s v="40-49"/>
    <s v="5-10 YIL"/>
    <x v="4"/>
  </r>
  <r>
    <s v="PER0146"/>
    <s v="Fatma Demir"/>
    <x v="0"/>
    <d v="2004-12-21T00:00:00"/>
    <n v="22"/>
    <s v="Bekar"/>
    <n v="0"/>
    <s v="Doktora"/>
    <x v="0"/>
    <s v="Operatör"/>
    <s v="Junior"/>
    <x v="0"/>
    <s v="Üretim &amp; Operasyon Müdürü"/>
    <x v="2"/>
    <d v="2025-07-05T00:00:00"/>
    <s v="-"/>
    <x v="2"/>
    <s v="-"/>
    <x v="1"/>
    <n v="28400"/>
    <n v="0"/>
    <n v="14"/>
    <n v="29"/>
    <s v="01-Istirahat"/>
    <n v="1"/>
    <n v="0"/>
    <n v="0"/>
    <n v="0"/>
    <x v="3"/>
    <n v="29"/>
    <s v="Kariyer.net"/>
    <m/>
    <n v="0"/>
    <s v="20-29"/>
    <s v="0-1 YIL"/>
    <x v="0"/>
  </r>
  <r>
    <s v="PER0147"/>
    <s v="Can Doğan"/>
    <x v="1"/>
    <d v="1985-03-22T00:00:00"/>
    <n v="41"/>
    <s v="Evli"/>
    <n v="1"/>
    <s v="Yüksek Lisans"/>
    <x v="1"/>
    <s v="Kıdemli Satış Uzmanı"/>
    <s v="Senior"/>
    <x v="1"/>
    <s v="Satış &amp; Pazarlama Müdürü"/>
    <x v="2"/>
    <d v="2016-09-26T00:00:00"/>
    <d v="2021-10-15T00:00:00"/>
    <x v="1"/>
    <n v="4"/>
    <x v="0"/>
    <n v="57000"/>
    <n v="0"/>
    <n v="4"/>
    <n v="25"/>
    <s v="01-Istirahat"/>
    <n v="5"/>
    <n v="9"/>
    <n v="0"/>
    <n v="0"/>
    <x v="4"/>
    <n v="10"/>
    <s v="Kariyer.net"/>
    <m/>
    <n v="9"/>
    <s v="40-49"/>
    <s v="5-10 YIL"/>
    <x v="13"/>
  </r>
  <r>
    <s v="PER0148"/>
    <s v="Furkan Yılmaz"/>
    <x v="1"/>
    <d v="2001-10-06T00:00:00"/>
    <n v="25"/>
    <s v="Evli"/>
    <n v="1"/>
    <s v="Lisans"/>
    <x v="0"/>
    <s v="Operatör"/>
    <s v="Junior"/>
    <x v="0"/>
    <s v="Üretim &amp; Operasyon Müdürü"/>
    <x v="0"/>
    <d v="2023-05-11T00:00:00"/>
    <s v="-"/>
    <x v="2"/>
    <s v="-"/>
    <x v="1"/>
    <n v="26700"/>
    <n v="0"/>
    <n v="36"/>
    <n v="29"/>
    <s v="02-Ucretsiz Izin"/>
    <n v="0"/>
    <n v="10"/>
    <n v="1"/>
    <n v="0"/>
    <x v="1"/>
    <n v="4"/>
    <s v="Kariyer.net"/>
    <m/>
    <n v="3"/>
    <s v="20-29"/>
    <s v="3-5 YIL"/>
    <x v="9"/>
  </r>
  <r>
    <s v="PER0149"/>
    <s v="Elif Yıldız"/>
    <x v="0"/>
    <d v="1990-11-02T00:00:00"/>
    <n v="36"/>
    <s v="Bekar"/>
    <n v="0"/>
    <s v="Lisans"/>
    <x v="1"/>
    <s v="Kıdemli Satış Uzmanı"/>
    <s v="Senior"/>
    <x v="1"/>
    <s v="Satış &amp; Pazarlama Müdürü"/>
    <x v="2"/>
    <d v="2020-03-28T00:00:00"/>
    <s v="-"/>
    <x v="2"/>
    <s v="-"/>
    <x v="1"/>
    <n v="57200"/>
    <n v="14500"/>
    <n v="2"/>
    <n v="28"/>
    <s v="01-Istirahat"/>
    <n v="2"/>
    <n v="5"/>
    <n v="0"/>
    <n v="0"/>
    <x v="1"/>
    <n v="14"/>
    <s v="Kariyer.net"/>
    <m/>
    <n v="6"/>
    <s v="30-39"/>
    <s v="5-10 YIL"/>
    <x v="5"/>
  </r>
  <r>
    <s v="PER0150"/>
    <s v="Aslan Öztürk"/>
    <x v="0"/>
    <d v="1997-06-17T00:00:00"/>
    <n v="29"/>
    <s v="Evli"/>
    <n v="1"/>
    <s v="Yüksek Lisans"/>
    <x v="4"/>
    <s v="İK Uzman Yardımcısı"/>
    <s v="Junior"/>
    <x v="1"/>
    <s v="İnsan Kaynakları Müdürü"/>
    <x v="0"/>
    <d v="2024-07-06T00:00:00"/>
    <s v="-"/>
    <x v="2"/>
    <s v="-"/>
    <x v="1"/>
    <n v="34200"/>
    <n v="0"/>
    <n v="8"/>
    <n v="30"/>
    <s v="-"/>
    <n v="0"/>
    <n v="12"/>
    <n v="0"/>
    <n v="0"/>
    <x v="1"/>
    <n v="18"/>
    <s v="Kariyer.net"/>
    <m/>
    <n v="1"/>
    <s v="20-29"/>
    <s v="1-3 YIL"/>
    <x v="2"/>
  </r>
  <r>
    <s v="PER0151"/>
    <s v="Mehmet Çelik"/>
    <x v="1"/>
    <d v="2004-05-11T00:00:00"/>
    <n v="22"/>
    <s v="Evli"/>
    <n v="1"/>
    <s v="Yüksek Lisans"/>
    <x v="2"/>
    <s v="Muhasebe Elemanı"/>
    <s v="Junior"/>
    <x v="1"/>
    <s v="Finans &amp; Muhasebe Müdürü"/>
    <x v="0"/>
    <d v="2025-08-15T00:00:00"/>
    <s v="-"/>
    <x v="2"/>
    <s v="-"/>
    <x v="1"/>
    <n v="38400"/>
    <n v="0"/>
    <n v="1"/>
    <n v="30"/>
    <s v="-"/>
    <n v="0"/>
    <n v="0"/>
    <n v="0"/>
    <n v="0"/>
    <x v="3"/>
    <n v="30"/>
    <s v="Kariyer.net"/>
    <m/>
    <n v="0"/>
    <s v="20-29"/>
    <s v="0-1 YIL"/>
    <x v="0"/>
  </r>
  <r>
    <s v="PER0152"/>
    <s v="Ayşe Çetin"/>
    <x v="0"/>
    <d v="1982-06-11T00:00:00"/>
    <n v="44"/>
    <s v="Evli"/>
    <n v="1"/>
    <s v="Lisans"/>
    <x v="0"/>
    <s v="Takım Lideri"/>
    <s v="Senior"/>
    <x v="0"/>
    <s v="Üretim &amp; Operasyon Müdürü"/>
    <x v="1"/>
    <d v="2014-06-22T00:00:00"/>
    <s v="-"/>
    <x v="2"/>
    <s v="-"/>
    <x v="1"/>
    <n v="44900"/>
    <n v="0"/>
    <n v="42"/>
    <n v="28"/>
    <s v="01-Istirahat"/>
    <n v="2"/>
    <n v="7"/>
    <n v="0"/>
    <n v="0"/>
    <x v="1"/>
    <n v="12"/>
    <s v="Kariyer.net"/>
    <m/>
    <n v="12"/>
    <s v="40-49"/>
    <s v="10+"/>
    <x v="6"/>
  </r>
  <r>
    <s v="PER0153"/>
    <s v="Ömer Çelik"/>
    <x v="1"/>
    <d v="1986-06-07T00:00:00"/>
    <n v="40"/>
    <s v="Evli"/>
    <n v="0"/>
    <s v="Lisans"/>
    <x v="0"/>
    <s v="Takım Lideri"/>
    <s v="Senior"/>
    <x v="0"/>
    <s v="Üretim &amp; Operasyon Müdürü"/>
    <x v="0"/>
    <d v="2020-04-01T00:00:00"/>
    <s v="-"/>
    <x v="2"/>
    <s v="-"/>
    <x v="1"/>
    <n v="38200"/>
    <n v="0"/>
    <n v="37"/>
    <n v="30"/>
    <s v="-"/>
    <n v="0"/>
    <n v="13"/>
    <n v="0"/>
    <n v="0"/>
    <x v="1"/>
    <n v="7"/>
    <s v="LinkedIn"/>
    <m/>
    <n v="6"/>
    <s v="40-49"/>
    <s v="5-10 YIL"/>
    <x v="5"/>
  </r>
  <r>
    <s v="PER0154"/>
    <s v="Merve Yılmaz"/>
    <x v="0"/>
    <d v="2000-04-12T00:00:00"/>
    <n v="26"/>
    <s v="Evli"/>
    <n v="1"/>
    <s v="Yüksek Lisans"/>
    <x v="1"/>
    <s v="Satış Temsilcisi"/>
    <s v="Junior"/>
    <x v="1"/>
    <s v="Satış &amp; Pazarlama Müdürü"/>
    <x v="4"/>
    <d v="2025-08-22T00:00:00"/>
    <s v="-"/>
    <x v="2"/>
    <s v="-"/>
    <x v="1"/>
    <n v="32700"/>
    <n v="6200"/>
    <n v="0"/>
    <n v="28"/>
    <s v="01-Istirahat"/>
    <n v="2"/>
    <n v="0"/>
    <n v="0"/>
    <n v="0"/>
    <x v="3"/>
    <n v="16"/>
    <s v="LinkedIn"/>
    <m/>
    <n v="0"/>
    <s v="20-29"/>
    <s v="0-1 YIL"/>
    <x v="0"/>
  </r>
  <r>
    <s v="PER0155"/>
    <s v="Gamze Arslan"/>
    <x v="0"/>
    <d v="2002-06-09T00:00:00"/>
    <n v="24"/>
    <s v="Bekar"/>
    <n v="0"/>
    <s v="Yüksek Lisans"/>
    <x v="0"/>
    <s v="Operatör"/>
    <s v="Junior"/>
    <x v="0"/>
    <s v="Üretim &amp; Operasyon Müdürü"/>
    <x v="0"/>
    <d v="2024-02-04T00:00:00"/>
    <s v="-"/>
    <x v="2"/>
    <s v="-"/>
    <x v="1"/>
    <n v="28200"/>
    <n v="0"/>
    <n v="21"/>
    <n v="28"/>
    <s v="01-Istirahat"/>
    <n v="2"/>
    <n v="8"/>
    <n v="0"/>
    <n v="0"/>
    <x v="1"/>
    <n v="16"/>
    <s v="Kariyer.net"/>
    <m/>
    <n v="2"/>
    <s v="20-29"/>
    <s v="1-3 YIL"/>
    <x v="2"/>
  </r>
  <r>
    <s v="PER0156"/>
    <s v="Dilan Çelik"/>
    <x v="0"/>
    <d v="1981-06-01T00:00:00"/>
    <n v="45"/>
    <s v="Evli"/>
    <n v="0"/>
    <s v="Lisans"/>
    <x v="1"/>
    <s v="Kıdemli Satış Uzmanı"/>
    <s v="Senior"/>
    <x v="1"/>
    <s v="Satış &amp; Pazarlama Müdürü"/>
    <x v="0"/>
    <d v="2017-11-04T00:00:00"/>
    <s v="-"/>
    <x v="2"/>
    <s v="-"/>
    <x v="1"/>
    <n v="60300"/>
    <n v="0"/>
    <n v="3"/>
    <n v="30"/>
    <s v="-"/>
    <n v="0"/>
    <n v="9"/>
    <n v="0"/>
    <n v="0"/>
    <x v="1"/>
    <n v="15"/>
    <s v="LinkedIn"/>
    <m/>
    <n v="8"/>
    <s v="40-49"/>
    <s v="5-10 YIL"/>
    <x v="4"/>
  </r>
  <r>
    <s v="PER0157"/>
    <s v="Kübra Demir"/>
    <x v="0"/>
    <d v="1998-03-10T00:00:00"/>
    <n v="28"/>
    <s v="Evli"/>
    <n v="2"/>
    <s v="Lisans"/>
    <x v="0"/>
    <s v="Takım Lideri"/>
    <s v="Senior"/>
    <x v="0"/>
    <s v="Üretim &amp; Operasyon Müdürü"/>
    <x v="1"/>
    <d v="2020-12-08T00:00:00"/>
    <s v="-"/>
    <x v="2"/>
    <s v="-"/>
    <x v="1"/>
    <n v="39600"/>
    <n v="0"/>
    <n v="43"/>
    <n v="30"/>
    <s v="-"/>
    <n v="0"/>
    <n v="1"/>
    <n v="0"/>
    <n v="0"/>
    <x v="3"/>
    <n v="27"/>
    <s v="Kariyer.net"/>
    <m/>
    <n v="5"/>
    <s v="20-29"/>
    <s v="5-10 YIL"/>
    <x v="5"/>
  </r>
  <r>
    <s v="PER0158"/>
    <s v="Selin Öztürk"/>
    <x v="0"/>
    <d v="2004-05-01T00:00:00"/>
    <n v="22"/>
    <s v="Evli"/>
    <n v="1"/>
    <s v="Lisans"/>
    <x v="2"/>
    <s v="Muhasebe Elemanı"/>
    <s v="Junior"/>
    <x v="1"/>
    <s v="Finans &amp; Muhasebe Müdürü"/>
    <x v="0"/>
    <d v="2023-10-04T00:00:00"/>
    <s v="-"/>
    <x v="2"/>
    <s v="-"/>
    <x v="1"/>
    <n v="39300"/>
    <n v="0"/>
    <n v="4"/>
    <n v="30"/>
    <s v="-"/>
    <n v="0"/>
    <n v="8"/>
    <n v="0"/>
    <n v="0"/>
    <x v="1"/>
    <n v="10"/>
    <s v="Kariyer.net"/>
    <m/>
    <n v="2"/>
    <s v="20-29"/>
    <s v="1-3 YIL"/>
    <x v="9"/>
  </r>
  <r>
    <s v="PER0159"/>
    <s v="Furkan Yıldız"/>
    <x v="1"/>
    <d v="1980-02-09T00:00:00"/>
    <n v="46"/>
    <s v="Bekar"/>
    <n v="0"/>
    <s v="Lisans"/>
    <x v="1"/>
    <s v="Kıdemli Satış Uzmanı"/>
    <s v="Senior"/>
    <x v="1"/>
    <s v="Satış &amp; Pazarlama Müdürü"/>
    <x v="0"/>
    <d v="2020-09-03T00:00:00"/>
    <s v="-"/>
    <x v="2"/>
    <s v="-"/>
    <x v="1"/>
    <n v="53100"/>
    <n v="10500"/>
    <n v="2"/>
    <n v="30"/>
    <s v="-"/>
    <n v="0"/>
    <n v="7"/>
    <n v="0"/>
    <n v="0"/>
    <x v="3"/>
    <n v="23"/>
    <s v="LinkedIn"/>
    <m/>
    <n v="5"/>
    <s v="40-49"/>
    <s v="5-10 YIL"/>
    <x v="5"/>
  </r>
  <r>
    <s v="PER0160"/>
    <s v="Hüseyin Kılıç"/>
    <x v="1"/>
    <d v="2000-10-03T00:00:00"/>
    <n v="26"/>
    <s v="Evli"/>
    <n v="3"/>
    <s v="Lisans"/>
    <x v="2"/>
    <s v="Muhasebe Elemanı"/>
    <s v="Junior"/>
    <x v="1"/>
    <s v="Finans &amp; Muhasebe Müdürü"/>
    <x v="0"/>
    <d v="2023-06-28T00:00:00"/>
    <s v="-"/>
    <x v="2"/>
    <s v="-"/>
    <x v="1"/>
    <n v="38400"/>
    <n v="0"/>
    <n v="3"/>
    <n v="30"/>
    <s v="-"/>
    <n v="0"/>
    <n v="9"/>
    <n v="0"/>
    <n v="0"/>
    <x v="1"/>
    <n v="12"/>
    <s v="Referans"/>
    <m/>
    <n v="3"/>
    <s v="20-29"/>
    <s v="3-5 YIL"/>
    <x v="9"/>
  </r>
  <r>
    <s v="PER0161"/>
    <s v="Furkan Kılıç"/>
    <x v="1"/>
    <d v="1990-07-26T00:00:00"/>
    <n v="36"/>
    <s v="Bekar"/>
    <n v="0"/>
    <s v="Önlisans"/>
    <x v="3"/>
    <s v="Kıdemli Yazılım Uzmanı"/>
    <s v="Senior"/>
    <x v="1"/>
    <s v="Bilgi Teknolojileri Müdürü"/>
    <x v="0"/>
    <d v="2018-11-05T00:00:00"/>
    <s v="-"/>
    <x v="2"/>
    <s v="-"/>
    <x v="1"/>
    <n v="74400"/>
    <n v="0"/>
    <n v="8"/>
    <n v="30"/>
    <s v="-"/>
    <n v="0"/>
    <n v="9"/>
    <n v="0"/>
    <n v="0"/>
    <x v="3"/>
    <n v="34"/>
    <s v="Kariyer.net"/>
    <m/>
    <n v="7"/>
    <s v="30-39"/>
    <s v="5-10 YIL"/>
    <x v="1"/>
  </r>
  <r>
    <s v="PER0162"/>
    <s v="Oğuzhan Çelik"/>
    <x v="1"/>
    <d v="2002-08-08T00:00:00"/>
    <n v="24"/>
    <s v="Bekar"/>
    <n v="0"/>
    <s v="Lisans"/>
    <x v="0"/>
    <s v="Operatör"/>
    <s v="Junior"/>
    <x v="0"/>
    <s v="Üretim &amp; Operasyon Müdürü"/>
    <x v="4"/>
    <d v="2025-04-03T00:00:00"/>
    <s v="-"/>
    <x v="2"/>
    <s v="-"/>
    <x v="1"/>
    <n v="26700"/>
    <n v="0"/>
    <n v="11"/>
    <n v="30"/>
    <s v="-"/>
    <n v="0"/>
    <n v="11"/>
    <n v="0"/>
    <n v="0"/>
    <x v="1"/>
    <n v="3"/>
    <s v="LinkedIn"/>
    <m/>
    <n v="1"/>
    <s v="20-29"/>
    <s v="1-3 YIL"/>
    <x v="0"/>
  </r>
  <r>
    <s v="PER0163"/>
    <s v="Emre Kaya"/>
    <x v="1"/>
    <d v="2002-01-13T00:00:00"/>
    <n v="24"/>
    <s v="Bekar"/>
    <n v="0"/>
    <s v="Lisans"/>
    <x v="0"/>
    <s v="Operatör"/>
    <s v="Junior"/>
    <x v="0"/>
    <s v="Üretim &amp; Operasyon Müdürü"/>
    <x v="0"/>
    <d v="2024-12-27T00:00:00"/>
    <s v="-"/>
    <x v="2"/>
    <s v="-"/>
    <x v="1"/>
    <n v="25100"/>
    <n v="0"/>
    <n v="36"/>
    <n v="30"/>
    <s v="-"/>
    <n v="0"/>
    <n v="6"/>
    <n v="0"/>
    <n v="0"/>
    <x v="3"/>
    <n v="34"/>
    <s v="Danışmanlık Firması"/>
    <m/>
    <n v="1"/>
    <s v="20-29"/>
    <s v="1-3 YIL"/>
    <x v="2"/>
  </r>
  <r>
    <s v="PER0164"/>
    <s v="Oğuzhan Şahin"/>
    <x v="1"/>
    <d v="2000-03-15T00:00:00"/>
    <n v="26"/>
    <s v="Bekar"/>
    <n v="0"/>
    <s v="Lisans"/>
    <x v="0"/>
    <s v="Operatör"/>
    <s v="Junior"/>
    <x v="0"/>
    <s v="Üretim &amp; Operasyon Müdürü"/>
    <x v="0"/>
    <d v="2026-05-27T00:00:00"/>
    <s v="-"/>
    <x v="2"/>
    <s v="-"/>
    <x v="1"/>
    <n v="27700"/>
    <n v="0"/>
    <n v="34"/>
    <n v="28"/>
    <s v="01-Istirahat"/>
    <n v="2"/>
    <n v="0"/>
    <n v="0"/>
    <n v="0"/>
    <x v="3"/>
    <n v="19"/>
    <s v="Kariyer.net"/>
    <m/>
    <n v="0"/>
    <s v="20-29"/>
    <s v="0-1 YIL"/>
    <x v="3"/>
  </r>
  <r>
    <s v="PER0165"/>
    <s v="Ayşe Doğan"/>
    <x v="0"/>
    <d v="1982-11-03T00:00:00"/>
    <n v="44"/>
    <s v="Bekar"/>
    <n v="0"/>
    <s v="Lisans"/>
    <x v="4"/>
    <s v="İK Müdürü"/>
    <s v="Manager"/>
    <x v="1"/>
    <s v="Genel Müdür"/>
    <x v="1"/>
    <d v="2018-06-16T00:00:00"/>
    <s v="-"/>
    <x v="2"/>
    <s v="-"/>
    <x v="1"/>
    <n v="103200"/>
    <n v="0"/>
    <n v="4"/>
    <n v="29"/>
    <s v="01-Istirahat"/>
    <n v="1"/>
    <n v="14"/>
    <n v="0"/>
    <n v="0"/>
    <x v="4"/>
    <n v="4"/>
    <s v="LinkedIn"/>
    <m/>
    <n v="8"/>
    <s v="40-49"/>
    <s v="5-10 YIL"/>
    <x v="1"/>
  </r>
  <r>
    <s v="PER0166"/>
    <s v="Ayşe Kaya"/>
    <x v="0"/>
    <d v="2002-05-21T00:00:00"/>
    <n v="24"/>
    <s v="Bekar"/>
    <n v="0"/>
    <s v="Lisans"/>
    <x v="0"/>
    <s v="Operatör"/>
    <s v="Junior"/>
    <x v="0"/>
    <s v="Üretim &amp; Operasyon Müdürü"/>
    <x v="0"/>
    <d v="2023-01-28T00:00:00"/>
    <s v="-"/>
    <x v="2"/>
    <s v="-"/>
    <x v="1"/>
    <n v="26700"/>
    <n v="0"/>
    <n v="38"/>
    <n v="29"/>
    <s v="01-Istirahat"/>
    <n v="1"/>
    <n v="9"/>
    <n v="0"/>
    <n v="0"/>
    <x v="1"/>
    <n v="17"/>
    <s v="Kariyer.net"/>
    <m/>
    <n v="3"/>
    <s v="20-29"/>
    <s v="3-5 YIL"/>
    <x v="9"/>
  </r>
  <r>
    <s v="PER0167"/>
    <s v="Hasan Kaya"/>
    <x v="1"/>
    <d v="1982-06-25T00:00:00"/>
    <n v="44"/>
    <s v="Evli"/>
    <n v="1"/>
    <s v="Lisans"/>
    <x v="2"/>
    <s v="Mali İşler Uzmanı"/>
    <s v="Senior"/>
    <x v="1"/>
    <s v="Finans &amp; Muhasebe Müdürü"/>
    <x v="1"/>
    <d v="2020-05-18T00:00:00"/>
    <s v="-"/>
    <x v="2"/>
    <s v="-"/>
    <x v="1"/>
    <n v="60400"/>
    <n v="0"/>
    <n v="1"/>
    <n v="29"/>
    <s v="02-Ucretsiz Izin"/>
    <n v="0"/>
    <n v="11"/>
    <n v="1"/>
    <n v="0"/>
    <x v="1"/>
    <n v="10"/>
    <s v="Kariyer.net"/>
    <m/>
    <n v="6"/>
    <s v="40-49"/>
    <s v="5-10 YIL"/>
    <x v="5"/>
  </r>
  <r>
    <s v="PER0168"/>
    <s v="Burak Arslan"/>
    <x v="1"/>
    <d v="2003-01-14T00:00:00"/>
    <n v="23"/>
    <s v="Evli"/>
    <n v="2"/>
    <s v="Yüksek Lisans"/>
    <x v="0"/>
    <s v="Operatör"/>
    <s v="Junior"/>
    <x v="0"/>
    <s v="Üretim &amp; Operasyon Müdürü"/>
    <x v="0"/>
    <d v="2024-01-11T00:00:00"/>
    <s v="-"/>
    <x v="2"/>
    <s v="-"/>
    <x v="1"/>
    <n v="27200"/>
    <n v="0"/>
    <n v="42"/>
    <n v="30"/>
    <s v="-"/>
    <n v="0"/>
    <n v="11"/>
    <n v="0"/>
    <n v="0"/>
    <x v="1"/>
    <n v="7"/>
    <s v="Kariyer.net"/>
    <m/>
    <n v="2"/>
    <s v="20-29"/>
    <s v="1-3 YIL"/>
    <x v="2"/>
  </r>
  <r>
    <s v="PER0169"/>
    <s v="Hasan Aslan"/>
    <x v="1"/>
    <d v="1997-06-20T00:00:00"/>
    <n v="29"/>
    <s v="Evli"/>
    <n v="1"/>
    <s v="Lisans"/>
    <x v="0"/>
    <s v="Operatör"/>
    <s v="Junior"/>
    <x v="0"/>
    <s v="Üretim &amp; Operasyon Müdürü"/>
    <x v="1"/>
    <d v="2024-05-24T00:00:00"/>
    <s v="-"/>
    <x v="2"/>
    <s v="-"/>
    <x v="1"/>
    <n v="24900"/>
    <n v="0"/>
    <n v="26"/>
    <n v="30"/>
    <s v="-"/>
    <n v="0"/>
    <n v="13"/>
    <n v="0"/>
    <n v="0"/>
    <x v="1"/>
    <n v="14"/>
    <s v="Danışmanlık Firması"/>
    <m/>
    <n v="2"/>
    <s v="20-29"/>
    <s v="1-3 YIL"/>
    <x v="2"/>
  </r>
  <r>
    <s v="PER0170"/>
    <s v="Serkan Şahin"/>
    <x v="1"/>
    <d v="2004-07-25T00:00:00"/>
    <n v="22"/>
    <s v="Bekar"/>
    <n v="0"/>
    <s v="Yüksek Lisans"/>
    <x v="0"/>
    <s v="Operatör"/>
    <s v="Junior"/>
    <x v="0"/>
    <s v="Üretim &amp; Operasyon Müdürü"/>
    <x v="0"/>
    <d v="2023-09-11T00:00:00"/>
    <d v="2026-03-13T00:00:00"/>
    <x v="1"/>
    <n v="4"/>
    <x v="0"/>
    <n v="25400"/>
    <n v="0"/>
    <n v="21"/>
    <n v="28"/>
    <s v="01-Istirahat"/>
    <n v="2"/>
    <n v="13"/>
    <n v="0"/>
    <n v="0"/>
    <x v="1"/>
    <n v="3"/>
    <s v="LinkedIn"/>
    <m/>
    <n v="2"/>
    <s v="20-29"/>
    <s v="1-3 YIL"/>
    <x v="9"/>
  </r>
  <r>
    <s v="PER0171"/>
    <s v="Elif Doğan"/>
    <x v="0"/>
    <d v="1984-08-12T00:00:00"/>
    <n v="42"/>
    <s v="Evli"/>
    <n v="0"/>
    <s v="Önlisans"/>
    <x v="0"/>
    <s v="Üretim Müdürü"/>
    <s v="Manager"/>
    <x v="1"/>
    <s v="Genel Müdür"/>
    <x v="0"/>
    <d v="2014-04-06T00:00:00"/>
    <s v="-"/>
    <x v="2"/>
    <s v="-"/>
    <x v="1"/>
    <n v="94200"/>
    <n v="0"/>
    <n v="7"/>
    <n v="30"/>
    <s v="-"/>
    <n v="0"/>
    <n v="9"/>
    <n v="0"/>
    <n v="0"/>
    <x v="1"/>
    <n v="18"/>
    <s v="Kariyer.net"/>
    <m/>
    <n v="12"/>
    <s v="40-49"/>
    <s v="10+"/>
    <x v="6"/>
  </r>
  <r>
    <s v="PER0172"/>
    <s v="Aslan Şahin"/>
    <x v="0"/>
    <d v="1999-07-11T00:00:00"/>
    <n v="27"/>
    <s v="Evli"/>
    <n v="2"/>
    <s v="Lisans"/>
    <x v="2"/>
    <s v="Muhasebe Elemanı"/>
    <s v="Junior"/>
    <x v="1"/>
    <s v="Finans &amp; Muhasebe Müdürü"/>
    <x v="0"/>
    <d v="2024-08-03T00:00:00"/>
    <s v="-"/>
    <x v="2"/>
    <s v="-"/>
    <x v="1"/>
    <n v="34200"/>
    <n v="0"/>
    <n v="7"/>
    <n v="30"/>
    <s v="-"/>
    <n v="0"/>
    <n v="13"/>
    <n v="0"/>
    <n v="0"/>
    <x v="3"/>
    <n v="12"/>
    <s v="Kariyer.net"/>
    <m/>
    <n v="1"/>
    <s v="20-29"/>
    <s v="1-3 YIL"/>
    <x v="2"/>
  </r>
  <r>
    <s v="PER0173"/>
    <s v="Ecem Öztürk"/>
    <x v="0"/>
    <d v="1997-10-15T00:00:00"/>
    <n v="29"/>
    <s v="Evli"/>
    <n v="1"/>
    <s v="Lisans"/>
    <x v="0"/>
    <s v="Operatör"/>
    <s v="Junior"/>
    <x v="0"/>
    <s v="Üretim &amp; Operasyon Müdürü"/>
    <x v="4"/>
    <d v="2025-07-17T00:00:00"/>
    <s v="-"/>
    <x v="2"/>
    <s v="-"/>
    <x v="1"/>
    <n v="27600"/>
    <n v="0"/>
    <n v="29"/>
    <n v="30"/>
    <s v="-"/>
    <n v="0"/>
    <n v="0"/>
    <n v="0"/>
    <n v="0"/>
    <x v="1"/>
    <n v="13"/>
    <s v="Kariyer.net"/>
    <m/>
    <n v="0"/>
    <s v="20-29"/>
    <s v="0-1 YIL"/>
    <x v="0"/>
  </r>
  <r>
    <s v="PER0174"/>
    <s v="Emre Özdemir"/>
    <x v="1"/>
    <d v="1991-01-05T00:00:00"/>
    <n v="35"/>
    <s v="Bekar"/>
    <n v="0"/>
    <s v="Lisans"/>
    <x v="0"/>
    <s v="Takım Lideri"/>
    <s v="Senior"/>
    <x v="0"/>
    <s v="Üretim &amp; Operasyon Müdürü"/>
    <x v="0"/>
    <d v="2023-03-17T00:00:00"/>
    <s v="-"/>
    <x v="2"/>
    <s v="-"/>
    <x v="1"/>
    <n v="41900"/>
    <n v="0"/>
    <n v="40"/>
    <n v="29"/>
    <s v="02-Ucretsiz Izin"/>
    <n v="0"/>
    <n v="7"/>
    <n v="1"/>
    <n v="0"/>
    <x v="1"/>
    <n v="7"/>
    <s v="LinkedIn"/>
    <m/>
    <n v="3"/>
    <s v="30-39"/>
    <s v="3-5 YIL"/>
    <x v="9"/>
  </r>
  <r>
    <s v="PER0175"/>
    <s v="Can Çetin"/>
    <x v="1"/>
    <d v="1993-07-08T00:00:00"/>
    <n v="33"/>
    <s v="Bekar"/>
    <n v="0"/>
    <s v="Lisans"/>
    <x v="2"/>
    <s v="Mali İşler Uzmanı"/>
    <s v="Senior"/>
    <x v="1"/>
    <s v="Finans &amp; Muhasebe Müdürü"/>
    <x v="0"/>
    <d v="2015-07-19T00:00:00"/>
    <s v="-"/>
    <x v="2"/>
    <s v="-"/>
    <x v="1"/>
    <n v="59400"/>
    <n v="0"/>
    <n v="0"/>
    <n v="29"/>
    <s v="01-Istirahat"/>
    <n v="1"/>
    <n v="4"/>
    <n v="0"/>
    <n v="0"/>
    <x v="4"/>
    <n v="10"/>
    <s v="LinkedIn"/>
    <m/>
    <n v="10"/>
    <s v="30-39"/>
    <s v="5-10 YIL"/>
    <x v="8"/>
  </r>
  <r>
    <s v="PER0176"/>
    <s v="Mustafa Öztürk"/>
    <x v="1"/>
    <d v="1982-04-01T00:00:00"/>
    <n v="44"/>
    <s v="Evli"/>
    <n v="2"/>
    <s v="Lisans"/>
    <x v="3"/>
    <s v="Kıdemli Yazılım Uzmanı"/>
    <s v="Senior"/>
    <x v="1"/>
    <s v="Bilgi Teknolojileri Müdürü"/>
    <x v="2"/>
    <d v="2017-09-01T00:00:00"/>
    <s v="-"/>
    <x v="2"/>
    <s v="-"/>
    <x v="1"/>
    <n v="74800"/>
    <n v="10800"/>
    <n v="7"/>
    <n v="30"/>
    <s v="-"/>
    <n v="0"/>
    <n v="10"/>
    <n v="0"/>
    <n v="0"/>
    <x v="1"/>
    <n v="6"/>
    <s v="Kariyer.net"/>
    <m/>
    <n v="8"/>
    <s v="40-49"/>
    <s v="5-10 YIL"/>
    <x v="4"/>
  </r>
  <r>
    <s v="PER0177"/>
    <s v="Emre Kaya"/>
    <x v="1"/>
    <d v="1985-11-21T00:00:00"/>
    <n v="41"/>
    <s v="Bekar"/>
    <n v="0"/>
    <s v="Lisans"/>
    <x v="2"/>
    <s v="Mali İşler Uzmanı"/>
    <s v="Senior"/>
    <x v="1"/>
    <s v="Finans &amp; Muhasebe Müdürü"/>
    <x v="4"/>
    <d v="2022-02-27T00:00:00"/>
    <s v="-"/>
    <x v="2"/>
    <s v="-"/>
    <x v="1"/>
    <n v="59000"/>
    <n v="0"/>
    <n v="8"/>
    <n v="30"/>
    <s v="-"/>
    <n v="0"/>
    <n v="4"/>
    <n v="0"/>
    <n v="0"/>
    <x v="4"/>
    <n v="2"/>
    <s v="Referans"/>
    <m/>
    <n v="4"/>
    <s v="40-49"/>
    <s v="3-5 YIL"/>
    <x v="7"/>
  </r>
  <r>
    <s v="PER0178"/>
    <s v="Hüseyin Yılmaz"/>
    <x v="1"/>
    <d v="2000-09-25T00:00:00"/>
    <n v="26"/>
    <s v="Bekar"/>
    <n v="0"/>
    <s v="Lisans"/>
    <x v="0"/>
    <s v="Operatör"/>
    <s v="Junior"/>
    <x v="0"/>
    <s v="Üretim &amp; Operasyon Müdürü"/>
    <x v="0"/>
    <d v="2025-03-21T00:00:00"/>
    <d v="2026-01-12T00:00:00"/>
    <x v="1"/>
    <n v="4"/>
    <x v="0"/>
    <n v="27800"/>
    <n v="0"/>
    <n v="20"/>
    <n v="30"/>
    <s v="-"/>
    <n v="0"/>
    <n v="0"/>
    <n v="0"/>
    <n v="0"/>
    <x v="1"/>
    <n v="9"/>
    <s v="Şirket Web Sitesi"/>
    <m/>
    <n v="1"/>
    <s v="20-29"/>
    <s v="1-3 YIL"/>
    <x v="0"/>
  </r>
  <r>
    <s v="PER0179"/>
    <s v="Elif Yıldız"/>
    <x v="0"/>
    <d v="2004-03-02T00:00:00"/>
    <n v="22"/>
    <s v="Evli"/>
    <n v="2"/>
    <s v="Lisans"/>
    <x v="0"/>
    <s v="Operatör"/>
    <s v="Junior"/>
    <x v="0"/>
    <s v="Üretim &amp; Operasyon Müdürü"/>
    <x v="4"/>
    <d v="2026-03-30T00:00:00"/>
    <s v="-"/>
    <x v="2"/>
    <s v="-"/>
    <x v="1"/>
    <n v="26700"/>
    <n v="0"/>
    <n v="15"/>
    <n v="29"/>
    <s v="01-Istirahat"/>
    <n v="1"/>
    <n v="0"/>
    <n v="0"/>
    <n v="0"/>
    <x v="3"/>
    <n v="30"/>
    <s v="Kariyer.net"/>
    <m/>
    <n v="0"/>
    <s v="20-29"/>
    <s v="0-1 YIL"/>
    <x v="3"/>
  </r>
  <r>
    <s v="PER0180"/>
    <s v="Zeynep Doğan"/>
    <x v="0"/>
    <d v="2002-12-03T00:00:00"/>
    <n v="24"/>
    <s v="Evli"/>
    <n v="1"/>
    <s v="Lisans"/>
    <x v="0"/>
    <s v="Operatör"/>
    <s v="Junior"/>
    <x v="0"/>
    <s v="Üretim &amp; Operasyon Müdürü"/>
    <x v="0"/>
    <d v="2024-10-06T00:00:00"/>
    <s v="-"/>
    <x v="2"/>
    <s v="-"/>
    <x v="1"/>
    <n v="26000"/>
    <n v="0"/>
    <n v="10"/>
    <n v="27"/>
    <s v="02-Ucretsiz Izin"/>
    <n v="0"/>
    <n v="0"/>
    <n v="3"/>
    <n v="0"/>
    <x v="4"/>
    <n v="17"/>
    <s v="Kariyer.net"/>
    <m/>
    <n v="1"/>
    <s v="20-29"/>
    <s v="1-3 YIL"/>
    <x v="2"/>
  </r>
  <r>
    <s v="PER0181"/>
    <s v="İrem Özdemir"/>
    <x v="0"/>
    <d v="1996-06-10T00:00:00"/>
    <n v="30"/>
    <s v="Evli"/>
    <n v="2"/>
    <s v="Lisans"/>
    <x v="0"/>
    <s v="Takım Lideri"/>
    <s v="Senior"/>
    <x v="0"/>
    <s v="Üretim &amp; Operasyon Müdürü"/>
    <x v="0"/>
    <d v="2016-03-20T00:00:00"/>
    <s v="-"/>
    <x v="2"/>
    <s v="-"/>
    <x v="1"/>
    <n v="44000"/>
    <n v="0"/>
    <n v="19"/>
    <n v="30"/>
    <s v="-"/>
    <n v="0"/>
    <n v="2"/>
    <n v="0"/>
    <n v="0"/>
    <x v="4"/>
    <n v="16"/>
    <s v="Kariyer.net"/>
    <m/>
    <n v="10"/>
    <s v="30-39"/>
    <s v="5-10 YIL"/>
    <x v="13"/>
  </r>
  <r>
    <s v="PER0182"/>
    <s v="Gökhan Arslan"/>
    <x v="1"/>
    <d v="1997-01-22T00:00:00"/>
    <n v="29"/>
    <s v="Bekar"/>
    <n v="0"/>
    <s v="Yüksek Lisans"/>
    <x v="1"/>
    <s v="Satış Temsilcisi"/>
    <s v="Junior"/>
    <x v="1"/>
    <s v="Satış &amp; Pazarlama Müdürü"/>
    <x v="0"/>
    <d v="2024-03-04T00:00:00"/>
    <s v="-"/>
    <x v="2"/>
    <s v="-"/>
    <x v="1"/>
    <n v="36400"/>
    <n v="9100"/>
    <n v="3"/>
    <n v="30"/>
    <s v="-"/>
    <n v="0"/>
    <n v="0"/>
    <n v="0"/>
    <n v="0"/>
    <x v="4"/>
    <n v="16"/>
    <s v="Şirket Web Sitesi"/>
    <m/>
    <n v="2"/>
    <s v="20-29"/>
    <s v="1-3 YIL"/>
    <x v="2"/>
  </r>
  <r>
    <s v="PER0183"/>
    <s v="Kübra Çetin"/>
    <x v="0"/>
    <d v="2001-07-04T00:00:00"/>
    <n v="25"/>
    <s v="Bekar"/>
    <n v="0"/>
    <s v="Lisans"/>
    <x v="0"/>
    <s v="Operatör"/>
    <s v="Junior"/>
    <x v="0"/>
    <s v="Üretim &amp; Operasyon Müdürü"/>
    <x v="0"/>
    <d v="2024-03-02T00:00:00"/>
    <d v="2026-04-09T00:00:00"/>
    <x v="1"/>
    <n v="4"/>
    <x v="0"/>
    <n v="27000"/>
    <n v="0"/>
    <n v="12"/>
    <n v="30"/>
    <s v="-"/>
    <n v="0"/>
    <n v="3"/>
    <n v="0"/>
    <n v="0"/>
    <x v="3"/>
    <n v="16"/>
    <s v="LinkedIn"/>
    <m/>
    <n v="2"/>
    <s v="20-29"/>
    <s v="1-3 YIL"/>
    <x v="2"/>
  </r>
  <r>
    <s v="PER0184"/>
    <s v="Merve Aydın"/>
    <x v="0"/>
    <d v="1980-10-13T00:00:00"/>
    <n v="46"/>
    <s v="Evli"/>
    <n v="1"/>
    <s v="Lisans"/>
    <x v="1"/>
    <s v="Kıdemli Satış Uzmanı"/>
    <s v="Senior"/>
    <x v="1"/>
    <s v="Satış &amp; Pazarlama Müdürü"/>
    <x v="3"/>
    <d v="2016-10-24T00:00:00"/>
    <d v="2023-10-02T00:00:00"/>
    <x v="1"/>
    <n v="4"/>
    <x v="0"/>
    <n v="60900"/>
    <n v="0"/>
    <n v="3"/>
    <n v="30"/>
    <s v="-"/>
    <n v="0"/>
    <n v="5"/>
    <n v="0"/>
    <n v="0"/>
    <x v="1"/>
    <n v="16"/>
    <s v="Kariyer.net"/>
    <m/>
    <n v="9"/>
    <s v="40-49"/>
    <s v="5-10 YIL"/>
    <x v="13"/>
  </r>
  <r>
    <s v="PER0185"/>
    <s v="Gamze Yıldız"/>
    <x v="0"/>
    <d v="1984-01-22T00:00:00"/>
    <n v="42"/>
    <s v="Bekar"/>
    <n v="0"/>
    <s v="Lisans"/>
    <x v="2"/>
    <s v="Mali İşler Uzmanı"/>
    <s v="Senior"/>
    <x v="1"/>
    <s v="Finans &amp; Muhasebe Müdürü"/>
    <x v="0"/>
    <d v="2023-03-04T00:00:00"/>
    <s v="-"/>
    <x v="2"/>
    <s v="-"/>
    <x v="1"/>
    <n v="64800"/>
    <n v="5600"/>
    <n v="2"/>
    <n v="30"/>
    <s v="-"/>
    <n v="0"/>
    <n v="12"/>
    <n v="0"/>
    <n v="0"/>
    <x v="1"/>
    <n v="14"/>
    <s v="Kariyer.net"/>
    <m/>
    <n v="3"/>
    <s v="40-49"/>
    <s v="3-5 YIL"/>
    <x v="9"/>
  </r>
  <r>
    <s v="PER0186"/>
    <s v="Defne Kılıç"/>
    <x v="0"/>
    <d v="1979-06-27T00:00:00"/>
    <n v="47"/>
    <s v="Evli"/>
    <n v="3"/>
    <s v="Lisans"/>
    <x v="3"/>
    <s v="Kıdemli Yazılım Uzmanı"/>
    <s v="Senior"/>
    <x v="1"/>
    <s v="Bilgi Teknolojileri Müdürü"/>
    <x v="0"/>
    <d v="2017-10-02T00:00:00"/>
    <d v="2025-08-03T00:00:00"/>
    <x v="3"/>
    <n v="17"/>
    <x v="0"/>
    <n v="83900"/>
    <n v="0"/>
    <n v="2"/>
    <n v="29"/>
    <s v="01-Istirahat"/>
    <n v="1"/>
    <n v="2"/>
    <n v="0"/>
    <n v="0"/>
    <x v="4"/>
    <n v="5"/>
    <s v="Kariyer.net"/>
    <m/>
    <n v="8"/>
    <s v="40-49"/>
    <s v="5-10 YIL"/>
    <x v="4"/>
  </r>
  <r>
    <s v="PER0187"/>
    <s v="Gökhan Aydın"/>
    <x v="1"/>
    <d v="1993-04-08T00:00:00"/>
    <n v="33"/>
    <s v="Evli"/>
    <n v="1"/>
    <s v="Yüksek Lisans"/>
    <x v="0"/>
    <s v="Takım Lideri"/>
    <s v="Senior"/>
    <x v="0"/>
    <s v="Üretim &amp; Operasyon Müdürü"/>
    <x v="1"/>
    <d v="2018-11-27T00:00:00"/>
    <s v="-"/>
    <x v="2"/>
    <s v="-"/>
    <x v="1"/>
    <n v="45300"/>
    <n v="0"/>
    <n v="13"/>
    <n v="30"/>
    <s v="-"/>
    <n v="0"/>
    <n v="12"/>
    <n v="0"/>
    <n v="0"/>
    <x v="4"/>
    <n v="9"/>
    <s v="Kariyer.net"/>
    <m/>
    <n v="7"/>
    <s v="30-39"/>
    <s v="5-10 YIL"/>
    <x v="1"/>
  </r>
  <r>
    <s v="PER0188"/>
    <s v="Furkan Öztürk"/>
    <x v="1"/>
    <d v="1996-02-18T00:00:00"/>
    <n v="30"/>
    <s v="Evli"/>
    <n v="2"/>
    <s v="Yüksek Lisans"/>
    <x v="1"/>
    <s v="Kıdemli Satış Uzmanı"/>
    <s v="Senior"/>
    <x v="1"/>
    <s v="Satış &amp; Pazarlama Müdürü"/>
    <x v="3"/>
    <d v="2017-11-16T00:00:00"/>
    <s v="-"/>
    <x v="2"/>
    <s v="-"/>
    <x v="1"/>
    <n v="56600"/>
    <n v="11900"/>
    <n v="4"/>
    <n v="29"/>
    <s v="02-Ucretsiz Izin"/>
    <n v="0"/>
    <n v="12"/>
    <n v="1"/>
    <n v="0"/>
    <x v="1"/>
    <n v="5"/>
    <s v="Referans"/>
    <m/>
    <n v="8"/>
    <s v="30-39"/>
    <s v="5-10 YIL"/>
    <x v="4"/>
  </r>
  <r>
    <s v="PER0189"/>
    <s v="Oğuzhan Kaya"/>
    <x v="1"/>
    <d v="1996-04-04T00:00:00"/>
    <n v="30"/>
    <s v="Evli"/>
    <n v="1"/>
    <s v="Lisans"/>
    <x v="0"/>
    <s v="Takım Lideri"/>
    <s v="Senior"/>
    <x v="0"/>
    <s v="Üretim &amp; Operasyon Müdürü"/>
    <x v="3"/>
    <d v="2022-06-30T00:00:00"/>
    <s v="-"/>
    <x v="2"/>
    <s v="-"/>
    <x v="1"/>
    <n v="40800"/>
    <n v="0"/>
    <n v="31"/>
    <n v="28"/>
    <s v="01-Istirahat"/>
    <n v="2"/>
    <n v="0"/>
    <n v="0"/>
    <n v="0"/>
    <x v="3"/>
    <n v="22"/>
    <s v="Kariyer.net"/>
    <m/>
    <n v="4"/>
    <s v="30-39"/>
    <s v="3-5 YIL"/>
    <x v="7"/>
  </r>
  <r>
    <s v="PER0190"/>
    <s v="Furkan Kılıç"/>
    <x v="1"/>
    <d v="2000-05-15T00:00:00"/>
    <n v="26"/>
    <s v="Evli"/>
    <n v="1"/>
    <s v="Lisans"/>
    <x v="0"/>
    <s v="Operatör"/>
    <s v="Junior"/>
    <x v="0"/>
    <s v="Üretim &amp; Operasyon Müdürü"/>
    <x v="0"/>
    <d v="2023-09-19T00:00:00"/>
    <d v="2024-07-25T00:00:00"/>
    <x v="1"/>
    <n v="4"/>
    <x v="0"/>
    <n v="24600"/>
    <n v="0"/>
    <n v="34"/>
    <n v="29"/>
    <s v="01-Istirahat"/>
    <n v="1"/>
    <n v="13"/>
    <n v="0"/>
    <n v="0"/>
    <x v="4"/>
    <n v="10"/>
    <s v="LinkedIn"/>
    <m/>
    <n v="2"/>
    <s v="20-29"/>
    <s v="1-3 YIL"/>
    <x v="9"/>
  </r>
  <r>
    <s v="PER0191"/>
    <s v="Elif Arslan"/>
    <x v="0"/>
    <d v="1997-12-25T00:00:00"/>
    <n v="29"/>
    <s v="Evli"/>
    <n v="0"/>
    <s v="Yüksek Lisans"/>
    <x v="0"/>
    <s v="Operatör"/>
    <s v="Junior"/>
    <x v="0"/>
    <s v="Üretim &amp; Operasyon Müdürü"/>
    <x v="1"/>
    <d v="2024-08-07T00:00:00"/>
    <d v="2025-08-02T00:00:00"/>
    <x v="1"/>
    <n v="4"/>
    <x v="0"/>
    <n v="23800"/>
    <n v="0"/>
    <n v="44"/>
    <n v="30"/>
    <s v="-"/>
    <n v="0"/>
    <n v="5"/>
    <n v="0"/>
    <n v="0"/>
    <x v="1"/>
    <n v="16"/>
    <s v="LinkedIn"/>
    <m/>
    <n v="1"/>
    <s v="20-29"/>
    <s v="1-3 YIL"/>
    <x v="2"/>
  </r>
  <r>
    <s v="PER0192"/>
    <s v="Volkan Çelik"/>
    <x v="1"/>
    <d v="1998-07-14T00:00:00"/>
    <n v="28"/>
    <s v="Bekar"/>
    <n v="0"/>
    <s v="Lisans"/>
    <x v="1"/>
    <s v="Satış Temsilcisi"/>
    <s v="Junior"/>
    <x v="1"/>
    <s v="Satış &amp; Pazarlama Müdürü"/>
    <x v="0"/>
    <d v="2024-03-30T00:00:00"/>
    <s v="-"/>
    <x v="2"/>
    <s v="-"/>
    <x v="1"/>
    <n v="33100"/>
    <n v="10200"/>
    <n v="4"/>
    <n v="30"/>
    <s v="-"/>
    <n v="0"/>
    <n v="7"/>
    <n v="0"/>
    <n v="0"/>
    <x v="3"/>
    <n v="27"/>
    <s v="LinkedIn"/>
    <m/>
    <n v="2"/>
    <s v="20-29"/>
    <s v="1-3 YIL"/>
    <x v="2"/>
  </r>
  <r>
    <s v="PER0193"/>
    <s v="Kübra Kılıç"/>
    <x v="0"/>
    <d v="1996-04-19T00:00:00"/>
    <n v="30"/>
    <s v="Evli"/>
    <n v="0"/>
    <s v="Lisans"/>
    <x v="4"/>
    <s v="İK Uzmanı"/>
    <s v="Senior"/>
    <x v="1"/>
    <s v="İnsan Kaynakları Müdürü"/>
    <x v="2"/>
    <d v="2020-02-16T00:00:00"/>
    <s v="-"/>
    <x v="2"/>
    <s v="-"/>
    <x v="1"/>
    <n v="52500"/>
    <n v="0"/>
    <n v="8"/>
    <n v="30"/>
    <s v="-"/>
    <n v="0"/>
    <n v="5"/>
    <n v="0"/>
    <n v="0"/>
    <x v="4"/>
    <n v="19"/>
    <s v="LinkedIn"/>
    <m/>
    <n v="6"/>
    <s v="30-39"/>
    <s v="5-10 YIL"/>
    <x v="5"/>
  </r>
  <r>
    <s v="PER0194"/>
    <s v="Selin Demir"/>
    <x v="0"/>
    <d v="1979-09-07T00:00:00"/>
    <n v="47"/>
    <s v="Bekar"/>
    <n v="0"/>
    <s v="Lisans"/>
    <x v="0"/>
    <s v="Takım Lideri"/>
    <s v="Senior"/>
    <x v="0"/>
    <s v="Üretim &amp; Operasyon Müdürü"/>
    <x v="2"/>
    <d v="2020-04-24T00:00:00"/>
    <s v="-"/>
    <x v="2"/>
    <s v="-"/>
    <x v="1"/>
    <n v="43400"/>
    <n v="0"/>
    <n v="29"/>
    <n v="29"/>
    <s v="01-Istirahat"/>
    <n v="1"/>
    <n v="1"/>
    <n v="0"/>
    <n v="0"/>
    <x v="1"/>
    <n v="12"/>
    <s v="Kariyer.net"/>
    <m/>
    <n v="6"/>
    <s v="40-49"/>
    <s v="5-10 YIL"/>
    <x v="5"/>
  </r>
  <r>
    <s v="PER0195"/>
    <s v="Volkan Kılıç"/>
    <x v="1"/>
    <d v="1996-05-19T00:00:00"/>
    <n v="30"/>
    <s v="Evli"/>
    <n v="3"/>
    <s v="Lisans"/>
    <x v="2"/>
    <s v="Mali İşler Uzmanı"/>
    <s v="Senior"/>
    <x v="1"/>
    <s v="Finans &amp; Muhasebe Müdürü"/>
    <x v="1"/>
    <d v="2015-02-27T00:00:00"/>
    <s v="-"/>
    <x v="2"/>
    <s v="-"/>
    <x v="1"/>
    <n v="62300"/>
    <n v="0"/>
    <n v="7"/>
    <n v="30"/>
    <s v="-"/>
    <n v="0"/>
    <n v="13"/>
    <n v="0"/>
    <n v="0"/>
    <x v="0"/>
    <n v="12"/>
    <s v="LinkedIn"/>
    <m/>
    <n v="11"/>
    <s v="30-39"/>
    <s v="10+"/>
    <x v="8"/>
  </r>
  <r>
    <s v="PER0196"/>
    <s v="Merve Çelik"/>
    <x v="0"/>
    <d v="1997-12-21T00:00:00"/>
    <n v="29"/>
    <s v="Bekar"/>
    <n v="0"/>
    <s v="Lisans"/>
    <x v="0"/>
    <s v="Operatör"/>
    <s v="Junior"/>
    <x v="0"/>
    <s v="Üretim &amp; Operasyon Müdürü"/>
    <x v="0"/>
    <d v="2026-02-15T00:00:00"/>
    <s v="-"/>
    <x v="2"/>
    <s v="-"/>
    <x v="1"/>
    <n v="26300"/>
    <n v="0"/>
    <n v="28"/>
    <n v="29"/>
    <s v="02-Ucretsiz Izin"/>
    <n v="0"/>
    <n v="0"/>
    <n v="1"/>
    <n v="0"/>
    <x v="3"/>
    <n v="23"/>
    <s v="LinkedIn"/>
    <m/>
    <n v="0"/>
    <s v="20-29"/>
    <s v="0-1 YIL"/>
    <x v="3"/>
  </r>
  <r>
    <s v="PER0197"/>
    <s v="Burak Kaya"/>
    <x v="1"/>
    <d v="1997-10-10T00:00:00"/>
    <n v="29"/>
    <s v="Bekar"/>
    <n v="0"/>
    <s v="Önlisans"/>
    <x v="0"/>
    <s v="Operatör"/>
    <s v="Junior"/>
    <x v="0"/>
    <s v="Üretim &amp; Operasyon Müdürü"/>
    <x v="0"/>
    <d v="2025-08-09T00:00:00"/>
    <s v="-"/>
    <x v="2"/>
    <s v="-"/>
    <x v="1"/>
    <n v="27000"/>
    <n v="0"/>
    <n v="25"/>
    <n v="30"/>
    <s v="-"/>
    <n v="0"/>
    <n v="0"/>
    <n v="0"/>
    <n v="0"/>
    <x v="4"/>
    <n v="17"/>
    <s v="LinkedIn"/>
    <m/>
    <n v="0"/>
    <s v="20-29"/>
    <s v="0-1 YIL"/>
    <x v="0"/>
  </r>
  <r>
    <s v="PER0198"/>
    <s v="Mehmet Kılıç"/>
    <x v="1"/>
    <d v="2001-01-19T00:00:00"/>
    <n v="25"/>
    <s v="Evli"/>
    <n v="1"/>
    <s v="Önlisans"/>
    <x v="0"/>
    <s v="Operatör"/>
    <s v="Junior"/>
    <x v="0"/>
    <s v="Üretim &amp; Operasyon Müdürü"/>
    <x v="0"/>
    <d v="2025-01-28T00:00:00"/>
    <s v="-"/>
    <x v="2"/>
    <s v="-"/>
    <x v="1"/>
    <n v="26200"/>
    <n v="0"/>
    <n v="11"/>
    <n v="28"/>
    <s v="01-Istirahat"/>
    <n v="1"/>
    <n v="12"/>
    <n v="1"/>
    <n v="0"/>
    <x v="1"/>
    <n v="8"/>
    <s v="Kariyer.net"/>
    <m/>
    <n v="1"/>
    <s v="20-29"/>
    <s v="1-3 YIL"/>
    <x v="0"/>
  </r>
  <r>
    <s v="PER0199"/>
    <s v="Dilan Şahin"/>
    <x v="0"/>
    <d v="2001-04-22T00:00:00"/>
    <n v="25"/>
    <s v="Bekar"/>
    <n v="0"/>
    <s v="Lisans"/>
    <x v="0"/>
    <s v="Operatör"/>
    <s v="Junior"/>
    <x v="0"/>
    <s v="Üretim &amp; Operasyon Müdürü"/>
    <x v="3"/>
    <d v="2025-11-07T00:00:00"/>
    <s v="-"/>
    <x v="2"/>
    <s v="-"/>
    <x v="1"/>
    <n v="26800"/>
    <n v="0"/>
    <n v="41"/>
    <n v="29"/>
    <s v="01-Istirahat"/>
    <n v="1"/>
    <n v="0"/>
    <n v="0"/>
    <n v="0"/>
    <x v="1"/>
    <n v="14"/>
    <s v="LinkedIn"/>
    <m/>
    <n v="0"/>
    <s v="20-29"/>
    <s v="0-1 YIL"/>
    <x v="0"/>
  </r>
  <r>
    <s v="PER0200"/>
    <s v="Aslan Şahin"/>
    <x v="0"/>
    <d v="2000-07-14T00:00:00"/>
    <n v="26"/>
    <s v="Bekar"/>
    <n v="0"/>
    <s v="Lisans"/>
    <x v="1"/>
    <s v="Satış Temsilcisi"/>
    <s v="Junior"/>
    <x v="1"/>
    <s v="Satış &amp; Pazarlama Müdürü"/>
    <x v="0"/>
    <d v="2023-08-18T00:00:00"/>
    <s v="-"/>
    <x v="2"/>
    <s v="-"/>
    <x v="1"/>
    <n v="36300"/>
    <n v="7800"/>
    <n v="4"/>
    <n v="30"/>
    <s v="-"/>
    <n v="0"/>
    <n v="7"/>
    <n v="0"/>
    <n v="0"/>
    <x v="1"/>
    <n v="15"/>
    <s v="LinkedIn"/>
    <m/>
    <n v="2"/>
    <s v="20-29"/>
    <s v="1-3 YIL"/>
    <x v="9"/>
  </r>
  <r>
    <s v="PER0201"/>
    <s v="Kübra Demir"/>
    <x v="0"/>
    <d v="1989-09-06T00:00:00"/>
    <n v="37"/>
    <s v="Evli"/>
    <n v="0"/>
    <s v="Önlisans"/>
    <x v="4"/>
    <s v="İK Müdürü"/>
    <s v="Manager"/>
    <x v="1"/>
    <s v="Genel Müdür"/>
    <x v="0"/>
    <d v="2017-02-26T00:00:00"/>
    <s v="-"/>
    <x v="2"/>
    <s v="-"/>
    <x v="1"/>
    <n v="107100"/>
    <n v="0"/>
    <n v="6"/>
    <n v="30"/>
    <s v="-"/>
    <n v="0"/>
    <n v="10"/>
    <n v="0"/>
    <n v="0"/>
    <x v="3"/>
    <n v="33"/>
    <s v="Kariyer.net"/>
    <m/>
    <n v="9"/>
    <s v="30-39"/>
    <s v="5-10 YIL"/>
    <x v="4"/>
  </r>
  <r>
    <s v="PER0202"/>
    <s v="Oğuzhan Demir"/>
    <x v="1"/>
    <d v="2003-04-06T00:00:00"/>
    <n v="23"/>
    <s v="Bekar"/>
    <n v="0"/>
    <s v="Lisans"/>
    <x v="0"/>
    <s v="Operatör"/>
    <s v="Junior"/>
    <x v="0"/>
    <s v="Üretim &amp; Operasyon Müdürü"/>
    <x v="0"/>
    <d v="2026-05-24T00:00:00"/>
    <d v="2026-05-27T00:00:00"/>
    <x v="4"/>
    <n v="3"/>
    <x v="0"/>
    <n v="24400"/>
    <n v="0"/>
    <n v="36"/>
    <n v="30"/>
    <s v="-"/>
    <n v="0"/>
    <n v="0"/>
    <n v="0"/>
    <n v="0"/>
    <x v="3"/>
    <n v="30"/>
    <s v="Kariyer.net"/>
    <m/>
    <n v="0"/>
    <s v="20-29"/>
    <s v="0-1 YIL"/>
    <x v="3"/>
  </r>
  <r>
    <s v="PER0203"/>
    <s v="Volkan Doğan"/>
    <x v="1"/>
    <d v="1980-04-08T00:00:00"/>
    <n v="46"/>
    <s v="Evli"/>
    <n v="0"/>
    <s v="Lisans"/>
    <x v="0"/>
    <s v="Takım Lideri"/>
    <s v="Senior"/>
    <x v="0"/>
    <s v="Üretim &amp; Operasyon Müdürü"/>
    <x v="0"/>
    <d v="2015-08-08T00:00:00"/>
    <s v="-"/>
    <x v="2"/>
    <s v="-"/>
    <x v="1"/>
    <n v="40300"/>
    <n v="0"/>
    <n v="32"/>
    <n v="30"/>
    <s v="-"/>
    <n v="0"/>
    <n v="3"/>
    <n v="0"/>
    <n v="0"/>
    <x v="3"/>
    <n v="30"/>
    <s v="Kariyer.net"/>
    <m/>
    <n v="10"/>
    <s v="40-49"/>
    <s v="5-10 YIL"/>
    <x v="8"/>
  </r>
  <r>
    <s v="PER0204"/>
    <s v="Hasan Doğan"/>
    <x v="1"/>
    <d v="1999-06-17T00:00:00"/>
    <n v="27"/>
    <s v="Bekar"/>
    <n v="0"/>
    <s v="Yüksek Lisans"/>
    <x v="0"/>
    <s v="Operatör"/>
    <s v="Junior"/>
    <x v="0"/>
    <s v="Üretim &amp; Operasyon Müdürü"/>
    <x v="0"/>
    <d v="2022-10-25T00:00:00"/>
    <d v="2026-05-02T00:00:00"/>
    <x v="1"/>
    <n v="4"/>
    <x v="0"/>
    <n v="24400"/>
    <n v="0"/>
    <n v="16"/>
    <n v="30"/>
    <s v="-"/>
    <n v="0"/>
    <n v="8"/>
    <n v="0"/>
    <n v="0"/>
    <x v="3"/>
    <n v="23"/>
    <s v="Kariyer.net"/>
    <m/>
    <n v="3"/>
    <s v="20-29"/>
    <s v="3-5 YIL"/>
    <x v="7"/>
  </r>
  <r>
    <s v="PER0205"/>
    <s v="Hasan Şahin"/>
    <x v="1"/>
    <d v="2002-01-07T00:00:00"/>
    <n v="24"/>
    <s v="Evli"/>
    <n v="0"/>
    <s v="Lisans"/>
    <x v="0"/>
    <s v="Operatör"/>
    <s v="Junior"/>
    <x v="0"/>
    <s v="Üretim &amp; Operasyon Müdürü"/>
    <x v="4"/>
    <d v="2023-01-31T00:00:00"/>
    <s v="-"/>
    <x v="2"/>
    <s v="-"/>
    <x v="1"/>
    <n v="28400"/>
    <n v="0"/>
    <n v="32"/>
    <n v="28"/>
    <s v="01-Istirahat"/>
    <n v="1"/>
    <n v="10"/>
    <n v="0"/>
    <n v="1"/>
    <x v="1"/>
    <n v="2"/>
    <s v="Kariyer.net"/>
    <m/>
    <n v="3"/>
    <s v="20-29"/>
    <s v="3-5 YIL"/>
    <x v="9"/>
  </r>
  <r>
    <s v="PER0206"/>
    <s v="Dilan Kılıç"/>
    <x v="0"/>
    <d v="1997-03-06T00:00:00"/>
    <n v="29"/>
    <s v="Bekar"/>
    <n v="0"/>
    <s v="Lisans"/>
    <x v="0"/>
    <s v="Operatör"/>
    <s v="Junior"/>
    <x v="0"/>
    <s v="Üretim &amp; Operasyon Müdürü"/>
    <x v="0"/>
    <d v="2026-02-15T00:00:00"/>
    <s v="-"/>
    <x v="2"/>
    <s v="-"/>
    <x v="1"/>
    <n v="26000"/>
    <n v="0"/>
    <n v="32"/>
    <n v="30"/>
    <s v="-"/>
    <n v="0"/>
    <n v="0"/>
    <n v="0"/>
    <n v="0"/>
    <x v="4"/>
    <n v="11"/>
    <s v="Kariyer.net"/>
    <m/>
    <n v="0"/>
    <s v="20-29"/>
    <s v="0-1 YIL"/>
    <x v="3"/>
  </r>
  <r>
    <s v="PER0207"/>
    <s v="Volkan Kaya"/>
    <x v="1"/>
    <d v="1988-10-04T00:00:00"/>
    <n v="38"/>
    <s v="Evli"/>
    <n v="1"/>
    <s v="Önlisans"/>
    <x v="0"/>
    <s v="Takım Lideri"/>
    <s v="Senior"/>
    <x v="0"/>
    <s v="Üretim &amp; Operasyon Müdürü"/>
    <x v="0"/>
    <d v="2018-05-31T00:00:00"/>
    <s v="-"/>
    <x v="2"/>
    <s v="-"/>
    <x v="1"/>
    <n v="40900"/>
    <n v="0"/>
    <n v="44"/>
    <n v="30"/>
    <s v="-"/>
    <n v="0"/>
    <n v="3"/>
    <n v="0"/>
    <n v="0"/>
    <x v="4"/>
    <n v="15"/>
    <s v="LinkedIn"/>
    <m/>
    <n v="8"/>
    <s v="30-39"/>
    <s v="5-10 YIL"/>
    <x v="1"/>
  </r>
  <r>
    <s v="PER0208"/>
    <s v="Selin Demir"/>
    <x v="0"/>
    <d v="1992-04-22T00:00:00"/>
    <n v="34"/>
    <s v="Evli"/>
    <n v="1"/>
    <s v="Lisans"/>
    <x v="2"/>
    <s v="Mali İşler Uzmanı"/>
    <s v="Senior"/>
    <x v="1"/>
    <s v="Finans &amp; Muhasebe Müdürü"/>
    <x v="0"/>
    <d v="2014-11-11T00:00:00"/>
    <s v="-"/>
    <x v="2"/>
    <s v="-"/>
    <x v="1"/>
    <n v="65700"/>
    <n v="0"/>
    <n v="6"/>
    <n v="29"/>
    <s v="01-Istirahat"/>
    <n v="1"/>
    <n v="9"/>
    <n v="0"/>
    <n v="0"/>
    <x v="2"/>
    <n v="24"/>
    <s v="Kariyer.net"/>
    <m/>
    <n v="11"/>
    <s v="30-39"/>
    <s v="10+"/>
    <x v="6"/>
  </r>
  <r>
    <s v="PER0209"/>
    <s v="Ömer Yıldız"/>
    <x v="1"/>
    <d v="2001-11-07T00:00:00"/>
    <n v="25"/>
    <s v="Evli"/>
    <n v="1"/>
    <s v="Doktora"/>
    <x v="2"/>
    <s v="Muhasebe Elemanı"/>
    <s v="Junior"/>
    <x v="1"/>
    <s v="Finans &amp; Muhasebe Müdürü"/>
    <x v="0"/>
    <d v="2024-09-28T00:00:00"/>
    <s v="-"/>
    <x v="2"/>
    <s v="-"/>
    <x v="1"/>
    <n v="39000"/>
    <n v="0"/>
    <n v="1"/>
    <n v="30"/>
    <s v="-"/>
    <n v="0"/>
    <n v="5"/>
    <n v="0"/>
    <n v="0"/>
    <x v="4"/>
    <n v="8"/>
    <s v="Şirket Web Sitesi"/>
    <m/>
    <n v="1"/>
    <s v="20-29"/>
    <s v="1-3 YIL"/>
    <x v="2"/>
  </r>
  <r>
    <s v="PER0210"/>
    <s v="Merve Arslan"/>
    <x v="0"/>
    <d v="2000-06-02T00:00:00"/>
    <n v="26"/>
    <s v="Evli"/>
    <n v="0"/>
    <s v="Yüksek Lisans"/>
    <x v="0"/>
    <s v="Operatör"/>
    <s v="Junior"/>
    <x v="0"/>
    <s v="Üretim &amp; Operasyon Müdürü"/>
    <x v="3"/>
    <d v="2022-12-12T00:00:00"/>
    <d v="2025-11-24T00:00:00"/>
    <x v="1"/>
    <n v="4"/>
    <x v="0"/>
    <n v="23800"/>
    <n v="0"/>
    <n v="25"/>
    <n v="28"/>
    <s v="01-Istirahat"/>
    <n v="2"/>
    <n v="11"/>
    <n v="0"/>
    <n v="0"/>
    <x v="1"/>
    <n v="14"/>
    <s v="Referans"/>
    <m/>
    <n v="3"/>
    <s v="20-29"/>
    <s v="3-5 YIL"/>
    <x v="7"/>
  </r>
  <r>
    <s v="PER0211"/>
    <s v="Can Arslan"/>
    <x v="1"/>
    <d v="2002-10-15T00:00:00"/>
    <n v="24"/>
    <s v="Evli"/>
    <n v="2"/>
    <s v="Lisans"/>
    <x v="1"/>
    <s v="Satış Temsilcisi"/>
    <s v="Junior"/>
    <x v="1"/>
    <s v="Satış &amp; Pazarlama Müdürü"/>
    <x v="0"/>
    <d v="2024-04-27T00:00:00"/>
    <s v="-"/>
    <x v="2"/>
    <s v="-"/>
    <x v="1"/>
    <n v="32900"/>
    <n v="7500"/>
    <n v="1"/>
    <n v="30"/>
    <s v="-"/>
    <n v="0"/>
    <n v="4"/>
    <n v="0"/>
    <n v="0"/>
    <x v="0"/>
    <n v="9"/>
    <s v="Kariyer.net"/>
    <m/>
    <n v="2"/>
    <s v="20-29"/>
    <s v="1-3 YIL"/>
    <x v="2"/>
  </r>
  <r>
    <s v="PER0212"/>
    <s v="Furkan Kılıç"/>
    <x v="1"/>
    <d v="1975-12-01T00:00:00"/>
    <n v="51"/>
    <s v="Evli"/>
    <n v="0"/>
    <s v="Yüksek Lisans"/>
    <x v="4"/>
    <s v="İK Müdürü"/>
    <s v="Manager"/>
    <x v="1"/>
    <s v="Genel Müdür"/>
    <x v="4"/>
    <d v="2016-09-08T00:00:00"/>
    <d v="2021-04-10T00:00:00"/>
    <x v="1"/>
    <n v="4"/>
    <x v="0"/>
    <n v="104000"/>
    <n v="14900"/>
    <n v="9"/>
    <n v="29"/>
    <s v="01-Istirahat"/>
    <n v="1"/>
    <n v="3"/>
    <n v="0"/>
    <n v="0"/>
    <x v="1"/>
    <n v="12"/>
    <s v="Kariyer.net"/>
    <m/>
    <n v="9"/>
    <s v="50+"/>
    <s v="5-10 YIL"/>
    <x v="13"/>
  </r>
  <r>
    <s v="PER0213"/>
    <s v="Furkan Kaya"/>
    <x v="1"/>
    <d v="2001-08-27T00:00:00"/>
    <n v="25"/>
    <s v="Bekar"/>
    <n v="0"/>
    <s v="Önlisans"/>
    <x v="1"/>
    <s v="Satış Temsilcisi"/>
    <s v="Junior"/>
    <x v="1"/>
    <s v="Satış &amp; Pazarlama Müdürü"/>
    <x v="0"/>
    <d v="2023-12-24T00:00:00"/>
    <s v="-"/>
    <x v="2"/>
    <s v="-"/>
    <x v="1"/>
    <n v="33100"/>
    <n v="3500"/>
    <n v="5"/>
    <n v="20"/>
    <s v="01-Istirahat"/>
    <n v="10"/>
    <n v="9"/>
    <n v="0"/>
    <n v="0"/>
    <x v="1"/>
    <n v="17"/>
    <s v="Danışmanlık Firması"/>
    <m/>
    <n v="2"/>
    <s v="20-29"/>
    <s v="1-3 YIL"/>
    <x v="9"/>
  </r>
  <r>
    <s v="PER0214"/>
    <s v="Selin Aslan"/>
    <x v="0"/>
    <d v="1998-12-15T00:00:00"/>
    <n v="28"/>
    <s v="Evli"/>
    <n v="0"/>
    <s v="Lisans"/>
    <x v="0"/>
    <s v="Operatör"/>
    <s v="Junior"/>
    <x v="0"/>
    <s v="Üretim &amp; Operasyon Müdürü"/>
    <x v="0"/>
    <d v="2024-02-08T00:00:00"/>
    <s v="-"/>
    <x v="2"/>
    <s v="-"/>
    <x v="1"/>
    <n v="27000"/>
    <n v="0"/>
    <n v="28"/>
    <n v="19"/>
    <s v="01-Istirahat"/>
    <n v="10"/>
    <n v="13"/>
    <n v="0"/>
    <n v="1"/>
    <x v="1"/>
    <n v="10"/>
    <s v="Kariyer.net"/>
    <m/>
    <n v="2"/>
    <s v="20-29"/>
    <s v="1-3 YIL"/>
    <x v="2"/>
  </r>
  <r>
    <s v="PER0215"/>
    <s v="Burak Öztürk"/>
    <x v="1"/>
    <d v="2001-04-17T00:00:00"/>
    <n v="25"/>
    <s v="Evli"/>
    <n v="0"/>
    <s v="Yüksek Lisans"/>
    <x v="1"/>
    <s v="Satış Temsilcisi"/>
    <s v="Junior"/>
    <x v="1"/>
    <s v="Satış &amp; Pazarlama Müdürü"/>
    <x v="0"/>
    <d v="2024-04-25T00:00:00"/>
    <s v="-"/>
    <x v="2"/>
    <s v="-"/>
    <x v="1"/>
    <n v="31300"/>
    <n v="6400"/>
    <n v="4"/>
    <n v="30"/>
    <s v="-"/>
    <n v="0"/>
    <n v="5"/>
    <n v="0"/>
    <n v="0"/>
    <x v="4"/>
    <n v="17"/>
    <s v="Referans"/>
    <m/>
    <n v="2"/>
    <s v="20-29"/>
    <s v="1-3 YIL"/>
    <x v="2"/>
  </r>
  <r>
    <s v="PER0216"/>
    <s v="Ömer Kılıç"/>
    <x v="1"/>
    <d v="1999-03-23T00:00:00"/>
    <n v="27"/>
    <s v="Bekar"/>
    <n v="0"/>
    <s v="Lisans"/>
    <x v="0"/>
    <s v="Operatör"/>
    <s v="Junior"/>
    <x v="0"/>
    <s v="Üretim &amp; Operasyon Müdürü"/>
    <x v="0"/>
    <d v="2023-06-04T00:00:00"/>
    <s v="-"/>
    <x v="2"/>
    <s v="-"/>
    <x v="1"/>
    <n v="25500"/>
    <n v="0"/>
    <n v="27"/>
    <n v="30"/>
    <s v="-"/>
    <n v="0"/>
    <n v="8"/>
    <n v="0"/>
    <n v="0"/>
    <x v="1"/>
    <n v="13"/>
    <s v="LinkedIn"/>
    <m/>
    <n v="3"/>
    <s v="20-29"/>
    <s v="3-5 YIL"/>
    <x v="9"/>
  </r>
  <r>
    <s v="PER0217"/>
    <s v="Ömer Demir"/>
    <x v="1"/>
    <d v="1991-07-20T00:00:00"/>
    <n v="35"/>
    <s v="Evli"/>
    <n v="2"/>
    <s v="Lisans"/>
    <x v="1"/>
    <s v="Kıdemli Satış Uzmanı"/>
    <s v="Senior"/>
    <x v="1"/>
    <s v="Satış &amp; Pazarlama Müdürü"/>
    <x v="0"/>
    <d v="2023-02-21T00:00:00"/>
    <d v="2023-04-19T00:00:00"/>
    <x v="1"/>
    <n v="4"/>
    <x v="0"/>
    <n v="55400"/>
    <n v="5600"/>
    <n v="0"/>
    <n v="30"/>
    <s v="-"/>
    <n v="0"/>
    <n v="10"/>
    <n v="0"/>
    <n v="0"/>
    <x v="1"/>
    <n v="9"/>
    <s v="LinkedIn"/>
    <m/>
    <n v="3"/>
    <s v="30-39"/>
    <s v="3-5 YIL"/>
    <x v="9"/>
  </r>
  <r>
    <s v="PER0218"/>
    <s v="Ahmet Aydın"/>
    <x v="1"/>
    <d v="2004-01-11T00:00:00"/>
    <n v="22"/>
    <s v="Evli"/>
    <n v="2"/>
    <s v="Lisans"/>
    <x v="0"/>
    <s v="Operatör"/>
    <s v="Junior"/>
    <x v="0"/>
    <s v="Üretim &amp; Operasyon Müdürü"/>
    <x v="0"/>
    <d v="2025-06-21T00:00:00"/>
    <s v="-"/>
    <x v="2"/>
    <s v="-"/>
    <x v="1"/>
    <n v="27800"/>
    <n v="0"/>
    <n v="34"/>
    <n v="29"/>
    <s v="01-Istirahat"/>
    <n v="1"/>
    <n v="0"/>
    <n v="0"/>
    <n v="0"/>
    <x v="4"/>
    <n v="3"/>
    <s v="LinkedIn"/>
    <m/>
    <n v="1"/>
    <s v="20-29"/>
    <s v="1-3 YIL"/>
    <x v="0"/>
  </r>
  <r>
    <s v="PER0219"/>
    <s v="Mehmet Kaya"/>
    <x v="1"/>
    <d v="1998-10-25T00:00:00"/>
    <n v="28"/>
    <s v="Evli"/>
    <n v="1"/>
    <s v="Lisans"/>
    <x v="4"/>
    <s v="İK Uzman Yardımcısı"/>
    <s v="Junior"/>
    <x v="1"/>
    <s v="İnsan Kaynakları Müdürü"/>
    <x v="0"/>
    <d v="2024-09-30T00:00:00"/>
    <s v="-"/>
    <x v="2"/>
    <s v="-"/>
    <x v="1"/>
    <n v="31400"/>
    <n v="0"/>
    <n v="3"/>
    <n v="30"/>
    <s v="-"/>
    <n v="0"/>
    <n v="8"/>
    <n v="0"/>
    <n v="0"/>
    <x v="1"/>
    <n v="18"/>
    <s v="LinkedIn"/>
    <m/>
    <n v="1"/>
    <s v="20-29"/>
    <s v="1-3 YIL"/>
    <x v="2"/>
  </r>
  <r>
    <s v="PER0220"/>
    <s v="Aslan Şahin"/>
    <x v="0"/>
    <d v="1982-09-08T00:00:00"/>
    <n v="44"/>
    <s v="Evli"/>
    <n v="1"/>
    <s v="Lisans"/>
    <x v="2"/>
    <s v="Finans Müdürü"/>
    <s v="Manager"/>
    <x v="1"/>
    <s v="Genel Müdür"/>
    <x v="2"/>
    <d v="2009-03-26T00:00:00"/>
    <s v="-"/>
    <x v="2"/>
    <s v="-"/>
    <x v="1"/>
    <n v="109600"/>
    <n v="0"/>
    <n v="2"/>
    <n v="27"/>
    <s v="01-Istirahat"/>
    <n v="3"/>
    <n v="3"/>
    <n v="0"/>
    <n v="0"/>
    <x v="1"/>
    <n v="13"/>
    <s v="Kariyer.net"/>
    <m/>
    <n v="17"/>
    <s v="40-49"/>
    <s v="10+"/>
    <x v="17"/>
  </r>
  <r>
    <s v="PER0221"/>
    <s v="Furkan Çelik"/>
    <x v="1"/>
    <d v="2000-10-19T00:00:00"/>
    <n v="26"/>
    <s v="Evli"/>
    <n v="1"/>
    <s v="Yüksek Lisans"/>
    <x v="1"/>
    <s v="Satış Temsilcisi"/>
    <s v="Junior"/>
    <x v="1"/>
    <s v="Satış &amp; Pazarlama Müdürü"/>
    <x v="2"/>
    <d v="2024-11-16T00:00:00"/>
    <s v="-"/>
    <x v="2"/>
    <s v="-"/>
    <x v="1"/>
    <n v="34800"/>
    <n v="11900"/>
    <n v="0"/>
    <n v="29"/>
    <s v="02-Ucretsiz Izin"/>
    <n v="0"/>
    <n v="9"/>
    <n v="1"/>
    <n v="0"/>
    <x v="1"/>
    <n v="11"/>
    <s v="Kariyer.net"/>
    <m/>
    <n v="1"/>
    <s v="20-29"/>
    <s v="1-3 YIL"/>
    <x v="2"/>
  </r>
  <r>
    <s v="PER0222"/>
    <s v="Defne Kaya"/>
    <x v="0"/>
    <d v="1983-09-04T00:00:00"/>
    <n v="43"/>
    <s v="Evli"/>
    <n v="1"/>
    <s v="Lisans"/>
    <x v="3"/>
    <s v="Kıdemli Yazılım Uzmanı"/>
    <s v="Senior"/>
    <x v="1"/>
    <s v="Bilgi Teknolojileri Müdürü"/>
    <x v="0"/>
    <d v="2016-05-17T00:00:00"/>
    <s v="-"/>
    <x v="2"/>
    <s v="-"/>
    <x v="1"/>
    <n v="84700"/>
    <n v="0"/>
    <n v="5"/>
    <n v="30"/>
    <s v="-"/>
    <n v="0"/>
    <n v="0"/>
    <n v="0"/>
    <n v="0"/>
    <x v="4"/>
    <n v="16"/>
    <s v="LinkedIn"/>
    <m/>
    <n v="10"/>
    <s v="40-49"/>
    <s v="5-10 YIL"/>
    <x v="13"/>
  </r>
  <r>
    <s v="PER0223"/>
    <s v="Mehmet Kılıç"/>
    <x v="1"/>
    <d v="1995-06-24T00:00:00"/>
    <n v="31"/>
    <s v="Evli"/>
    <n v="1"/>
    <s v="Lisans"/>
    <x v="4"/>
    <s v="İK Uzmanı"/>
    <s v="Senior"/>
    <x v="1"/>
    <s v="İnsan Kaynakları Müdürü"/>
    <x v="1"/>
    <d v="2014-10-30T00:00:00"/>
    <s v="-"/>
    <x v="2"/>
    <s v="-"/>
    <x v="1"/>
    <n v="52800"/>
    <n v="0"/>
    <n v="9"/>
    <n v="30"/>
    <s v="-"/>
    <n v="0"/>
    <n v="11"/>
    <n v="0"/>
    <n v="0"/>
    <x v="3"/>
    <n v="17"/>
    <s v="LinkedIn"/>
    <m/>
    <n v="11"/>
    <s v="30-39"/>
    <s v="10+"/>
    <x v="6"/>
  </r>
  <r>
    <s v="PER0224"/>
    <s v="Can Yıldız"/>
    <x v="1"/>
    <d v="1992-01-08T00:00:00"/>
    <n v="34"/>
    <s v="Bekar"/>
    <n v="0"/>
    <s v="Lisans"/>
    <x v="2"/>
    <s v="Mali İşler Uzmanı"/>
    <s v="Senior"/>
    <x v="1"/>
    <s v="Finans &amp; Muhasebe Müdürü"/>
    <x v="4"/>
    <d v="2014-07-25T00:00:00"/>
    <s v="-"/>
    <x v="2"/>
    <s v="-"/>
    <x v="1"/>
    <n v="62300"/>
    <n v="0"/>
    <n v="6"/>
    <n v="29"/>
    <s v="01-Istirahat"/>
    <n v="1"/>
    <n v="5"/>
    <n v="0"/>
    <n v="0"/>
    <x v="4"/>
    <n v="10"/>
    <s v="Referans"/>
    <m/>
    <n v="11"/>
    <s v="30-39"/>
    <s v="10+"/>
    <x v="6"/>
  </r>
  <r>
    <s v="PER0225"/>
    <s v="Ahmet Kaya"/>
    <x v="1"/>
    <d v="1989-03-20T00:00:00"/>
    <n v="37"/>
    <s v="Evli"/>
    <n v="1"/>
    <s v="Lisans"/>
    <x v="1"/>
    <s v="Satış Müdürü"/>
    <s v="Manager"/>
    <x v="1"/>
    <s v="Genel Müdür"/>
    <x v="0"/>
    <d v="2017-09-04T00:00:00"/>
    <s v="-"/>
    <x v="2"/>
    <s v="-"/>
    <x v="1"/>
    <n v="114400"/>
    <n v="21800"/>
    <n v="3"/>
    <n v="30"/>
    <s v="-"/>
    <n v="0"/>
    <n v="13"/>
    <n v="0"/>
    <n v="0"/>
    <x v="1"/>
    <n v="16"/>
    <s v="Danışmanlık Firması"/>
    <m/>
    <n v="8"/>
    <s v="30-39"/>
    <s v="5-10 YIL"/>
    <x v="4"/>
  </r>
  <r>
    <s v="PER0226"/>
    <s v="Mustafa Öztürk"/>
    <x v="1"/>
    <d v="1997-04-17T00:00:00"/>
    <n v="29"/>
    <s v="Evli"/>
    <n v="0"/>
    <s v="Yüksek Lisans"/>
    <x v="1"/>
    <s v="Satış Temsilcisi"/>
    <s v="Junior"/>
    <x v="1"/>
    <s v="Satış &amp; Pazarlama Müdürü"/>
    <x v="0"/>
    <d v="2022-09-06T00:00:00"/>
    <d v="2022-12-23T00:00:00"/>
    <x v="1"/>
    <n v="4"/>
    <x v="0"/>
    <n v="32600"/>
    <n v="7500"/>
    <n v="4"/>
    <n v="30"/>
    <s v="-"/>
    <n v="0"/>
    <n v="8"/>
    <n v="0"/>
    <n v="0"/>
    <x v="4"/>
    <n v="9"/>
    <s v="Kariyer.net"/>
    <m/>
    <n v="3"/>
    <s v="20-29"/>
    <s v="3-5 YIL"/>
    <x v="7"/>
  </r>
  <r>
    <s v="PER0227"/>
    <s v="Can Çetin"/>
    <x v="1"/>
    <d v="1994-10-17T00:00:00"/>
    <n v="32"/>
    <s v="Bekar"/>
    <n v="0"/>
    <s v="Lisans"/>
    <x v="0"/>
    <s v="Takım Lideri"/>
    <s v="Senior"/>
    <x v="0"/>
    <s v="Üretim &amp; Operasyon Müdürü"/>
    <x v="0"/>
    <d v="2021-09-01T00:00:00"/>
    <s v="-"/>
    <x v="2"/>
    <s v="-"/>
    <x v="1"/>
    <n v="38400"/>
    <n v="0"/>
    <n v="13"/>
    <n v="30"/>
    <s v="-"/>
    <n v="0"/>
    <n v="5"/>
    <n v="0"/>
    <n v="0"/>
    <x v="3"/>
    <n v="16"/>
    <s v="Şirket Web Sitesi"/>
    <m/>
    <n v="4"/>
    <s v="30-39"/>
    <s v="3-5 YIL"/>
    <x v="14"/>
  </r>
  <r>
    <s v="PER0228"/>
    <s v="Ecem Şahin"/>
    <x v="0"/>
    <d v="1970-07-06T00:00:00"/>
    <n v="56"/>
    <s v="Evli"/>
    <n v="1"/>
    <s v="Lisans"/>
    <x v="2"/>
    <s v="Finans Müdürü"/>
    <s v="Manager"/>
    <x v="1"/>
    <s v="Genel Müdür"/>
    <x v="0"/>
    <d v="2019-09-24T00:00:00"/>
    <s v="-"/>
    <x v="2"/>
    <s v="-"/>
    <x v="1"/>
    <n v="120400"/>
    <n v="0"/>
    <n v="7"/>
    <n v="30"/>
    <s v="-"/>
    <n v="0"/>
    <n v="10"/>
    <n v="0"/>
    <n v="0"/>
    <x v="1"/>
    <n v="2"/>
    <s v="Kariyer.net"/>
    <m/>
    <n v="6"/>
    <s v="50+"/>
    <s v="5-10 YIL"/>
    <x v="11"/>
  </r>
  <r>
    <s v="PER0229"/>
    <s v="Aslan Kılıç"/>
    <x v="0"/>
    <d v="2000-02-22T00:00:00"/>
    <n v="26"/>
    <s v="Bekar"/>
    <n v="0"/>
    <s v="Lisans"/>
    <x v="0"/>
    <s v="Operatör"/>
    <s v="Junior"/>
    <x v="0"/>
    <s v="Üretim &amp; Operasyon Müdürü"/>
    <x v="0"/>
    <d v="2023-02-09T00:00:00"/>
    <s v="-"/>
    <x v="2"/>
    <s v="-"/>
    <x v="1"/>
    <n v="27100"/>
    <n v="0"/>
    <n v="26"/>
    <n v="28"/>
    <s v="01-Istirahat"/>
    <n v="2"/>
    <n v="2"/>
    <n v="0"/>
    <n v="0"/>
    <x v="1"/>
    <n v="5"/>
    <s v="Danışmanlık Firması"/>
    <m/>
    <n v="3"/>
    <s v="20-29"/>
    <s v="3-5 YIL"/>
    <x v="9"/>
  </r>
  <r>
    <s v="PER0230"/>
    <s v="Oğuzhan Öztürk"/>
    <x v="1"/>
    <d v="1981-05-26T00:00:00"/>
    <n v="45"/>
    <s v="Bekar"/>
    <n v="0"/>
    <s v="Lisans"/>
    <x v="2"/>
    <s v="Finans Müdürü"/>
    <s v="Manager"/>
    <x v="1"/>
    <s v="Genel Müdür"/>
    <x v="0"/>
    <d v="2008-07-02T00:00:00"/>
    <s v="-"/>
    <x v="2"/>
    <s v="-"/>
    <x v="1"/>
    <n v="111700"/>
    <n v="0"/>
    <n v="5"/>
    <n v="30"/>
    <s v="-"/>
    <n v="0"/>
    <n v="5"/>
    <n v="0"/>
    <n v="0"/>
    <x v="2"/>
    <n v="33"/>
    <s v="LinkedIn"/>
    <m/>
    <n v="17"/>
    <s v="40-49"/>
    <s v="10+"/>
    <x v="15"/>
  </r>
  <r>
    <s v="PER0231"/>
    <s v="Kübra Öztürk"/>
    <x v="0"/>
    <d v="1979-09-10T00:00:00"/>
    <n v="47"/>
    <s v="Evli"/>
    <n v="1"/>
    <s v="Lisans"/>
    <x v="0"/>
    <s v="Takım Lideri"/>
    <s v="Senior"/>
    <x v="0"/>
    <s v="Üretim &amp; Operasyon Müdürü"/>
    <x v="0"/>
    <d v="2021-02-23T00:00:00"/>
    <s v="-"/>
    <x v="2"/>
    <s v="-"/>
    <x v="1"/>
    <n v="40700"/>
    <n v="0"/>
    <n v="27"/>
    <n v="30"/>
    <s v="-"/>
    <n v="0"/>
    <n v="13"/>
    <n v="0"/>
    <n v="0"/>
    <x v="3"/>
    <n v="35"/>
    <s v="LinkedIn"/>
    <m/>
    <n v="5"/>
    <s v="40-49"/>
    <s v="5-10 YIL"/>
    <x v="14"/>
  </r>
  <r>
    <s v="PER0232"/>
    <s v="Ali Özdemir"/>
    <x v="1"/>
    <d v="2002-11-21T00:00:00"/>
    <n v="24"/>
    <s v="Evli"/>
    <n v="3"/>
    <s v="Lisans"/>
    <x v="0"/>
    <s v="Operatör"/>
    <s v="Junior"/>
    <x v="0"/>
    <s v="Üretim &amp; Operasyon Müdürü"/>
    <x v="3"/>
    <d v="2026-05-16T00:00:00"/>
    <s v="-"/>
    <x v="2"/>
    <s v="-"/>
    <x v="1"/>
    <n v="23800"/>
    <n v="0"/>
    <n v="25"/>
    <n v="30"/>
    <s v="-"/>
    <n v="0"/>
    <n v="0"/>
    <n v="0"/>
    <n v="0"/>
    <x v="0"/>
    <n v="8"/>
    <s v="LinkedIn"/>
    <m/>
    <n v="0"/>
    <s v="20-29"/>
    <s v="0-1 YIL"/>
    <x v="3"/>
  </r>
  <r>
    <s v="PER0233"/>
    <s v="Kübra Kaya"/>
    <x v="0"/>
    <d v="2000-05-12T00:00:00"/>
    <n v="26"/>
    <s v="Evli"/>
    <n v="1"/>
    <s v="Lisans"/>
    <x v="1"/>
    <s v="Satış Temsilcisi"/>
    <s v="Junior"/>
    <x v="1"/>
    <s v="Satış &amp; Pazarlama Müdürü"/>
    <x v="0"/>
    <d v="2025-07-10T00:00:00"/>
    <s v="-"/>
    <x v="2"/>
    <s v="-"/>
    <x v="1"/>
    <n v="34600"/>
    <n v="4500"/>
    <n v="2"/>
    <n v="30"/>
    <s v="-"/>
    <n v="0"/>
    <n v="0"/>
    <n v="0"/>
    <n v="0"/>
    <x v="0"/>
    <n v="14"/>
    <s v="Danışmanlık Firması"/>
    <m/>
    <n v="0"/>
    <s v="20-29"/>
    <s v="0-1 YIL"/>
    <x v="0"/>
  </r>
  <r>
    <s v="PER0234"/>
    <s v="Oğuzhan Yılmaz"/>
    <x v="1"/>
    <d v="1998-06-23T00:00:00"/>
    <n v="28"/>
    <s v="Evli"/>
    <n v="0"/>
    <s v="Lisans"/>
    <x v="0"/>
    <s v="Takım Lideri"/>
    <s v="Senior"/>
    <x v="0"/>
    <s v="Üretim &amp; Operasyon Müdürü"/>
    <x v="1"/>
    <d v="2016-11-05T00:00:00"/>
    <s v="-"/>
    <x v="2"/>
    <s v="-"/>
    <x v="1"/>
    <n v="40700"/>
    <n v="0"/>
    <n v="24"/>
    <n v="30"/>
    <s v="-"/>
    <n v="0"/>
    <n v="0"/>
    <n v="0"/>
    <n v="0"/>
    <x v="3"/>
    <n v="14"/>
    <s v="Referans"/>
    <m/>
    <n v="9"/>
    <s v="20-29"/>
    <s v="5-10 YIL"/>
    <x v="13"/>
  </r>
  <r>
    <s v="PER0235"/>
    <s v="Serkan Öztürk"/>
    <x v="1"/>
    <d v="1997-05-17T00:00:00"/>
    <n v="29"/>
    <s v="Bekar"/>
    <n v="0"/>
    <s v="Lisans"/>
    <x v="2"/>
    <s v="Mali İşler Uzmanı"/>
    <s v="Senior"/>
    <x v="1"/>
    <s v="Finans &amp; Muhasebe Müdürü"/>
    <x v="2"/>
    <d v="2020-02-25T00:00:00"/>
    <s v="-"/>
    <x v="2"/>
    <s v="-"/>
    <x v="1"/>
    <n v="57900"/>
    <n v="0"/>
    <n v="7"/>
    <n v="30"/>
    <s v="-"/>
    <n v="0"/>
    <n v="13"/>
    <n v="0"/>
    <n v="0"/>
    <x v="3"/>
    <n v="28"/>
    <s v="LinkedIn"/>
    <m/>
    <n v="6"/>
    <s v="20-29"/>
    <s v="5-10 YIL"/>
    <x v="5"/>
  </r>
  <r>
    <s v="PER0236"/>
    <s v="Oğuzhan Kaya"/>
    <x v="1"/>
    <d v="2003-11-10T00:00:00"/>
    <n v="23"/>
    <s v="Evli"/>
    <n v="1"/>
    <s v="Lisans"/>
    <x v="0"/>
    <s v="Operatör"/>
    <s v="Junior"/>
    <x v="0"/>
    <s v="Üretim &amp; Operasyon Müdürü"/>
    <x v="0"/>
    <d v="2026-05-07T00:00:00"/>
    <s v="-"/>
    <x v="2"/>
    <s v="-"/>
    <x v="1"/>
    <n v="25700"/>
    <n v="0"/>
    <n v="33"/>
    <n v="30"/>
    <s v="-"/>
    <n v="0"/>
    <n v="0"/>
    <n v="0"/>
    <n v="0"/>
    <x v="3"/>
    <n v="13"/>
    <s v="Kariyer.net"/>
    <m/>
    <n v="0"/>
    <s v="20-29"/>
    <s v="0-1 YIL"/>
    <x v="3"/>
  </r>
  <r>
    <s v="PER0237"/>
    <s v="Ayşe Özdemir"/>
    <x v="0"/>
    <d v="2003-08-10T00:00:00"/>
    <n v="23"/>
    <s v="Evli"/>
    <n v="0"/>
    <s v="Lisans"/>
    <x v="1"/>
    <s v="Satış Temsilcisi"/>
    <s v="Junior"/>
    <x v="1"/>
    <s v="Satış &amp; Pazarlama Müdürü"/>
    <x v="2"/>
    <d v="2023-09-01T00:00:00"/>
    <s v="-"/>
    <x v="2"/>
    <s v="-"/>
    <x v="1"/>
    <n v="32300"/>
    <n v="8100"/>
    <n v="5"/>
    <n v="29"/>
    <s v="01-Istirahat"/>
    <n v="1"/>
    <n v="1"/>
    <n v="0"/>
    <n v="0"/>
    <x v="1"/>
    <n v="16"/>
    <s v="Şirket Web Sitesi"/>
    <m/>
    <n v="2"/>
    <s v="20-29"/>
    <s v="1-3 YIL"/>
    <x v="9"/>
  </r>
  <r>
    <s v="PER0238"/>
    <s v="Kübra Doğan"/>
    <x v="0"/>
    <d v="2001-02-21T00:00:00"/>
    <n v="25"/>
    <s v="Evli"/>
    <n v="0"/>
    <s v="Lisans"/>
    <x v="0"/>
    <s v="Operatör"/>
    <s v="Junior"/>
    <x v="0"/>
    <s v="Üretim &amp; Operasyon Müdürü"/>
    <x v="3"/>
    <d v="2026-01-21T00:00:00"/>
    <s v="-"/>
    <x v="2"/>
    <s v="-"/>
    <x v="1"/>
    <n v="26600"/>
    <n v="0"/>
    <n v="42"/>
    <n v="30"/>
    <s v="-"/>
    <n v="0"/>
    <n v="0"/>
    <n v="0"/>
    <n v="0"/>
    <x v="3"/>
    <n v="37"/>
    <s v="Kariyer.net"/>
    <m/>
    <n v="0"/>
    <s v="20-29"/>
    <s v="0-1 YIL"/>
    <x v="3"/>
  </r>
  <r>
    <s v="PER0239"/>
    <s v="Can Yıldız"/>
    <x v="1"/>
    <d v="2004-10-22T00:00:00"/>
    <n v="22"/>
    <s v="Bekar"/>
    <n v="0"/>
    <s v="Lisans"/>
    <x v="4"/>
    <s v="İK Uzman Yardımcısı"/>
    <s v="Junior"/>
    <x v="1"/>
    <s v="İnsan Kaynakları Müdürü"/>
    <x v="4"/>
    <d v="2026-01-08T00:00:00"/>
    <s v="-"/>
    <x v="2"/>
    <s v="-"/>
    <x v="1"/>
    <n v="33700"/>
    <n v="0"/>
    <n v="8"/>
    <n v="30"/>
    <s v="-"/>
    <n v="0"/>
    <n v="0"/>
    <n v="0"/>
    <n v="0"/>
    <x v="1"/>
    <n v="2"/>
    <s v="Kariyer.net"/>
    <m/>
    <n v="0"/>
    <s v="20-29"/>
    <s v="0-1 YIL"/>
    <x v="3"/>
  </r>
  <r>
    <s v="PER0240"/>
    <s v="Hüseyin Demir"/>
    <x v="1"/>
    <d v="2001-12-01T00:00:00"/>
    <n v="25"/>
    <s v="Bekar"/>
    <n v="0"/>
    <s v="Lisans"/>
    <x v="0"/>
    <s v="Operatör"/>
    <s v="Junior"/>
    <x v="0"/>
    <s v="Üretim &amp; Operasyon Müdürü"/>
    <x v="1"/>
    <d v="2024-09-05T00:00:00"/>
    <s v="-"/>
    <x v="2"/>
    <s v="-"/>
    <x v="1"/>
    <n v="27200"/>
    <n v="0"/>
    <n v="35"/>
    <n v="30"/>
    <s v="-"/>
    <n v="0"/>
    <n v="7"/>
    <n v="0"/>
    <n v="0"/>
    <x v="2"/>
    <n v="26"/>
    <s v="LinkedIn"/>
    <m/>
    <n v="1"/>
    <s v="20-29"/>
    <s v="1-3 YIL"/>
    <x v="2"/>
  </r>
  <r>
    <s v="PER0241"/>
    <s v="Hilal Kaya"/>
    <x v="0"/>
    <d v="1976-02-12T00:00:00"/>
    <n v="50"/>
    <s v="Evli"/>
    <n v="2"/>
    <s v="Lisans"/>
    <x v="1"/>
    <s v="Satış Müdürü"/>
    <s v="Manager"/>
    <x v="1"/>
    <s v="Genel Müdür"/>
    <x v="4"/>
    <d v="2018-10-07T00:00:00"/>
    <s v="-"/>
    <x v="2"/>
    <s v="-"/>
    <x v="1"/>
    <n v="118600"/>
    <n v="15400"/>
    <n v="2"/>
    <n v="30"/>
    <s v="-"/>
    <n v="0"/>
    <n v="7"/>
    <n v="0"/>
    <n v="0"/>
    <x v="1"/>
    <n v="17"/>
    <s v="Kariyer.net"/>
    <m/>
    <n v="7"/>
    <s v="50+"/>
    <s v="5-10 YIL"/>
    <x v="1"/>
  </r>
  <r>
    <s v="PER0242"/>
    <s v="Merve Doğan"/>
    <x v="0"/>
    <d v="1994-03-06T00:00:00"/>
    <n v="32"/>
    <s v="Evli"/>
    <n v="1"/>
    <s v="Lisans"/>
    <x v="4"/>
    <s v="İK Uzmanı"/>
    <s v="Senior"/>
    <x v="1"/>
    <s v="İnsan Kaynakları Müdürü"/>
    <x v="0"/>
    <d v="2015-05-16T00:00:00"/>
    <s v="-"/>
    <x v="2"/>
    <s v="-"/>
    <x v="1"/>
    <n v="57200"/>
    <n v="0"/>
    <n v="9"/>
    <n v="29"/>
    <s v="01-Istirahat"/>
    <n v="1"/>
    <n v="13"/>
    <n v="0"/>
    <n v="0"/>
    <x v="1"/>
    <n v="11"/>
    <s v="Şirket Web Sitesi"/>
    <m/>
    <n v="11"/>
    <s v="30-39"/>
    <s v="10+"/>
    <x v="8"/>
  </r>
  <r>
    <s v="PER0243"/>
    <s v="Hasan Kaya"/>
    <x v="1"/>
    <d v="2001-02-10T00:00:00"/>
    <n v="25"/>
    <s v="Evli"/>
    <n v="2"/>
    <s v="Önlisans"/>
    <x v="0"/>
    <s v="Operatör"/>
    <s v="Junior"/>
    <x v="0"/>
    <s v="Üretim &amp; Operasyon Müdürü"/>
    <x v="0"/>
    <d v="2025-03-08T00:00:00"/>
    <s v="-"/>
    <x v="2"/>
    <s v="-"/>
    <x v="1"/>
    <n v="28600"/>
    <n v="0"/>
    <n v="14"/>
    <n v="30"/>
    <s v="-"/>
    <n v="0"/>
    <n v="9"/>
    <n v="0"/>
    <n v="0"/>
    <x v="4"/>
    <n v="12"/>
    <s v="Kariyer.net"/>
    <m/>
    <n v="1"/>
    <s v="20-29"/>
    <s v="1-3 YIL"/>
    <x v="0"/>
  </r>
  <r>
    <s v="PER0244"/>
    <s v="Furkan Kaya"/>
    <x v="1"/>
    <d v="2000-12-14T00:00:00"/>
    <n v="26"/>
    <s v="Evli"/>
    <n v="1"/>
    <s v="Lisans"/>
    <x v="1"/>
    <s v="Satış Temsilcisi"/>
    <s v="Junior"/>
    <x v="1"/>
    <s v="Satış &amp; Pazarlama Müdürü"/>
    <x v="0"/>
    <d v="2024-10-04T00:00:00"/>
    <s v="-"/>
    <x v="2"/>
    <s v="-"/>
    <x v="1"/>
    <n v="32200"/>
    <n v="7700"/>
    <n v="3"/>
    <n v="27"/>
    <s v="01-Istirahat"/>
    <n v="3"/>
    <n v="0"/>
    <n v="0"/>
    <n v="0"/>
    <x v="1"/>
    <n v="7"/>
    <s v="LinkedIn"/>
    <m/>
    <n v="1"/>
    <s v="20-29"/>
    <s v="1-3 YIL"/>
    <x v="2"/>
  </r>
  <r>
    <s v="PER0245"/>
    <s v="Gökhan Arslan"/>
    <x v="1"/>
    <d v="1989-08-21T00:00:00"/>
    <n v="37"/>
    <s v="Bekar"/>
    <n v="0"/>
    <s v="Önlisans"/>
    <x v="1"/>
    <s v="Kıdemli Satış Uzmanı"/>
    <s v="Senior"/>
    <x v="1"/>
    <s v="Satış &amp; Pazarlama Müdürü"/>
    <x v="2"/>
    <d v="2015-09-27T00:00:00"/>
    <s v="-"/>
    <x v="2"/>
    <s v="-"/>
    <x v="1"/>
    <n v="55300"/>
    <n v="11900"/>
    <n v="1"/>
    <n v="30"/>
    <s v="-"/>
    <n v="0"/>
    <n v="11"/>
    <n v="0"/>
    <n v="0"/>
    <x v="1"/>
    <n v="11"/>
    <s v="Kariyer.net"/>
    <m/>
    <n v="10"/>
    <s v="30-39"/>
    <s v="5-10 YIL"/>
    <x v="8"/>
  </r>
  <r>
    <s v="PER0246"/>
    <s v="Oğuzhan Arslan"/>
    <x v="1"/>
    <d v="1992-01-21T00:00:00"/>
    <n v="34"/>
    <s v="Evli"/>
    <n v="2"/>
    <s v="Lisans"/>
    <x v="0"/>
    <s v="Takım Lideri"/>
    <s v="Senior"/>
    <x v="0"/>
    <s v="Üretim &amp; Operasyon Müdürü"/>
    <x v="0"/>
    <d v="2015-09-17T00:00:00"/>
    <s v="-"/>
    <x v="2"/>
    <s v="-"/>
    <x v="1"/>
    <n v="41400"/>
    <n v="0"/>
    <n v="43"/>
    <n v="30"/>
    <s v="-"/>
    <n v="0"/>
    <n v="12"/>
    <n v="0"/>
    <n v="0"/>
    <x v="1"/>
    <n v="9"/>
    <s v="LinkedIn"/>
    <m/>
    <n v="10"/>
    <s v="30-39"/>
    <s v="5-10 YIL"/>
    <x v="8"/>
  </r>
  <r>
    <s v="PER0247"/>
    <s v="Gamze Öztürk"/>
    <x v="0"/>
    <d v="1991-04-10T00:00:00"/>
    <n v="35"/>
    <s v="Bekar"/>
    <n v="0"/>
    <s v="Yüksek Lisans"/>
    <x v="4"/>
    <s v="İK Uzmanı"/>
    <s v="Senior"/>
    <x v="1"/>
    <s v="İnsan Kaynakları Müdürü"/>
    <x v="1"/>
    <d v="2014-11-04T00:00:00"/>
    <s v="-"/>
    <x v="2"/>
    <s v="-"/>
    <x v="1"/>
    <n v="54400"/>
    <n v="0"/>
    <n v="0"/>
    <n v="30"/>
    <s v="-"/>
    <n v="0"/>
    <n v="8"/>
    <n v="0"/>
    <n v="0"/>
    <x v="1"/>
    <n v="17"/>
    <s v="Kariyer.net"/>
    <m/>
    <n v="11"/>
    <s v="30-39"/>
    <s v="10+"/>
    <x v="6"/>
  </r>
  <r>
    <s v="PER0248"/>
    <s v="Volkan Demir"/>
    <x v="1"/>
    <d v="2001-05-22T00:00:00"/>
    <n v="25"/>
    <s v="Evli"/>
    <n v="2"/>
    <s v="Lisans"/>
    <x v="3"/>
    <s v="Yazılım Uzman Yardımcısı"/>
    <s v="Junior"/>
    <x v="1"/>
    <s v="Bilgi Teknolojileri Müdürü"/>
    <x v="0"/>
    <d v="2024-09-16T00:00:00"/>
    <s v="-"/>
    <x v="2"/>
    <s v="-"/>
    <x v="1"/>
    <n v="46300"/>
    <n v="0"/>
    <n v="6"/>
    <n v="30"/>
    <s v="-"/>
    <n v="0"/>
    <n v="14"/>
    <n v="0"/>
    <n v="0"/>
    <x v="3"/>
    <n v="16"/>
    <s v="LinkedIn"/>
    <m/>
    <n v="1"/>
    <s v="20-29"/>
    <s v="1-3 YIL"/>
    <x v="2"/>
  </r>
  <r>
    <s v="PER0249"/>
    <s v="Furkan Şahin"/>
    <x v="1"/>
    <d v="1998-04-21T00:00:00"/>
    <n v="28"/>
    <s v="Evli"/>
    <n v="2"/>
    <s v="Lisans"/>
    <x v="0"/>
    <s v="Operatör"/>
    <s v="Junior"/>
    <x v="0"/>
    <s v="Üretim &amp; Operasyon Müdürü"/>
    <x v="2"/>
    <d v="2022-11-16T00:00:00"/>
    <s v="-"/>
    <x v="2"/>
    <s v="-"/>
    <x v="1"/>
    <n v="24900"/>
    <n v="0"/>
    <n v="35"/>
    <n v="24"/>
    <s v="01-Istirahat"/>
    <n v="3"/>
    <n v="4"/>
    <n v="3"/>
    <n v="0"/>
    <x v="4"/>
    <n v="8"/>
    <s v="LinkedIn"/>
    <m/>
    <n v="3"/>
    <s v="20-29"/>
    <s v="3-5 YIL"/>
    <x v="7"/>
  </r>
  <r>
    <s v="PER0250"/>
    <s v="Dilan Aslan"/>
    <x v="0"/>
    <d v="2003-01-09T00:00:00"/>
    <n v="23"/>
    <s v="Bekar"/>
    <n v="0"/>
    <s v="Yüksek Lisans"/>
    <x v="0"/>
    <s v="Operatör"/>
    <s v="Junior"/>
    <x v="0"/>
    <s v="Üretim &amp; Operasyon Müdürü"/>
    <x v="4"/>
    <d v="2026-05-20T00:00:00"/>
    <s v="-"/>
    <x v="2"/>
    <s v="-"/>
    <x v="1"/>
    <n v="26900"/>
    <n v="0"/>
    <n v="44"/>
    <n v="29"/>
    <s v="02-Ucretsiz Izin"/>
    <n v="0"/>
    <n v="0"/>
    <n v="1"/>
    <n v="0"/>
    <x v="3"/>
    <n v="27"/>
    <s v="Referans"/>
    <m/>
    <n v="0"/>
    <s v="20-29"/>
    <s v="0-1 YIL"/>
    <x v="3"/>
  </r>
  <r>
    <s v="PER0251"/>
    <s v="Büşra Çelik"/>
    <x v="0"/>
    <d v="1981-06-15T00:00:00"/>
    <n v="45"/>
    <s v="Bekar"/>
    <n v="0"/>
    <s v="Lisans"/>
    <x v="2"/>
    <s v="Finans Müdürü"/>
    <s v="Manager"/>
    <x v="1"/>
    <s v="Genel Müdür"/>
    <x v="2"/>
    <d v="2012-09-13T00:00:00"/>
    <s v="-"/>
    <x v="2"/>
    <s v="-"/>
    <x v="1"/>
    <n v="109800"/>
    <n v="7700"/>
    <n v="1"/>
    <n v="30"/>
    <s v="-"/>
    <n v="0"/>
    <n v="6"/>
    <n v="0"/>
    <n v="0"/>
    <x v="1"/>
    <n v="5"/>
    <s v="Kariyer.net"/>
    <m/>
    <n v="13"/>
    <s v="40-49"/>
    <s v="10+"/>
    <x v="12"/>
  </r>
  <r>
    <s v="PER0252"/>
    <s v="Can Kaya"/>
    <x v="1"/>
    <d v="2000-02-15T00:00:00"/>
    <n v="26"/>
    <s v="Bekar"/>
    <n v="0"/>
    <s v="Lisans"/>
    <x v="0"/>
    <s v="Operatör"/>
    <s v="Junior"/>
    <x v="0"/>
    <s v="Üretim &amp; Operasyon Müdürü"/>
    <x v="2"/>
    <d v="2026-05-04T00:00:00"/>
    <d v="2026-05-27T00:00:00"/>
    <x v="1"/>
    <n v="4"/>
    <x v="0"/>
    <n v="26100"/>
    <n v="0"/>
    <n v="41"/>
    <n v="30"/>
    <s v="-"/>
    <n v="0"/>
    <n v="0"/>
    <n v="0"/>
    <n v="0"/>
    <x v="1"/>
    <n v="11"/>
    <s v="Kariyer.net"/>
    <m/>
    <n v="0"/>
    <s v="20-29"/>
    <s v="0-1 YIL"/>
    <x v="3"/>
  </r>
  <r>
    <s v="PER0253"/>
    <s v="Dilan Yıldız"/>
    <x v="0"/>
    <d v="2004-08-23T00:00:00"/>
    <n v="22"/>
    <s v="Bekar"/>
    <n v="0"/>
    <s v="Önlisans"/>
    <x v="0"/>
    <s v="Operatör"/>
    <s v="Junior"/>
    <x v="0"/>
    <s v="Üretim &amp; Operasyon Müdürü"/>
    <x v="0"/>
    <d v="2022-10-06T00:00:00"/>
    <s v="-"/>
    <x v="2"/>
    <s v="-"/>
    <x v="1"/>
    <n v="28600"/>
    <n v="0"/>
    <n v="43"/>
    <n v="28"/>
    <s v="01-Istirahat"/>
    <n v="2"/>
    <n v="9"/>
    <n v="0"/>
    <n v="0"/>
    <x v="3"/>
    <n v="26"/>
    <s v="Kariyer.net"/>
    <m/>
    <n v="3"/>
    <s v="20-29"/>
    <s v="3-5 YIL"/>
    <x v="7"/>
  </r>
  <r>
    <s v="PER0254"/>
    <s v="Hasan Kılıç"/>
    <x v="1"/>
    <d v="1987-05-24T00:00:00"/>
    <n v="39"/>
    <s v="Evli"/>
    <n v="2"/>
    <s v="Lisans"/>
    <x v="2"/>
    <s v="Mali İşler Uzmanı"/>
    <s v="Senior"/>
    <x v="1"/>
    <s v="Finans &amp; Muhasebe Müdürü"/>
    <x v="3"/>
    <d v="2016-11-17T00:00:00"/>
    <s v="-"/>
    <x v="2"/>
    <s v="-"/>
    <x v="1"/>
    <n v="57500"/>
    <n v="0"/>
    <n v="6"/>
    <n v="25"/>
    <s v="01-Istirahat"/>
    <n v="5"/>
    <n v="14"/>
    <n v="0"/>
    <n v="0"/>
    <x v="1"/>
    <n v="6"/>
    <s v="Referans"/>
    <m/>
    <n v="9"/>
    <s v="30-39"/>
    <s v="5-10 YIL"/>
    <x v="13"/>
  </r>
  <r>
    <s v="PER0255"/>
    <s v="Elif Çetin"/>
    <x v="0"/>
    <d v="2001-02-02T00:00:00"/>
    <n v="25"/>
    <s v="Evli"/>
    <n v="0"/>
    <s v="Lisans"/>
    <x v="0"/>
    <s v="Operatör"/>
    <s v="Junior"/>
    <x v="0"/>
    <s v="Üretim &amp; Operasyon Müdürü"/>
    <x v="0"/>
    <d v="2023-07-12T00:00:00"/>
    <s v="-"/>
    <x v="2"/>
    <s v="-"/>
    <x v="1"/>
    <n v="26000"/>
    <n v="0"/>
    <n v="22"/>
    <n v="30"/>
    <s v="-"/>
    <n v="0"/>
    <n v="9"/>
    <n v="0"/>
    <n v="0"/>
    <x v="2"/>
    <n v="30"/>
    <s v="Kariyer.net"/>
    <m/>
    <n v="2"/>
    <s v="20-29"/>
    <s v="1-3 YIL"/>
    <x v="9"/>
  </r>
  <r>
    <s v="PER0256"/>
    <s v="Zeynep Öztürk"/>
    <x v="0"/>
    <d v="1999-04-08T00:00:00"/>
    <n v="27"/>
    <s v="Bekar"/>
    <n v="0"/>
    <s v="Lisans"/>
    <x v="3"/>
    <s v="Yazılım Uzman Yardımcısı"/>
    <s v="Junior"/>
    <x v="1"/>
    <s v="Bilgi Teknolojileri Müdürü"/>
    <x v="0"/>
    <d v="2023-12-18T00:00:00"/>
    <s v="-"/>
    <x v="2"/>
    <s v="-"/>
    <x v="1"/>
    <n v="45400"/>
    <n v="0"/>
    <n v="7"/>
    <n v="28"/>
    <s v="01-Istirahat"/>
    <n v="2"/>
    <n v="0"/>
    <n v="0"/>
    <n v="0"/>
    <x v="2"/>
    <n v="23"/>
    <s v="Kariyer.net"/>
    <m/>
    <n v="2"/>
    <s v="20-29"/>
    <s v="1-3 YIL"/>
    <x v="9"/>
  </r>
  <r>
    <s v="PER0257"/>
    <s v="Ahmet Öztürk"/>
    <x v="1"/>
    <d v="1999-12-05T00:00:00"/>
    <n v="27"/>
    <s v="Evli"/>
    <n v="1"/>
    <s v="Yüksek Lisans"/>
    <x v="0"/>
    <s v="Operatör"/>
    <s v="Junior"/>
    <x v="0"/>
    <s v="Üretim &amp; Operasyon Müdürü"/>
    <x v="1"/>
    <d v="2026-02-01T00:00:00"/>
    <s v="-"/>
    <x v="2"/>
    <s v="-"/>
    <x v="1"/>
    <n v="28500"/>
    <n v="0"/>
    <n v="28"/>
    <n v="27"/>
    <s v="02-Ucretsiz Izin"/>
    <n v="0"/>
    <n v="0"/>
    <n v="3"/>
    <n v="0"/>
    <x v="1"/>
    <n v="10"/>
    <s v="Kariyer.net"/>
    <m/>
    <n v="0"/>
    <s v="20-29"/>
    <s v="0-1 YIL"/>
    <x v="3"/>
  </r>
  <r>
    <s v="PER0258"/>
    <s v="Volkan Yıldız"/>
    <x v="1"/>
    <d v="1993-05-13T00:00:00"/>
    <n v="33"/>
    <s v="Evli"/>
    <n v="0"/>
    <s v="Önlisans"/>
    <x v="0"/>
    <s v="Takım Lideri"/>
    <s v="Senior"/>
    <x v="0"/>
    <s v="Üretim &amp; Operasyon Müdürü"/>
    <x v="3"/>
    <d v="2021-03-06T00:00:00"/>
    <s v="-"/>
    <x v="2"/>
    <s v="-"/>
    <x v="1"/>
    <n v="43000"/>
    <n v="0"/>
    <n v="28"/>
    <n v="27"/>
    <s v="01-Istirahat"/>
    <n v="3"/>
    <n v="14"/>
    <n v="0"/>
    <n v="0"/>
    <x v="3"/>
    <n v="20"/>
    <s v="LinkedIn"/>
    <m/>
    <n v="5"/>
    <s v="30-39"/>
    <s v="5-10 YIL"/>
    <x v="14"/>
  </r>
  <r>
    <s v="PER0259"/>
    <s v="Kübra Çetin"/>
    <x v="0"/>
    <d v="2004-04-08T00:00:00"/>
    <n v="22"/>
    <s v="Bekar"/>
    <n v="0"/>
    <s v="Lisans"/>
    <x v="0"/>
    <s v="Operatör"/>
    <s v="Junior"/>
    <x v="0"/>
    <s v="Üretim &amp; Operasyon Müdürü"/>
    <x v="1"/>
    <d v="2023-11-17T00:00:00"/>
    <s v="-"/>
    <x v="2"/>
    <s v="-"/>
    <x v="1"/>
    <n v="28000"/>
    <n v="0"/>
    <n v="38"/>
    <n v="30"/>
    <s v="-"/>
    <n v="0"/>
    <n v="13"/>
    <n v="0"/>
    <n v="0"/>
    <x v="4"/>
    <n v="13"/>
    <s v="LinkedIn"/>
    <m/>
    <n v="2"/>
    <s v="20-29"/>
    <s v="1-3 YIL"/>
    <x v="9"/>
  </r>
  <r>
    <s v="PER0260"/>
    <s v="Serkan Demir"/>
    <x v="1"/>
    <d v="1996-11-19T00:00:00"/>
    <n v="30"/>
    <s v="Evli"/>
    <n v="2"/>
    <s v="Önlisans"/>
    <x v="3"/>
    <s v="Kıdemli Yazılım Uzmanı"/>
    <s v="Senior"/>
    <x v="1"/>
    <s v="Bilgi Teknolojileri Müdürü"/>
    <x v="0"/>
    <d v="2018-03-17T00:00:00"/>
    <s v="-"/>
    <x v="2"/>
    <s v="-"/>
    <x v="1"/>
    <n v="74100"/>
    <n v="0"/>
    <n v="6"/>
    <n v="30"/>
    <s v="-"/>
    <n v="0"/>
    <n v="13"/>
    <n v="0"/>
    <n v="0"/>
    <x v="4"/>
    <n v="19"/>
    <s v="Kariyer.net"/>
    <m/>
    <n v="8"/>
    <s v="30-39"/>
    <s v="5-10 YIL"/>
    <x v="1"/>
  </r>
  <r>
    <s v="PER0261"/>
    <s v="Mehmet Kılıç"/>
    <x v="1"/>
    <d v="2004-09-14T00:00:00"/>
    <n v="22"/>
    <s v="Evli"/>
    <n v="3"/>
    <s v="Lisans"/>
    <x v="0"/>
    <s v="Operatör"/>
    <s v="Junior"/>
    <x v="0"/>
    <s v="Üretim &amp; Operasyon Müdürü"/>
    <x v="0"/>
    <d v="2023-11-14T00:00:00"/>
    <d v="2025-06-12T00:00:00"/>
    <x v="1"/>
    <n v="4"/>
    <x v="0"/>
    <n v="26300"/>
    <n v="0"/>
    <n v="39"/>
    <n v="27"/>
    <s v="01-Istirahat"/>
    <n v="2"/>
    <n v="8"/>
    <n v="1"/>
    <n v="0"/>
    <x v="4"/>
    <n v="15"/>
    <s v="Kariyer.net"/>
    <m/>
    <n v="2"/>
    <s v="20-29"/>
    <s v="1-3 YIL"/>
    <x v="9"/>
  </r>
  <r>
    <s v="PER0262"/>
    <s v="Aslan Aslan"/>
    <x v="0"/>
    <d v="2000-02-10T00:00:00"/>
    <n v="26"/>
    <s v="Evli"/>
    <n v="0"/>
    <s v="Lisans"/>
    <x v="0"/>
    <s v="Operatör"/>
    <s v="Junior"/>
    <x v="0"/>
    <s v="Üretim &amp; Operasyon Müdürü"/>
    <x v="0"/>
    <d v="2022-06-09T00:00:00"/>
    <s v="-"/>
    <x v="2"/>
    <s v="-"/>
    <x v="1"/>
    <n v="26300"/>
    <n v="0"/>
    <n v="11"/>
    <n v="30"/>
    <s v="-"/>
    <n v="0"/>
    <n v="9"/>
    <n v="0"/>
    <n v="0"/>
    <x v="1"/>
    <n v="10"/>
    <s v="Kariyer.net"/>
    <m/>
    <n v="4"/>
    <s v="20-29"/>
    <s v="3-5 YIL"/>
    <x v="7"/>
  </r>
  <r>
    <s v="PER0263"/>
    <s v="Emre Öztürk"/>
    <x v="1"/>
    <d v="2001-06-18T00:00:00"/>
    <n v="25"/>
    <s v="Bekar"/>
    <n v="0"/>
    <s v="Önlisans"/>
    <x v="1"/>
    <s v="Satış Temsilcisi"/>
    <s v="Junior"/>
    <x v="1"/>
    <s v="Satış &amp; Pazarlama Müdürü"/>
    <x v="2"/>
    <d v="2023-06-10T00:00:00"/>
    <s v="-"/>
    <x v="2"/>
    <s v="-"/>
    <x v="1"/>
    <n v="31800"/>
    <n v="4200"/>
    <n v="2"/>
    <n v="30"/>
    <s v="-"/>
    <n v="0"/>
    <n v="0"/>
    <n v="0"/>
    <n v="0"/>
    <x v="1"/>
    <n v="3"/>
    <s v="LinkedIn"/>
    <m/>
    <n v="3"/>
    <s v="20-29"/>
    <s v="3-5 YIL"/>
    <x v="9"/>
  </r>
  <r>
    <s v="PER0264"/>
    <s v="Zeynep Çelik"/>
    <x v="0"/>
    <d v="2001-11-03T00:00:00"/>
    <n v="25"/>
    <s v="Evli"/>
    <n v="1"/>
    <s v="Lisans"/>
    <x v="0"/>
    <s v="Operatör"/>
    <s v="Junior"/>
    <x v="0"/>
    <s v="Üretim &amp; Operasyon Müdürü"/>
    <x v="0"/>
    <d v="2022-09-16T00:00:00"/>
    <s v="-"/>
    <x v="2"/>
    <s v="-"/>
    <x v="1"/>
    <n v="25300"/>
    <n v="0"/>
    <n v="44"/>
    <n v="30"/>
    <s v="-"/>
    <n v="0"/>
    <n v="7"/>
    <n v="0"/>
    <n v="0"/>
    <x v="1"/>
    <n v="14"/>
    <s v="Kariyer.net"/>
    <m/>
    <n v="3"/>
    <s v="20-29"/>
    <s v="3-5 YIL"/>
    <x v="7"/>
  </r>
  <r>
    <s v="PER0265"/>
    <s v="Ömer Yılmaz"/>
    <x v="1"/>
    <d v="2003-11-23T00:00:00"/>
    <n v="23"/>
    <s v="Evli"/>
    <n v="2"/>
    <s v="Önlisans"/>
    <x v="0"/>
    <s v="Operatör"/>
    <s v="Junior"/>
    <x v="0"/>
    <s v="Üretim &amp; Operasyon Müdürü"/>
    <x v="0"/>
    <d v="2024-07-13T00:00:00"/>
    <s v="-"/>
    <x v="2"/>
    <s v="-"/>
    <x v="1"/>
    <n v="26000"/>
    <n v="0"/>
    <n v="33"/>
    <n v="27"/>
    <s v="01-Istirahat"/>
    <n v="3"/>
    <n v="12"/>
    <n v="0"/>
    <n v="0"/>
    <x v="1"/>
    <n v="13"/>
    <s v="Kariyer.net"/>
    <m/>
    <n v="1"/>
    <s v="20-29"/>
    <s v="1-3 YIL"/>
    <x v="2"/>
  </r>
  <r>
    <s v="PER0266"/>
    <s v="Furkan Aydın"/>
    <x v="1"/>
    <d v="1989-02-03T00:00:00"/>
    <n v="37"/>
    <s v="Evli"/>
    <n v="1"/>
    <s v="Önlisans"/>
    <x v="0"/>
    <s v="Takım Lideri"/>
    <s v="Senior"/>
    <x v="0"/>
    <s v="Üretim &amp; Operasyon Müdürü"/>
    <x v="0"/>
    <d v="2019-11-14T00:00:00"/>
    <s v="-"/>
    <x v="2"/>
    <s v="-"/>
    <x v="1"/>
    <n v="41600"/>
    <n v="0"/>
    <n v="11"/>
    <n v="27"/>
    <s v="01-Istirahat"/>
    <n v="3"/>
    <n v="3"/>
    <n v="0"/>
    <n v="0"/>
    <x v="1"/>
    <n v="13"/>
    <s v="LinkedIn"/>
    <m/>
    <n v="6"/>
    <s v="30-39"/>
    <s v="5-10 YIL"/>
    <x v="11"/>
  </r>
  <r>
    <s v="PER0267"/>
    <s v="Serkan Yıldız"/>
    <x v="1"/>
    <d v="1984-08-05T00:00:00"/>
    <n v="42"/>
    <s v="Bekar"/>
    <n v="0"/>
    <s v="Önlisans"/>
    <x v="1"/>
    <s v="Kıdemli Satış Uzmanı"/>
    <s v="Senior"/>
    <x v="1"/>
    <s v="Satış &amp; Pazarlama Müdürü"/>
    <x v="4"/>
    <d v="2023-04-14T00:00:00"/>
    <s v="-"/>
    <x v="2"/>
    <s v="-"/>
    <x v="1"/>
    <n v="57300"/>
    <n v="0"/>
    <n v="5"/>
    <n v="30"/>
    <s v="-"/>
    <n v="0"/>
    <n v="2"/>
    <n v="0"/>
    <n v="0"/>
    <x v="1"/>
    <n v="11"/>
    <s v="LinkedIn"/>
    <m/>
    <n v="3"/>
    <s v="40-49"/>
    <s v="3-5 YIL"/>
    <x v="9"/>
  </r>
  <r>
    <s v="PER0268"/>
    <s v="Gökhan Kaya"/>
    <x v="1"/>
    <d v="1997-05-23T00:00:00"/>
    <n v="29"/>
    <s v="Evli"/>
    <n v="0"/>
    <s v="Lisans"/>
    <x v="0"/>
    <s v="Operatör"/>
    <s v="Junior"/>
    <x v="0"/>
    <s v="Üretim &amp; Operasyon Müdürü"/>
    <x v="0"/>
    <d v="2024-03-01T00:00:00"/>
    <s v="-"/>
    <x v="2"/>
    <s v="-"/>
    <x v="1"/>
    <n v="27900"/>
    <n v="0"/>
    <n v="33"/>
    <n v="30"/>
    <s v="-"/>
    <n v="0"/>
    <n v="12"/>
    <n v="0"/>
    <n v="0"/>
    <x v="1"/>
    <n v="11"/>
    <s v="Şirket Web Sitesi"/>
    <m/>
    <n v="2"/>
    <s v="20-29"/>
    <s v="1-3 YIL"/>
    <x v="2"/>
  </r>
  <r>
    <s v="PER0269"/>
    <s v="Merve Öztürk"/>
    <x v="0"/>
    <d v="1997-06-26T00:00:00"/>
    <n v="29"/>
    <s v="Bekar"/>
    <n v="0"/>
    <s v="Yüksek Lisans"/>
    <x v="0"/>
    <s v="Operatör"/>
    <s v="Junior"/>
    <x v="0"/>
    <s v="Üretim &amp; Operasyon Müdürü"/>
    <x v="0"/>
    <d v="2025-12-04T00:00:00"/>
    <s v="-"/>
    <x v="2"/>
    <s v="-"/>
    <x v="1"/>
    <n v="27700"/>
    <n v="0"/>
    <n v="38"/>
    <n v="27"/>
    <s v="01-Istirahat"/>
    <n v="3"/>
    <n v="0"/>
    <n v="0"/>
    <n v="0"/>
    <x v="1"/>
    <n v="8"/>
    <s v="Danışmanlık Firması"/>
    <m/>
    <n v="0"/>
    <s v="20-29"/>
    <s v="0-1 YIL"/>
    <x v="0"/>
  </r>
  <r>
    <s v="PER0270"/>
    <s v="Serkan Çelik"/>
    <x v="1"/>
    <d v="1998-09-11T00:00:00"/>
    <n v="28"/>
    <s v="Bekar"/>
    <n v="0"/>
    <s v="Lisans"/>
    <x v="0"/>
    <s v="Operatör"/>
    <s v="Junior"/>
    <x v="0"/>
    <s v="Üretim &amp; Operasyon Müdürü"/>
    <x v="2"/>
    <d v="2026-03-09T00:00:00"/>
    <s v="-"/>
    <x v="2"/>
    <s v="-"/>
    <x v="1"/>
    <n v="27900"/>
    <n v="0"/>
    <n v="19"/>
    <n v="30"/>
    <s v="-"/>
    <n v="0"/>
    <n v="0"/>
    <n v="0"/>
    <n v="0"/>
    <x v="3"/>
    <n v="21"/>
    <s v="LinkedIn"/>
    <m/>
    <n v="0"/>
    <s v="20-29"/>
    <s v="0-1 YIL"/>
    <x v="3"/>
  </r>
  <r>
    <s v="PER0271"/>
    <s v="Merve Yılmaz"/>
    <x v="0"/>
    <d v="1993-05-15T00:00:00"/>
    <n v="33"/>
    <s v="Evli"/>
    <n v="3"/>
    <s v="Doktora"/>
    <x v="1"/>
    <s v="Kıdemli Satış Uzmanı"/>
    <s v="Senior"/>
    <x v="1"/>
    <s v="Satış &amp; Pazarlama Müdürü"/>
    <x v="2"/>
    <d v="2016-01-30T00:00:00"/>
    <s v="-"/>
    <x v="2"/>
    <s v="-"/>
    <x v="1"/>
    <n v="52400"/>
    <n v="7100"/>
    <n v="4"/>
    <n v="30"/>
    <s v="-"/>
    <n v="0"/>
    <n v="4"/>
    <n v="0"/>
    <n v="0"/>
    <x v="3"/>
    <n v="38"/>
    <s v="Referans"/>
    <m/>
    <n v="10"/>
    <s v="30-39"/>
    <s v="5-10 YIL"/>
    <x v="13"/>
  </r>
  <r>
    <s v="PER0272"/>
    <s v="İrem Yıldız"/>
    <x v="0"/>
    <d v="2000-03-22T00:00:00"/>
    <n v="26"/>
    <s v="Bekar"/>
    <n v="0"/>
    <s v="Yüksek Lisans"/>
    <x v="0"/>
    <s v="Operatör"/>
    <s v="Junior"/>
    <x v="0"/>
    <s v="Üretim &amp; Operasyon Müdürü"/>
    <x v="0"/>
    <d v="2022-06-26T00:00:00"/>
    <s v="-"/>
    <x v="2"/>
    <s v="-"/>
    <x v="1"/>
    <n v="24000"/>
    <n v="0"/>
    <n v="40"/>
    <n v="30"/>
    <s v="-"/>
    <n v="0"/>
    <n v="8"/>
    <n v="0"/>
    <n v="0"/>
    <x v="3"/>
    <n v="33"/>
    <s v="LinkedIn"/>
    <m/>
    <n v="4"/>
    <s v="20-29"/>
    <s v="3-5 YIL"/>
    <x v="7"/>
  </r>
  <r>
    <s v="PER0273"/>
    <s v="Büşra Şahin"/>
    <x v="0"/>
    <d v="1985-01-25T00:00:00"/>
    <n v="41"/>
    <s v="Evli"/>
    <n v="1"/>
    <s v="Yüksek Lisans"/>
    <x v="3"/>
    <s v="Kıdemli Yazılım Uzmanı"/>
    <s v="Senior"/>
    <x v="1"/>
    <s v="Bilgi Teknolojileri Müdürü"/>
    <x v="0"/>
    <d v="2019-03-21T00:00:00"/>
    <s v="-"/>
    <x v="2"/>
    <s v="-"/>
    <x v="1"/>
    <n v="86200"/>
    <n v="0"/>
    <n v="0"/>
    <n v="30"/>
    <s v="-"/>
    <n v="0"/>
    <n v="6"/>
    <n v="0"/>
    <n v="0"/>
    <x v="1"/>
    <n v="11"/>
    <s v="LinkedIn"/>
    <m/>
    <n v="7"/>
    <s v="40-49"/>
    <s v="5-10 YIL"/>
    <x v="11"/>
  </r>
  <r>
    <s v="PER0274"/>
    <s v="İrem Arslan"/>
    <x v="0"/>
    <d v="1999-03-06T00:00:00"/>
    <n v="27"/>
    <s v="Evli"/>
    <n v="1"/>
    <s v="Yüksek Lisans"/>
    <x v="1"/>
    <s v="Satış Temsilcisi"/>
    <s v="Junior"/>
    <x v="1"/>
    <s v="Satış &amp; Pazarlama Müdürü"/>
    <x v="1"/>
    <d v="2026-01-27T00:00:00"/>
    <s v="-"/>
    <x v="2"/>
    <s v="-"/>
    <x v="1"/>
    <n v="30900"/>
    <n v="8200"/>
    <n v="5"/>
    <n v="29"/>
    <s v="01-Istirahat"/>
    <n v="1"/>
    <n v="0"/>
    <n v="0"/>
    <n v="0"/>
    <x v="1"/>
    <n v="2"/>
    <s v="LinkedIn"/>
    <m/>
    <n v="0"/>
    <s v="20-29"/>
    <s v="0-1 YIL"/>
    <x v="3"/>
  </r>
  <r>
    <s v="PER0275"/>
    <s v="Can Çelik"/>
    <x v="1"/>
    <d v="1997-10-13T00:00:00"/>
    <n v="29"/>
    <s v="Bekar"/>
    <n v="0"/>
    <s v="Lisans"/>
    <x v="1"/>
    <s v="Satış Temsilcisi"/>
    <s v="Junior"/>
    <x v="1"/>
    <s v="Satış &amp; Pazarlama Müdürü"/>
    <x v="4"/>
    <d v="2023-05-09T00:00:00"/>
    <s v="-"/>
    <x v="2"/>
    <s v="-"/>
    <x v="1"/>
    <n v="35300"/>
    <n v="7900"/>
    <n v="2"/>
    <n v="30"/>
    <s v="-"/>
    <n v="0"/>
    <n v="14"/>
    <n v="0"/>
    <n v="0"/>
    <x v="1"/>
    <n v="12"/>
    <s v="Referans"/>
    <m/>
    <n v="3"/>
    <s v="20-29"/>
    <s v="3-5 YIL"/>
    <x v="9"/>
  </r>
  <r>
    <s v="PER0276"/>
    <s v="Mustafa Doğan"/>
    <x v="1"/>
    <d v="1974-07-27T00:00:00"/>
    <n v="52"/>
    <s v="Bekar"/>
    <n v="0"/>
    <s v="Lisans"/>
    <x v="2"/>
    <s v="Finans Müdürü"/>
    <s v="Manager"/>
    <x v="1"/>
    <s v="Genel Müdür"/>
    <x v="0"/>
    <d v="2015-04-24T00:00:00"/>
    <d v="2021-01-06T00:00:00"/>
    <x v="5"/>
    <n v="8"/>
    <x v="0"/>
    <n v="123800"/>
    <n v="8600"/>
    <n v="1"/>
    <n v="27"/>
    <s v="01-Istirahat"/>
    <n v="3"/>
    <n v="3"/>
    <n v="0"/>
    <n v="0"/>
    <x v="1"/>
    <n v="5"/>
    <s v="LinkedIn"/>
    <m/>
    <n v="11"/>
    <s v="50+"/>
    <s v="10+"/>
    <x v="8"/>
  </r>
  <r>
    <s v="PER0277"/>
    <s v="Gökhan Aydın"/>
    <x v="1"/>
    <d v="2000-03-22T00:00:00"/>
    <n v="26"/>
    <s v="Evli"/>
    <n v="2"/>
    <s v="Lisans"/>
    <x v="0"/>
    <s v="Operatör"/>
    <s v="Junior"/>
    <x v="0"/>
    <s v="Üretim &amp; Operasyon Müdürü"/>
    <x v="2"/>
    <d v="2022-10-29T00:00:00"/>
    <s v="-"/>
    <x v="2"/>
    <s v="-"/>
    <x v="1"/>
    <n v="24700"/>
    <n v="0"/>
    <n v="13"/>
    <n v="27"/>
    <s v="01-Istirahat"/>
    <n v="3"/>
    <n v="1"/>
    <n v="0"/>
    <n v="0"/>
    <x v="1"/>
    <n v="3"/>
    <s v="Kariyer.net"/>
    <m/>
    <n v="3"/>
    <s v="20-29"/>
    <s v="3-5 YIL"/>
    <x v="7"/>
  </r>
  <r>
    <s v="PER0278"/>
    <s v="Emre Kara"/>
    <x v="1"/>
    <d v="1985-05-02T00:00:00"/>
    <n v="41"/>
    <s v="Evli"/>
    <n v="0"/>
    <s v="Lisans"/>
    <x v="0"/>
    <s v="Takım Lideri"/>
    <s v="Senior"/>
    <x v="0"/>
    <s v="Üretim &amp; Operasyon Müdürü"/>
    <x v="3"/>
    <d v="2022-10-01T00:00:00"/>
    <s v="-"/>
    <x v="2"/>
    <s v="-"/>
    <x v="1"/>
    <n v="41700"/>
    <n v="0"/>
    <n v="42"/>
    <n v="20"/>
    <s v="01-Istirahat"/>
    <n v="10"/>
    <n v="14"/>
    <n v="0"/>
    <n v="0"/>
    <x v="1"/>
    <n v="10"/>
    <s v="Referans"/>
    <m/>
    <n v="3"/>
    <s v="40-49"/>
    <s v="3-5 YIL"/>
    <x v="7"/>
  </r>
  <r>
    <s v="PER0279"/>
    <s v="Mustafa Kılıç"/>
    <x v="1"/>
    <d v="1988-05-13T00:00:00"/>
    <n v="38"/>
    <s v="Evli"/>
    <n v="0"/>
    <s v="Önlisans"/>
    <x v="3"/>
    <s v="Kıdemli Yazılım Uzmanı"/>
    <s v="Senior"/>
    <x v="1"/>
    <s v="Bilgi Teknolojileri Müdürü"/>
    <x v="2"/>
    <d v="2022-06-05T00:00:00"/>
    <s v="-"/>
    <x v="2"/>
    <s v="-"/>
    <x v="1"/>
    <n v="75000"/>
    <n v="0"/>
    <n v="8"/>
    <n v="30"/>
    <s v="-"/>
    <n v="0"/>
    <n v="8"/>
    <n v="0"/>
    <n v="0"/>
    <x v="1"/>
    <n v="11"/>
    <s v="LinkedIn"/>
    <m/>
    <n v="4"/>
    <s v="30-39"/>
    <s v="3-5 YIL"/>
    <x v="7"/>
  </r>
  <r>
    <s v="PER0280"/>
    <s v="Elif Kaya"/>
    <x v="0"/>
    <d v="1997-10-18T00:00:00"/>
    <n v="29"/>
    <s v="Evli"/>
    <n v="2"/>
    <s v="Lisans"/>
    <x v="0"/>
    <s v="Operatör"/>
    <s v="Junior"/>
    <x v="0"/>
    <s v="Üretim &amp; Operasyon Müdürü"/>
    <x v="2"/>
    <d v="2024-09-19T00:00:00"/>
    <s v="-"/>
    <x v="2"/>
    <s v="-"/>
    <x v="1"/>
    <n v="23800"/>
    <n v="0"/>
    <n v="22"/>
    <n v="30"/>
    <s v="-"/>
    <n v="0"/>
    <n v="11"/>
    <n v="0"/>
    <n v="0"/>
    <x v="4"/>
    <n v="3"/>
    <s v="Referans"/>
    <m/>
    <n v="1"/>
    <s v="20-29"/>
    <s v="1-3 YIL"/>
    <x v="2"/>
  </r>
  <r>
    <s v="PER0281"/>
    <s v="Kübra Aslan"/>
    <x v="0"/>
    <d v="2002-09-09T00:00:00"/>
    <n v="24"/>
    <s v="Bekar"/>
    <n v="0"/>
    <s v="Lisans"/>
    <x v="3"/>
    <s v="Yazılım Uzman Yardımcısı"/>
    <s v="Junior"/>
    <x v="1"/>
    <s v="Bilgi Teknolojileri Müdürü"/>
    <x v="0"/>
    <d v="2025-03-31T00:00:00"/>
    <s v="-"/>
    <x v="2"/>
    <s v="-"/>
    <x v="1"/>
    <n v="47400"/>
    <n v="5700"/>
    <n v="2"/>
    <n v="28"/>
    <s v="01-Istirahat"/>
    <n v="2"/>
    <n v="12"/>
    <n v="0"/>
    <n v="0"/>
    <x v="4"/>
    <n v="13"/>
    <s v="LinkedIn"/>
    <m/>
    <n v="1"/>
    <s v="20-29"/>
    <s v="1-3 YIL"/>
    <x v="0"/>
  </r>
  <r>
    <s v="PER0282"/>
    <s v="Mehmet Kaya"/>
    <x v="1"/>
    <d v="1997-07-06T00:00:00"/>
    <n v="29"/>
    <s v="Evli"/>
    <n v="1"/>
    <s v="Önlisans"/>
    <x v="2"/>
    <s v="Mali İşler Uzmanı"/>
    <s v="Senior"/>
    <x v="1"/>
    <s v="Finans &amp; Muhasebe Müdürü"/>
    <x v="2"/>
    <d v="2019-04-08T00:00:00"/>
    <s v="-"/>
    <x v="2"/>
    <s v="-"/>
    <x v="1"/>
    <n v="55500"/>
    <n v="6300"/>
    <n v="5"/>
    <n v="29"/>
    <s v="01-Istirahat"/>
    <n v="1"/>
    <n v="9"/>
    <n v="0"/>
    <n v="0"/>
    <x v="3"/>
    <n v="15"/>
    <s v="Kariyer.net"/>
    <m/>
    <n v="7"/>
    <s v="20-29"/>
    <s v="5-10 YIL"/>
    <x v="11"/>
  </r>
  <r>
    <s v="PER0283"/>
    <s v="Oğuzhan Kaya"/>
    <x v="1"/>
    <d v="1998-12-08T00:00:00"/>
    <n v="28"/>
    <s v="Evli"/>
    <n v="0"/>
    <s v="Önlisans"/>
    <x v="0"/>
    <s v="Operatör"/>
    <s v="Junior"/>
    <x v="0"/>
    <s v="Üretim &amp; Operasyon Müdürü"/>
    <x v="3"/>
    <d v="2026-02-23T00:00:00"/>
    <s v="-"/>
    <x v="2"/>
    <s v="-"/>
    <x v="1"/>
    <n v="28000"/>
    <n v="0"/>
    <n v="34"/>
    <n v="29"/>
    <s v="01-Istirahat"/>
    <n v="1"/>
    <n v="0"/>
    <n v="0"/>
    <n v="0"/>
    <x v="1"/>
    <n v="9"/>
    <s v="Kariyer.net"/>
    <m/>
    <n v="0"/>
    <s v="20-29"/>
    <s v="0-1 YIL"/>
    <x v="3"/>
  </r>
  <r>
    <s v="PER0284"/>
    <s v="Ali Kaya"/>
    <x v="1"/>
    <d v="1998-10-12T00:00:00"/>
    <n v="28"/>
    <s v="Evli"/>
    <n v="1"/>
    <s v="Lisans"/>
    <x v="1"/>
    <s v="Satış Temsilcisi"/>
    <s v="Junior"/>
    <x v="1"/>
    <s v="Satış &amp; Pazarlama Müdürü"/>
    <x v="0"/>
    <d v="2024-03-21T00:00:00"/>
    <s v="-"/>
    <x v="2"/>
    <s v="-"/>
    <x v="1"/>
    <n v="34400"/>
    <n v="10600"/>
    <n v="5"/>
    <n v="29"/>
    <s v="01-Istirahat"/>
    <n v="1"/>
    <n v="10"/>
    <n v="0"/>
    <n v="0"/>
    <x v="1"/>
    <n v="12"/>
    <s v="Kariyer.net"/>
    <m/>
    <n v="2"/>
    <s v="20-29"/>
    <s v="1-3 YIL"/>
    <x v="2"/>
  </r>
  <r>
    <s v="PER0285"/>
    <s v="Gamze Aslan"/>
    <x v="0"/>
    <d v="1985-06-10T00:00:00"/>
    <n v="41"/>
    <s v="Bekar"/>
    <n v="0"/>
    <s v="Lisans"/>
    <x v="0"/>
    <s v="Takım Lideri"/>
    <s v="Senior"/>
    <x v="0"/>
    <s v="Üretim &amp; Operasyon Müdürü"/>
    <x v="0"/>
    <d v="2021-10-28T00:00:00"/>
    <s v="-"/>
    <x v="2"/>
    <s v="-"/>
    <x v="1"/>
    <n v="43800"/>
    <n v="0"/>
    <n v="37"/>
    <n v="30"/>
    <s v="-"/>
    <n v="0"/>
    <n v="12"/>
    <n v="0"/>
    <n v="0"/>
    <x v="3"/>
    <n v="33"/>
    <s v="Danışmanlık Firması"/>
    <m/>
    <n v="4"/>
    <s v="40-49"/>
    <s v="3-5 YIL"/>
    <x v="14"/>
  </r>
  <r>
    <s v="PER0286"/>
    <s v="Ali Çetin"/>
    <x v="1"/>
    <d v="1990-02-25T00:00:00"/>
    <n v="36"/>
    <s v="Evli"/>
    <n v="0"/>
    <s v="Lisans"/>
    <x v="1"/>
    <s v="Kıdemli Satış Uzmanı"/>
    <s v="Senior"/>
    <x v="1"/>
    <s v="Satış &amp; Pazarlama Müdürü"/>
    <x v="0"/>
    <d v="2019-09-06T00:00:00"/>
    <d v="2023-01-27T00:00:00"/>
    <x v="1"/>
    <n v="4"/>
    <x v="0"/>
    <n v="57900"/>
    <n v="7000"/>
    <n v="5"/>
    <n v="30"/>
    <s v="-"/>
    <n v="0"/>
    <n v="2"/>
    <n v="0"/>
    <n v="0"/>
    <x v="4"/>
    <n v="8"/>
    <s v="LinkedIn"/>
    <m/>
    <n v="6"/>
    <s v="30-39"/>
    <s v="5-10 YIL"/>
    <x v="11"/>
  </r>
  <r>
    <s v="PER0287"/>
    <s v="Ali Doğan"/>
    <x v="1"/>
    <d v="2004-05-13T00:00:00"/>
    <n v="22"/>
    <s v="Evli"/>
    <n v="1"/>
    <s v="Doktora"/>
    <x v="0"/>
    <s v="Operatör"/>
    <s v="Junior"/>
    <x v="0"/>
    <s v="Üretim &amp; Operasyon Müdürü"/>
    <x v="0"/>
    <d v="2024-11-05T00:00:00"/>
    <d v="2025-03-13T00:00:00"/>
    <x v="1"/>
    <n v="4"/>
    <x v="0"/>
    <n v="28700"/>
    <n v="0"/>
    <n v="38"/>
    <n v="30"/>
    <s v="-"/>
    <n v="0"/>
    <n v="11"/>
    <n v="0"/>
    <n v="0"/>
    <x v="3"/>
    <n v="27"/>
    <s v="Şirket Web Sitesi"/>
    <m/>
    <n v="1"/>
    <s v="20-29"/>
    <s v="1-3 YIL"/>
    <x v="2"/>
  </r>
  <r>
    <s v="PER0288"/>
    <s v="Ali Kaya"/>
    <x v="1"/>
    <d v="1983-05-03T00:00:00"/>
    <n v="43"/>
    <s v="Evli"/>
    <n v="3"/>
    <s v="Yüksek Lisans"/>
    <x v="2"/>
    <s v="Mali İşler Uzmanı"/>
    <s v="Senior"/>
    <x v="1"/>
    <s v="Finans &amp; Muhasebe Müdürü"/>
    <x v="0"/>
    <d v="2022-06-21T00:00:00"/>
    <d v="2024-10-03T00:00:00"/>
    <x v="4"/>
    <n v="3"/>
    <x v="0"/>
    <n v="64500"/>
    <n v="5800"/>
    <n v="5"/>
    <n v="30"/>
    <s v="-"/>
    <n v="0"/>
    <n v="11"/>
    <n v="0"/>
    <n v="0"/>
    <x v="3"/>
    <n v="38"/>
    <s v="LinkedIn"/>
    <m/>
    <n v="4"/>
    <s v="40-49"/>
    <s v="3-5 YIL"/>
    <x v="7"/>
  </r>
  <r>
    <s v="PER0289"/>
    <s v="Gökhan Öztürk"/>
    <x v="1"/>
    <d v="2002-03-27T00:00:00"/>
    <n v="24"/>
    <s v="Bekar"/>
    <n v="0"/>
    <s v="Lisans"/>
    <x v="4"/>
    <s v="İK Uzman Yardımcısı"/>
    <s v="Junior"/>
    <x v="1"/>
    <s v="İnsan Kaynakları Müdürü"/>
    <x v="4"/>
    <d v="2025-10-28T00:00:00"/>
    <d v="2026-05-19T00:00:00"/>
    <x v="1"/>
    <n v="4"/>
    <x v="0"/>
    <n v="37700"/>
    <n v="0"/>
    <n v="1"/>
    <n v="29"/>
    <s v="01-Istirahat"/>
    <n v="1"/>
    <n v="0"/>
    <n v="0"/>
    <n v="0"/>
    <x v="0"/>
    <n v="6"/>
    <s v="Referans"/>
    <m/>
    <n v="0"/>
    <s v="20-29"/>
    <s v="0-1 YIL"/>
    <x v="0"/>
  </r>
  <r>
    <s v="PER0290"/>
    <s v="Selin Şahin"/>
    <x v="0"/>
    <d v="1993-09-03T00:00:00"/>
    <n v="33"/>
    <s v="Evli"/>
    <n v="1"/>
    <s v="Önlisans"/>
    <x v="0"/>
    <s v="Takım Lideri"/>
    <s v="Senior"/>
    <x v="0"/>
    <s v="Üretim &amp; Operasyon Müdürü"/>
    <x v="2"/>
    <d v="2014-10-20T00:00:00"/>
    <s v="-"/>
    <x v="2"/>
    <s v="-"/>
    <x v="1"/>
    <n v="44900"/>
    <n v="0"/>
    <n v="28"/>
    <n v="30"/>
    <s v="-"/>
    <n v="0"/>
    <n v="2"/>
    <n v="0"/>
    <n v="0"/>
    <x v="3"/>
    <n v="13"/>
    <s v="Kariyer.net"/>
    <m/>
    <n v="11"/>
    <s v="30-39"/>
    <s v="10+"/>
    <x v="6"/>
  </r>
  <r>
    <s v="PER0291"/>
    <s v="Kübra Yıldız"/>
    <x v="0"/>
    <d v="1991-02-20T00:00:00"/>
    <n v="35"/>
    <s v="Bekar"/>
    <n v="0"/>
    <s v="Doktora"/>
    <x v="0"/>
    <s v="Takım Lideri"/>
    <s v="Senior"/>
    <x v="0"/>
    <s v="Üretim &amp; Operasyon Müdürü"/>
    <x v="0"/>
    <d v="2016-05-16T00:00:00"/>
    <s v="-"/>
    <x v="2"/>
    <s v="-"/>
    <x v="1"/>
    <n v="41300"/>
    <n v="0"/>
    <n v="34"/>
    <n v="30"/>
    <s v="-"/>
    <n v="0"/>
    <n v="7"/>
    <n v="0"/>
    <n v="0"/>
    <x v="1"/>
    <n v="9"/>
    <s v="Kariyer.net"/>
    <m/>
    <n v="10"/>
    <s v="30-39"/>
    <s v="5-10 YIL"/>
    <x v="13"/>
  </r>
  <r>
    <s v="PER0292"/>
    <s v="Selin Kılıç"/>
    <x v="0"/>
    <d v="1981-02-07T00:00:00"/>
    <n v="45"/>
    <s v="Evli"/>
    <n v="2"/>
    <s v="Lisans"/>
    <x v="0"/>
    <s v="Takım Lideri"/>
    <s v="Senior"/>
    <x v="0"/>
    <s v="Üretim &amp; Operasyon Müdürü"/>
    <x v="2"/>
    <d v="2023-05-29T00:00:00"/>
    <s v="-"/>
    <x v="2"/>
    <s v="-"/>
    <x v="1"/>
    <n v="39000"/>
    <n v="0"/>
    <n v="25"/>
    <n v="30"/>
    <s v="-"/>
    <n v="0"/>
    <n v="12"/>
    <n v="0"/>
    <n v="0"/>
    <x v="4"/>
    <n v="18"/>
    <s v="LinkedIn"/>
    <m/>
    <n v="3"/>
    <s v="40-49"/>
    <s v="3-5 YIL"/>
    <x v="9"/>
  </r>
  <r>
    <s v="PER0293"/>
    <s v="Fatma Özdemir"/>
    <x v="0"/>
    <d v="2003-01-07T00:00:00"/>
    <n v="23"/>
    <s v="Evli"/>
    <n v="1"/>
    <s v="Lisans"/>
    <x v="1"/>
    <s v="Satış Temsilcisi"/>
    <s v="Junior"/>
    <x v="1"/>
    <s v="Satış &amp; Pazarlama Müdürü"/>
    <x v="2"/>
    <d v="2024-05-14T00:00:00"/>
    <s v="-"/>
    <x v="2"/>
    <s v="-"/>
    <x v="1"/>
    <n v="36400"/>
    <n v="10200"/>
    <n v="5"/>
    <n v="29"/>
    <s v="01-Istirahat"/>
    <n v="1"/>
    <n v="3"/>
    <n v="0"/>
    <n v="0"/>
    <x v="1"/>
    <n v="11"/>
    <s v="LinkedIn"/>
    <m/>
    <n v="2"/>
    <s v="20-29"/>
    <s v="1-3 YIL"/>
    <x v="2"/>
  </r>
  <r>
    <s v="PER0294"/>
    <s v="Serkan Arslan"/>
    <x v="1"/>
    <d v="1999-03-17T00:00:00"/>
    <n v="27"/>
    <s v="Evli"/>
    <n v="1"/>
    <s v="Lisans"/>
    <x v="4"/>
    <s v="İK Uzman Yardımcısı"/>
    <s v="Junior"/>
    <x v="1"/>
    <s v="İnsan Kaynakları Müdürü"/>
    <x v="2"/>
    <d v="2023-05-12T00:00:00"/>
    <d v="2024-01-24T00:00:00"/>
    <x v="1"/>
    <n v="4"/>
    <x v="0"/>
    <n v="32600"/>
    <n v="0"/>
    <n v="8"/>
    <n v="30"/>
    <s v="-"/>
    <n v="0"/>
    <n v="12"/>
    <n v="0"/>
    <n v="0"/>
    <x v="1"/>
    <n v="7"/>
    <s v="LinkedIn"/>
    <m/>
    <n v="3"/>
    <s v="20-29"/>
    <s v="3-5 YIL"/>
    <x v="9"/>
  </r>
  <r>
    <s v="PER0295"/>
    <s v="Can Yıldız"/>
    <x v="1"/>
    <d v="1992-11-10T00:00:00"/>
    <n v="34"/>
    <s v="Bekar"/>
    <n v="0"/>
    <s v="Lisans"/>
    <x v="1"/>
    <s v="Kıdemli Satış Uzmanı"/>
    <s v="Senior"/>
    <x v="1"/>
    <s v="Satış &amp; Pazarlama Müdürü"/>
    <x v="0"/>
    <d v="2015-10-21T00:00:00"/>
    <s v="-"/>
    <x v="2"/>
    <s v="-"/>
    <x v="1"/>
    <n v="57700"/>
    <n v="0"/>
    <n v="4"/>
    <n v="30"/>
    <s v="-"/>
    <n v="0"/>
    <n v="10"/>
    <n v="0"/>
    <n v="0"/>
    <x v="3"/>
    <n v="29"/>
    <s v="LinkedIn"/>
    <m/>
    <n v="10"/>
    <s v="30-39"/>
    <s v="5-10 YIL"/>
    <x v="8"/>
  </r>
  <r>
    <s v="PER0296"/>
    <s v="Furkan Kılıç"/>
    <x v="1"/>
    <d v="2002-11-17T00:00:00"/>
    <n v="24"/>
    <s v="Evli"/>
    <n v="0"/>
    <s v="Lisans"/>
    <x v="0"/>
    <s v="Operatör"/>
    <s v="Junior"/>
    <x v="0"/>
    <s v="Üretim &amp; Operasyon Müdürü"/>
    <x v="0"/>
    <d v="2024-02-22T00:00:00"/>
    <s v="-"/>
    <x v="2"/>
    <s v="-"/>
    <x v="1"/>
    <n v="24300"/>
    <n v="0"/>
    <n v="24"/>
    <n v="30"/>
    <s v="-"/>
    <n v="0"/>
    <n v="14"/>
    <n v="0"/>
    <n v="0"/>
    <x v="4"/>
    <n v="13"/>
    <s v="LinkedIn"/>
    <m/>
    <n v="2"/>
    <s v="20-29"/>
    <s v="1-3 YIL"/>
    <x v="2"/>
  </r>
  <r>
    <s v="PER0297"/>
    <s v="Aslan Yıldız"/>
    <x v="0"/>
    <d v="2002-11-05T00:00:00"/>
    <n v="24"/>
    <s v="Bekar"/>
    <n v="0"/>
    <s v="Lisans"/>
    <x v="0"/>
    <s v="Operatör"/>
    <s v="Junior"/>
    <x v="0"/>
    <s v="Üretim &amp; Operasyon Müdürü"/>
    <x v="4"/>
    <d v="2022-09-01T00:00:00"/>
    <s v="-"/>
    <x v="2"/>
    <s v="-"/>
    <x v="1"/>
    <n v="26300"/>
    <n v="0"/>
    <n v="19"/>
    <n v="29"/>
    <s v="02-Ucretsiz Izin"/>
    <n v="0"/>
    <n v="14"/>
    <n v="1"/>
    <n v="0"/>
    <x v="4"/>
    <n v="8"/>
    <s v="LinkedIn"/>
    <m/>
    <n v="3"/>
    <s v="20-29"/>
    <s v="3-5 YIL"/>
    <x v="7"/>
  </r>
  <r>
    <s v="PER0298"/>
    <s v="Fatma Özdemir"/>
    <x v="0"/>
    <d v="2001-02-23T00:00:00"/>
    <n v="25"/>
    <s v="Bekar"/>
    <n v="0"/>
    <s v="Lisans"/>
    <x v="4"/>
    <s v="İK Uzman Yardımcısı"/>
    <s v="Junior"/>
    <x v="1"/>
    <s v="İnsan Kaynakları Müdürü"/>
    <x v="0"/>
    <d v="2023-01-12T00:00:00"/>
    <d v="2025-06-05T00:00:00"/>
    <x v="1"/>
    <n v="4"/>
    <x v="0"/>
    <n v="32700"/>
    <n v="0"/>
    <n v="1"/>
    <n v="30"/>
    <s v="-"/>
    <n v="0"/>
    <n v="0"/>
    <n v="0"/>
    <n v="0"/>
    <x v="3"/>
    <n v="13"/>
    <s v="Şirket Web Sitesi"/>
    <m/>
    <n v="3"/>
    <s v="20-29"/>
    <s v="3-5 YIL"/>
    <x v="9"/>
  </r>
  <r>
    <s v="PER0299"/>
    <s v="Hilal Çelik"/>
    <x v="0"/>
    <d v="1999-01-14T00:00:00"/>
    <n v="27"/>
    <s v="Evli"/>
    <n v="1"/>
    <s v="Lisans"/>
    <x v="0"/>
    <s v="Operatör"/>
    <s v="Junior"/>
    <x v="0"/>
    <s v="Üretim &amp; Operasyon Müdürü"/>
    <x v="0"/>
    <d v="2022-07-11T00:00:00"/>
    <s v="-"/>
    <x v="2"/>
    <s v="-"/>
    <x v="1"/>
    <n v="24400"/>
    <n v="0"/>
    <n v="27"/>
    <n v="30"/>
    <s v="-"/>
    <n v="0"/>
    <n v="5"/>
    <n v="0"/>
    <n v="0"/>
    <x v="3"/>
    <n v="22"/>
    <s v="Kariyer.net"/>
    <m/>
    <n v="3"/>
    <s v="20-29"/>
    <s v="3-5 YIL"/>
    <x v="7"/>
  </r>
  <r>
    <s v="PER0300"/>
    <s v="Elif Kılıç"/>
    <x v="0"/>
    <d v="1989-04-10T00:00:00"/>
    <n v="37"/>
    <s v="Evli"/>
    <n v="3"/>
    <s v="Lisans"/>
    <x v="2"/>
    <s v="Mali İşler Uzmanı"/>
    <s v="Senior"/>
    <x v="1"/>
    <s v="Finans &amp; Muhasebe Müdürü"/>
    <x v="0"/>
    <d v="2020-08-21T00:00:00"/>
    <s v="-"/>
    <x v="2"/>
    <s v="-"/>
    <x v="1"/>
    <n v="58800"/>
    <n v="0"/>
    <n v="5"/>
    <n v="30"/>
    <s v="-"/>
    <n v="0"/>
    <n v="10"/>
    <n v="0"/>
    <n v="0"/>
    <x v="3"/>
    <n v="12"/>
    <s v="Referans"/>
    <m/>
    <n v="5"/>
    <s v="30-39"/>
    <s v="5-10 YIL"/>
    <x v="5"/>
  </r>
  <r>
    <s v="PER0301"/>
    <s v="Fatma Kara"/>
    <x v="0"/>
    <d v="2001-05-18T00:00:00"/>
    <n v="25"/>
    <s v="Evli"/>
    <n v="0"/>
    <s v="Lisans"/>
    <x v="0"/>
    <s v="Operatör"/>
    <s v="Junior"/>
    <x v="0"/>
    <s v="Üretim &amp; Operasyon Müdürü"/>
    <x v="4"/>
    <d v="2024-01-21T00:00:00"/>
    <s v="-"/>
    <x v="2"/>
    <s v="-"/>
    <x v="1"/>
    <n v="25500"/>
    <n v="0"/>
    <n v="34"/>
    <n v="30"/>
    <s v="-"/>
    <n v="0"/>
    <n v="2"/>
    <n v="0"/>
    <n v="0"/>
    <x v="1"/>
    <n v="17"/>
    <s v="Kariyer.net"/>
    <m/>
    <n v="2"/>
    <s v="20-29"/>
    <s v="1-3 YIL"/>
    <x v="2"/>
  </r>
  <r>
    <s v="PER0302"/>
    <s v="Fatma Öztürk"/>
    <x v="0"/>
    <d v="1980-09-16T00:00:00"/>
    <n v="46"/>
    <s v="Bekar"/>
    <n v="0"/>
    <s v="Lisans"/>
    <x v="1"/>
    <s v="Kıdemli Satış Uzmanı"/>
    <s v="Senior"/>
    <x v="1"/>
    <s v="Satış &amp; Pazarlama Müdürü"/>
    <x v="0"/>
    <d v="2021-12-10T00:00:00"/>
    <s v="-"/>
    <x v="2"/>
    <s v="-"/>
    <x v="1"/>
    <n v="60200"/>
    <n v="7300"/>
    <n v="2"/>
    <n v="30"/>
    <s v="-"/>
    <n v="0"/>
    <n v="2"/>
    <n v="0"/>
    <n v="0"/>
    <x v="0"/>
    <n v="16"/>
    <s v="Danışmanlık Firması"/>
    <m/>
    <n v="4"/>
    <s v="40-49"/>
    <s v="3-5 YIL"/>
    <x v="14"/>
  </r>
  <r>
    <s v="PER0303"/>
    <s v="Ali Çetin"/>
    <x v="1"/>
    <d v="1984-11-02T00:00:00"/>
    <n v="42"/>
    <s v="Evli"/>
    <n v="0"/>
    <s v="Lisans"/>
    <x v="3"/>
    <s v="BT Müdürü"/>
    <s v="Manager"/>
    <x v="1"/>
    <s v="Genel Müdür"/>
    <x v="3"/>
    <d v="2009-11-12T00:00:00"/>
    <s v="-"/>
    <x v="2"/>
    <s v="-"/>
    <x v="1"/>
    <n v="124900"/>
    <n v="16700"/>
    <n v="7"/>
    <n v="30"/>
    <s v="-"/>
    <n v="0"/>
    <n v="14"/>
    <n v="0"/>
    <n v="0"/>
    <x v="3"/>
    <n v="19"/>
    <s v="Referans"/>
    <m/>
    <n v="16"/>
    <s v="40-49"/>
    <s v="10+"/>
    <x v="17"/>
  </r>
  <r>
    <s v="PER0304"/>
    <s v="Ahmet Doğan"/>
    <x v="1"/>
    <d v="2004-07-03T00:00:00"/>
    <n v="22"/>
    <s v="Evli"/>
    <n v="1"/>
    <s v="Önlisans"/>
    <x v="0"/>
    <s v="Operatör"/>
    <s v="Junior"/>
    <x v="0"/>
    <s v="Üretim &amp; Operasyon Müdürü"/>
    <x v="0"/>
    <d v="2022-10-03T00:00:00"/>
    <d v="2024-01-12T00:00:00"/>
    <x v="3"/>
    <n v="17"/>
    <x v="0"/>
    <n v="27200"/>
    <n v="0"/>
    <n v="12"/>
    <n v="30"/>
    <s v="-"/>
    <n v="0"/>
    <n v="7"/>
    <n v="0"/>
    <n v="0"/>
    <x v="0"/>
    <n v="17"/>
    <s v="Kariyer.net"/>
    <m/>
    <n v="3"/>
    <s v="20-29"/>
    <s v="3-5 YIL"/>
    <x v="7"/>
  </r>
  <r>
    <s v="PER0305"/>
    <s v="Ahmet Çetin"/>
    <x v="1"/>
    <d v="1982-04-22T00:00:00"/>
    <n v="44"/>
    <s v="Evli"/>
    <n v="1"/>
    <s v="Lisans"/>
    <x v="0"/>
    <s v="Takım Lideri"/>
    <s v="Senior"/>
    <x v="0"/>
    <s v="Üretim &amp; Operasyon Müdürü"/>
    <x v="0"/>
    <d v="2022-10-24T00:00:00"/>
    <s v="-"/>
    <x v="2"/>
    <s v="-"/>
    <x v="1"/>
    <n v="45500"/>
    <n v="0"/>
    <n v="38"/>
    <n v="30"/>
    <s v="-"/>
    <n v="0"/>
    <n v="4"/>
    <n v="0"/>
    <n v="0"/>
    <x v="1"/>
    <n v="14"/>
    <s v="Kariyer.net"/>
    <m/>
    <n v="3"/>
    <s v="40-49"/>
    <s v="3-5 YIL"/>
    <x v="7"/>
  </r>
  <r>
    <s v="PER0306"/>
    <s v="Dilan Aydın"/>
    <x v="0"/>
    <d v="2002-06-04T00:00:00"/>
    <n v="24"/>
    <s v="Evli"/>
    <n v="3"/>
    <s v="Lisans"/>
    <x v="3"/>
    <s v="Yazılım Uzman Yardımcısı"/>
    <s v="Junior"/>
    <x v="1"/>
    <s v="Bilgi Teknolojileri Müdürü"/>
    <x v="0"/>
    <d v="2025-04-23T00:00:00"/>
    <s v="-"/>
    <x v="2"/>
    <s v="-"/>
    <x v="1"/>
    <n v="43600"/>
    <n v="0"/>
    <n v="5"/>
    <n v="30"/>
    <s v="-"/>
    <n v="0"/>
    <n v="7"/>
    <n v="0"/>
    <n v="0"/>
    <x v="4"/>
    <n v="7"/>
    <s v="Referans"/>
    <m/>
    <n v="1"/>
    <s v="20-29"/>
    <s v="1-3 YIL"/>
    <x v="0"/>
  </r>
  <r>
    <s v="PER0307"/>
    <s v="Fatma Yıldız"/>
    <x v="0"/>
    <d v="2002-07-10T00:00:00"/>
    <n v="24"/>
    <s v="Evli"/>
    <n v="1"/>
    <s v="Lisans"/>
    <x v="0"/>
    <s v="Operatör"/>
    <s v="Junior"/>
    <x v="0"/>
    <s v="Üretim &amp; Operasyon Müdürü"/>
    <x v="1"/>
    <d v="2024-03-31T00:00:00"/>
    <d v="2024-12-17T00:00:00"/>
    <x v="3"/>
    <n v="17"/>
    <x v="0"/>
    <n v="28300"/>
    <n v="0"/>
    <n v="22"/>
    <n v="29"/>
    <s v="01-Istirahat"/>
    <n v="1"/>
    <n v="7"/>
    <n v="0"/>
    <n v="0"/>
    <x v="1"/>
    <n v="19"/>
    <s v="Kariyer.net"/>
    <m/>
    <n v="2"/>
    <s v="20-29"/>
    <s v="1-3 YIL"/>
    <x v="2"/>
  </r>
  <r>
    <s v="PER0308"/>
    <s v="Kübra Aydın"/>
    <x v="0"/>
    <d v="1979-05-13T00:00:00"/>
    <n v="47"/>
    <s v="Evli"/>
    <n v="2"/>
    <s v="Lisans"/>
    <x v="2"/>
    <s v="Finans Müdürü"/>
    <s v="Manager"/>
    <x v="1"/>
    <s v="Genel Müdür"/>
    <x v="0"/>
    <d v="2015-05-02T00:00:00"/>
    <d v="2020-08-26T00:00:00"/>
    <x v="0"/>
    <n v="3"/>
    <x v="0"/>
    <n v="117700"/>
    <n v="0"/>
    <n v="2"/>
    <n v="28"/>
    <s v="01-Istirahat"/>
    <n v="2"/>
    <n v="2"/>
    <n v="0"/>
    <n v="0"/>
    <x v="2"/>
    <n v="18"/>
    <s v="LinkedIn"/>
    <m/>
    <n v="11"/>
    <s v="40-49"/>
    <s v="10+"/>
    <x v="8"/>
  </r>
  <r>
    <s v="PER0309"/>
    <s v="Hasan Aydın"/>
    <x v="1"/>
    <d v="1997-07-10T00:00:00"/>
    <n v="29"/>
    <s v="Evli"/>
    <n v="2"/>
    <s v="Lisans"/>
    <x v="0"/>
    <s v="Operatör"/>
    <s v="Junior"/>
    <x v="0"/>
    <s v="Üretim &amp; Operasyon Müdürü"/>
    <x v="1"/>
    <d v="2023-03-30T00:00:00"/>
    <d v="2023-05-18T00:00:00"/>
    <x v="3"/>
    <n v="17"/>
    <x v="0"/>
    <n v="27100"/>
    <n v="0"/>
    <n v="17"/>
    <n v="30"/>
    <s v="-"/>
    <n v="0"/>
    <n v="8"/>
    <n v="0"/>
    <n v="0"/>
    <x v="1"/>
    <n v="13"/>
    <s v="LinkedIn"/>
    <m/>
    <n v="3"/>
    <s v="20-29"/>
    <s v="3-5 YIL"/>
    <x v="9"/>
  </r>
  <r>
    <s v="PER0310"/>
    <s v="Fatma Arslan"/>
    <x v="0"/>
    <d v="2001-04-03T00:00:00"/>
    <n v="25"/>
    <s v="Bekar"/>
    <n v="0"/>
    <s v="Lisans"/>
    <x v="1"/>
    <s v="Satış Temsilcisi"/>
    <s v="Junior"/>
    <x v="1"/>
    <s v="Satış &amp; Pazarlama Müdürü"/>
    <x v="4"/>
    <d v="2023-10-19T00:00:00"/>
    <s v="-"/>
    <x v="2"/>
    <s v="-"/>
    <x v="1"/>
    <n v="33200"/>
    <n v="4600"/>
    <n v="0"/>
    <n v="30"/>
    <s v="-"/>
    <n v="0"/>
    <n v="5"/>
    <n v="0"/>
    <n v="0"/>
    <x v="1"/>
    <n v="11"/>
    <s v="Şirket Web Sitesi"/>
    <m/>
    <n v="2"/>
    <s v="20-29"/>
    <s v="1-3 YIL"/>
    <x v="9"/>
  </r>
  <r>
    <s v="PER0311"/>
    <s v="Gökhan Yıldız"/>
    <x v="1"/>
    <d v="1997-11-20T00:00:00"/>
    <n v="29"/>
    <s v="Evli"/>
    <n v="1"/>
    <s v="Önlisans"/>
    <x v="0"/>
    <s v="Operatör"/>
    <s v="Junior"/>
    <x v="0"/>
    <s v="Üretim &amp; Operasyon Müdürü"/>
    <x v="0"/>
    <d v="2022-12-05T00:00:00"/>
    <s v="-"/>
    <x v="2"/>
    <s v="-"/>
    <x v="1"/>
    <n v="24500"/>
    <n v="0"/>
    <n v="43"/>
    <n v="25"/>
    <s v="01-Istirahat"/>
    <n v="5"/>
    <n v="14"/>
    <n v="0"/>
    <n v="0"/>
    <x v="1"/>
    <n v="19"/>
    <s v="Danışmanlık Firması"/>
    <m/>
    <n v="3"/>
    <s v="20-29"/>
    <s v="3-5 YIL"/>
    <x v="7"/>
  </r>
  <r>
    <s v="PER0312"/>
    <s v="Hasan Öztürk"/>
    <x v="1"/>
    <d v="2003-12-12T00:00:00"/>
    <n v="23"/>
    <s v="Bekar"/>
    <n v="0"/>
    <s v="Lisans"/>
    <x v="0"/>
    <s v="Operatör"/>
    <s v="Junior"/>
    <x v="0"/>
    <s v="Üretim &amp; Operasyon Müdürü"/>
    <x v="2"/>
    <d v="2025-12-25T00:00:00"/>
    <d v="2026-04-17T00:00:00"/>
    <x v="4"/>
    <n v="3"/>
    <x v="0"/>
    <n v="28000"/>
    <n v="0"/>
    <n v="36"/>
    <n v="29"/>
    <s v="02-Ucretsiz Izin"/>
    <n v="0"/>
    <n v="0"/>
    <n v="1"/>
    <n v="0"/>
    <x v="1"/>
    <n v="11"/>
    <s v="Kariyer.net"/>
    <m/>
    <n v="0"/>
    <s v="20-29"/>
    <s v="0-1 YIL"/>
    <x v="0"/>
  </r>
  <r>
    <s v="PER0313"/>
    <s v="Furkan Çetin"/>
    <x v="1"/>
    <d v="1991-03-18T00:00:00"/>
    <n v="35"/>
    <s v="Bekar"/>
    <n v="0"/>
    <s v="Lisans"/>
    <x v="0"/>
    <s v="Takım Lideri"/>
    <s v="Senior"/>
    <x v="0"/>
    <s v="Üretim &amp; Operasyon Müdürü"/>
    <x v="2"/>
    <d v="2020-12-02T00:00:00"/>
    <s v="-"/>
    <x v="2"/>
    <s v="-"/>
    <x v="1"/>
    <n v="38100"/>
    <n v="0"/>
    <n v="15"/>
    <n v="30"/>
    <s v="-"/>
    <n v="0"/>
    <n v="3"/>
    <n v="0"/>
    <n v="0"/>
    <x v="1"/>
    <n v="18"/>
    <s v="LinkedIn"/>
    <m/>
    <n v="5"/>
    <s v="30-39"/>
    <s v="5-10 YIL"/>
    <x v="5"/>
  </r>
  <r>
    <s v="PER0314"/>
    <s v="Fatma Çetin"/>
    <x v="0"/>
    <d v="2003-07-01T00:00:00"/>
    <n v="23"/>
    <s v="Evli"/>
    <n v="1"/>
    <s v="Lisans"/>
    <x v="0"/>
    <s v="Operatör"/>
    <s v="Junior"/>
    <x v="0"/>
    <s v="Üretim &amp; Operasyon Müdürü"/>
    <x v="3"/>
    <d v="2025-08-25T00:00:00"/>
    <d v="2026-04-02T00:00:00"/>
    <x v="1"/>
    <n v="4"/>
    <x v="0"/>
    <n v="26500"/>
    <n v="0"/>
    <n v="22"/>
    <n v="28"/>
    <s v="01-Istirahat"/>
    <n v="2"/>
    <n v="0"/>
    <n v="0"/>
    <n v="0"/>
    <x v="3"/>
    <n v="23"/>
    <s v="LinkedIn"/>
    <m/>
    <n v="0"/>
    <s v="20-29"/>
    <s v="0-1 YIL"/>
    <x v="0"/>
  </r>
  <r>
    <s v="PER0315"/>
    <s v="Selin Çetin"/>
    <x v="0"/>
    <d v="2002-02-16T00:00:00"/>
    <n v="24"/>
    <s v="Bekar"/>
    <n v="0"/>
    <s v="Lisans"/>
    <x v="0"/>
    <s v="Operatör"/>
    <s v="Junior"/>
    <x v="0"/>
    <s v="Üretim &amp; Operasyon Müdürü"/>
    <x v="1"/>
    <d v="2026-03-16T00:00:00"/>
    <d v="2026-05-03T00:00:00"/>
    <x v="1"/>
    <n v="4"/>
    <x v="0"/>
    <n v="25500"/>
    <n v="0"/>
    <n v="11"/>
    <n v="30"/>
    <s v="-"/>
    <n v="0"/>
    <n v="0"/>
    <n v="0"/>
    <n v="0"/>
    <x v="1"/>
    <n v="8"/>
    <s v="Referans"/>
    <m/>
    <n v="0"/>
    <s v="20-29"/>
    <s v="0-1 YIL"/>
    <x v="3"/>
  </r>
  <r>
    <s v="PER0316"/>
    <s v="Serkan Öztürk"/>
    <x v="1"/>
    <d v="1999-09-25T00:00:00"/>
    <n v="27"/>
    <s v="Bekar"/>
    <n v="0"/>
    <s v="Lisans"/>
    <x v="0"/>
    <s v="Operatör"/>
    <s v="Junior"/>
    <x v="0"/>
    <s v="Üretim &amp; Operasyon Müdürü"/>
    <x v="1"/>
    <d v="2023-10-20T00:00:00"/>
    <s v="-"/>
    <x v="2"/>
    <s v="-"/>
    <x v="1"/>
    <n v="26300"/>
    <n v="0"/>
    <n v="27"/>
    <n v="29"/>
    <s v="01-Istirahat"/>
    <n v="1"/>
    <n v="0"/>
    <n v="0"/>
    <n v="0"/>
    <x v="1"/>
    <n v="4"/>
    <s v="Referans"/>
    <m/>
    <n v="2"/>
    <s v="20-29"/>
    <s v="1-3 YIL"/>
    <x v="9"/>
  </r>
  <r>
    <s v="PER0317"/>
    <s v="Serkan Yılmaz"/>
    <x v="1"/>
    <d v="1998-05-04T00:00:00"/>
    <n v="28"/>
    <s v="Evli"/>
    <n v="2"/>
    <s v="Yüksek Lisans"/>
    <x v="0"/>
    <s v="Operatör"/>
    <s v="Junior"/>
    <x v="0"/>
    <s v="Üretim &amp; Operasyon Müdürü"/>
    <x v="0"/>
    <d v="2024-12-19T00:00:00"/>
    <s v="-"/>
    <x v="2"/>
    <s v="-"/>
    <x v="1"/>
    <n v="24300"/>
    <n v="0"/>
    <n v="34"/>
    <n v="29"/>
    <s v="01-Istirahat"/>
    <n v="1"/>
    <n v="0"/>
    <n v="0"/>
    <n v="0"/>
    <x v="3"/>
    <n v="32"/>
    <s v="Danışmanlık Firması"/>
    <m/>
    <n v="1"/>
    <s v="20-29"/>
    <s v="1-3 YIL"/>
    <x v="2"/>
  </r>
  <r>
    <s v="PER0318"/>
    <s v="Ömer Çelik"/>
    <x v="1"/>
    <d v="1982-06-14T00:00:00"/>
    <n v="44"/>
    <s v="Evli"/>
    <n v="3"/>
    <s v="Lisans"/>
    <x v="2"/>
    <s v="Finans Müdürü"/>
    <s v="Manager"/>
    <x v="1"/>
    <s v="Genel Müdür"/>
    <x v="2"/>
    <d v="2020-02-09T00:00:00"/>
    <s v="-"/>
    <x v="2"/>
    <s v="-"/>
    <x v="1"/>
    <n v="105600"/>
    <n v="0"/>
    <n v="7"/>
    <n v="29"/>
    <s v="01-Istirahat"/>
    <n v="1"/>
    <n v="0"/>
    <n v="0"/>
    <n v="0"/>
    <x v="1"/>
    <n v="17"/>
    <s v="Şirket Web Sitesi"/>
    <m/>
    <n v="6"/>
    <s v="40-49"/>
    <s v="5-10 YIL"/>
    <x v="5"/>
  </r>
  <r>
    <s v="PER0319"/>
    <s v="Hilal Aslan"/>
    <x v="0"/>
    <d v="2004-02-10T00:00:00"/>
    <n v="22"/>
    <s v="Bekar"/>
    <n v="0"/>
    <s v="Lisans"/>
    <x v="2"/>
    <s v="Muhasebe Elemanı"/>
    <s v="Junior"/>
    <x v="1"/>
    <s v="Finans &amp; Muhasebe Müdürü"/>
    <x v="2"/>
    <d v="2025-07-06T00:00:00"/>
    <s v="-"/>
    <x v="2"/>
    <s v="-"/>
    <x v="1"/>
    <n v="39800"/>
    <n v="3200"/>
    <n v="9"/>
    <n v="30"/>
    <s v="-"/>
    <n v="0"/>
    <n v="0"/>
    <n v="0"/>
    <n v="0"/>
    <x v="1"/>
    <n v="19"/>
    <s v="Kariyer.net"/>
    <m/>
    <n v="0"/>
    <s v="20-29"/>
    <s v="0-1 YIL"/>
    <x v="0"/>
  </r>
  <r>
    <s v="PER0320"/>
    <s v="Selin Kara"/>
    <x v="0"/>
    <d v="2001-04-26T00:00:00"/>
    <n v="25"/>
    <s v="Evli"/>
    <n v="2"/>
    <s v="Önlisans"/>
    <x v="0"/>
    <s v="Operatör"/>
    <s v="Junior"/>
    <x v="0"/>
    <s v="Üretim &amp; Operasyon Müdürü"/>
    <x v="0"/>
    <d v="2024-11-09T00:00:00"/>
    <s v="-"/>
    <x v="2"/>
    <s v="-"/>
    <x v="1"/>
    <n v="25500"/>
    <n v="0"/>
    <n v="16"/>
    <n v="30"/>
    <s v="-"/>
    <n v="0"/>
    <n v="0"/>
    <n v="0"/>
    <n v="0"/>
    <x v="3"/>
    <n v="35"/>
    <s v="LinkedIn"/>
    <m/>
    <n v="1"/>
    <s v="20-29"/>
    <s v="1-3 YIL"/>
    <x v="2"/>
  </r>
  <r>
    <s v="PER0321"/>
    <s v="Emre Aslan"/>
    <x v="1"/>
    <d v="1988-12-10T00:00:00"/>
    <n v="38"/>
    <s v="Evli"/>
    <n v="1"/>
    <s v="Lisans"/>
    <x v="0"/>
    <s v="Takım Lideri"/>
    <s v="Senior"/>
    <x v="0"/>
    <s v="Üretim &amp; Operasyon Müdürü"/>
    <x v="4"/>
    <d v="2019-08-03T00:00:00"/>
    <d v="2025-06-20T00:00:00"/>
    <x v="1"/>
    <n v="4"/>
    <x v="0"/>
    <n v="41500"/>
    <n v="0"/>
    <n v="33"/>
    <n v="30"/>
    <s v="-"/>
    <n v="0"/>
    <n v="10"/>
    <n v="0"/>
    <n v="0"/>
    <x v="1"/>
    <n v="11"/>
    <s v="Kariyer.net"/>
    <m/>
    <n v="6"/>
    <s v="30-39"/>
    <s v="5-10 YIL"/>
    <x v="11"/>
  </r>
  <r>
    <s v="PER0322"/>
    <s v="Ömer Yılmaz"/>
    <x v="1"/>
    <d v="2001-04-18T00:00:00"/>
    <n v="25"/>
    <s v="Bekar"/>
    <n v="0"/>
    <s v="Lisans"/>
    <x v="0"/>
    <s v="Operatör"/>
    <s v="Junior"/>
    <x v="0"/>
    <s v="Üretim &amp; Operasyon Müdürü"/>
    <x v="4"/>
    <d v="2025-01-23T00:00:00"/>
    <s v="-"/>
    <x v="2"/>
    <s v="-"/>
    <x v="1"/>
    <n v="25500"/>
    <n v="0"/>
    <n v="23"/>
    <n v="28"/>
    <s v="01-Istirahat"/>
    <n v="2"/>
    <n v="11"/>
    <n v="0"/>
    <n v="0"/>
    <x v="3"/>
    <n v="35"/>
    <s v="Kariyer.net"/>
    <m/>
    <n v="1"/>
    <s v="20-29"/>
    <s v="1-3 YIL"/>
    <x v="0"/>
  </r>
  <r>
    <s v="PER0323"/>
    <s v="Mehmet Yıldız"/>
    <x v="1"/>
    <d v="2003-07-10T00:00:00"/>
    <n v="23"/>
    <s v="Bekar"/>
    <n v="0"/>
    <s v="Lisans"/>
    <x v="0"/>
    <s v="Operatör"/>
    <s v="Junior"/>
    <x v="0"/>
    <s v="Üretim &amp; Operasyon Müdürü"/>
    <x v="3"/>
    <d v="2024-08-20T00:00:00"/>
    <s v="-"/>
    <x v="2"/>
    <s v="-"/>
    <x v="1"/>
    <n v="24100"/>
    <n v="0"/>
    <n v="23"/>
    <n v="30"/>
    <s v="-"/>
    <n v="0"/>
    <n v="9"/>
    <n v="0"/>
    <n v="0"/>
    <x v="1"/>
    <n v="11"/>
    <s v="LinkedIn"/>
    <m/>
    <n v="1"/>
    <s v="20-29"/>
    <s v="1-3 YIL"/>
    <x v="2"/>
  </r>
  <r>
    <s v="PER0324"/>
    <s v="Emre Öztürk"/>
    <x v="1"/>
    <d v="1995-04-09T00:00:00"/>
    <n v="31"/>
    <s v="Evli"/>
    <n v="1"/>
    <s v="Lisans"/>
    <x v="2"/>
    <s v="Mali İşler Uzmanı"/>
    <s v="Senior"/>
    <x v="1"/>
    <s v="Finans &amp; Muhasebe Müdürü"/>
    <x v="4"/>
    <d v="2016-02-17T00:00:00"/>
    <s v="-"/>
    <x v="2"/>
    <s v="-"/>
    <x v="1"/>
    <n v="57600"/>
    <n v="0"/>
    <n v="5"/>
    <n v="30"/>
    <s v="-"/>
    <n v="0"/>
    <n v="6"/>
    <n v="0"/>
    <n v="0"/>
    <x v="1"/>
    <n v="17"/>
    <s v="Referans"/>
    <m/>
    <n v="10"/>
    <s v="30-39"/>
    <s v="5-10 YIL"/>
    <x v="13"/>
  </r>
  <r>
    <s v="PER0325"/>
    <s v="Defne Yıldız"/>
    <x v="0"/>
    <d v="1977-12-18T00:00:00"/>
    <n v="49"/>
    <s v="Evli"/>
    <n v="1"/>
    <s v="Önlisans"/>
    <x v="3"/>
    <s v="BT Müdürü"/>
    <s v="Manager"/>
    <x v="1"/>
    <s v="Genel Müdür"/>
    <x v="0"/>
    <d v="2017-06-03T00:00:00"/>
    <d v="2025-08-17T00:00:00"/>
    <x v="1"/>
    <n v="4"/>
    <x v="0"/>
    <n v="129900"/>
    <n v="0"/>
    <n v="7"/>
    <n v="27"/>
    <s v="01-Istirahat"/>
    <n v="3"/>
    <n v="2"/>
    <n v="0"/>
    <n v="0"/>
    <x v="3"/>
    <n v="14"/>
    <s v="Referans"/>
    <m/>
    <n v="9"/>
    <s v="40-49"/>
    <s v="5-10 YIL"/>
    <x v="4"/>
  </r>
  <r>
    <s v="PER0326"/>
    <s v="Ahmet Arslan"/>
    <x v="1"/>
    <d v="1999-09-23T00:00:00"/>
    <n v="27"/>
    <s v="Bekar"/>
    <n v="0"/>
    <s v="Önlisans"/>
    <x v="0"/>
    <s v="Operatör"/>
    <s v="Junior"/>
    <x v="0"/>
    <s v="Üretim &amp; Operasyon Müdürü"/>
    <x v="1"/>
    <d v="2023-03-23T00:00:00"/>
    <s v="-"/>
    <x v="2"/>
    <s v="-"/>
    <x v="1"/>
    <n v="28600"/>
    <n v="0"/>
    <n v="36"/>
    <n v="28"/>
    <s v="01-Istirahat"/>
    <n v="2"/>
    <n v="14"/>
    <n v="0"/>
    <n v="0"/>
    <x v="4"/>
    <n v="2"/>
    <s v="LinkedIn"/>
    <m/>
    <n v="3"/>
    <s v="20-29"/>
    <s v="3-5 YIL"/>
    <x v="9"/>
  </r>
  <r>
    <s v="PER0327"/>
    <s v="Kübra Kaya"/>
    <x v="0"/>
    <d v="1995-12-04T00:00:00"/>
    <n v="31"/>
    <s v="Bekar"/>
    <n v="0"/>
    <s v="Yüksek Lisans"/>
    <x v="0"/>
    <s v="Takım Lideri"/>
    <s v="Senior"/>
    <x v="0"/>
    <s v="Üretim &amp; Operasyon Müdürü"/>
    <x v="1"/>
    <d v="2018-11-06T00:00:00"/>
    <s v="-"/>
    <x v="2"/>
    <s v="-"/>
    <x v="1"/>
    <n v="41400"/>
    <n v="0"/>
    <n v="38"/>
    <n v="30"/>
    <s v="-"/>
    <n v="0"/>
    <n v="6"/>
    <n v="0"/>
    <n v="0"/>
    <x v="1"/>
    <n v="2"/>
    <s v="Kariyer.net"/>
    <m/>
    <n v="7"/>
    <s v="30-39"/>
    <s v="5-10 YIL"/>
    <x v="1"/>
  </r>
  <r>
    <s v="PER0328"/>
    <s v="Aslan Arslan"/>
    <x v="0"/>
    <d v="2003-04-01T00:00:00"/>
    <n v="23"/>
    <s v="Bekar"/>
    <n v="0"/>
    <s v="Yüksek Lisans"/>
    <x v="0"/>
    <s v="Operatör"/>
    <s v="Junior"/>
    <x v="0"/>
    <s v="Üretim &amp; Operasyon Müdürü"/>
    <x v="3"/>
    <d v="2024-07-03T00:00:00"/>
    <s v="-"/>
    <x v="2"/>
    <s v="-"/>
    <x v="1"/>
    <n v="26100"/>
    <n v="0"/>
    <n v="37"/>
    <n v="25"/>
    <s v="01-Istirahat"/>
    <n v="5"/>
    <n v="10"/>
    <n v="0"/>
    <n v="0"/>
    <x v="4"/>
    <n v="15"/>
    <s v="LinkedIn"/>
    <m/>
    <n v="1"/>
    <s v="20-29"/>
    <s v="1-3 YIL"/>
    <x v="2"/>
  </r>
  <r>
    <s v="PER0329"/>
    <s v="Defne Aslan"/>
    <x v="0"/>
    <d v="2000-01-11T00:00:00"/>
    <n v="26"/>
    <s v="Evli"/>
    <n v="2"/>
    <s v="Lisans"/>
    <x v="0"/>
    <s v="Operatör"/>
    <s v="Junior"/>
    <x v="0"/>
    <s v="Üretim &amp; Operasyon Müdürü"/>
    <x v="0"/>
    <d v="2025-05-12T00:00:00"/>
    <s v="-"/>
    <x v="2"/>
    <s v="-"/>
    <x v="1"/>
    <n v="26300"/>
    <n v="0"/>
    <n v="10"/>
    <n v="29"/>
    <s v="02-Ucretsiz Izin"/>
    <n v="0"/>
    <n v="8"/>
    <n v="1"/>
    <n v="0"/>
    <x v="3"/>
    <n v="23"/>
    <s v="Kariyer.net"/>
    <m/>
    <n v="1"/>
    <s v="20-29"/>
    <s v="1-3 YIL"/>
    <x v="0"/>
  </r>
  <r>
    <s v="PER0330"/>
    <s v="Hasan Yıldız"/>
    <x v="1"/>
    <d v="1983-05-12T00:00:00"/>
    <n v="43"/>
    <s v="Evli"/>
    <n v="2"/>
    <s v="Lisans"/>
    <x v="1"/>
    <s v="Kıdemli Satış Uzmanı"/>
    <s v="Senior"/>
    <x v="1"/>
    <s v="Satış &amp; Pazarlama Müdürü"/>
    <x v="0"/>
    <d v="2022-05-24T00:00:00"/>
    <d v="2026-03-02T00:00:00"/>
    <x v="1"/>
    <n v="4"/>
    <x v="0"/>
    <n v="56300"/>
    <n v="0"/>
    <n v="3"/>
    <n v="30"/>
    <s v="-"/>
    <n v="0"/>
    <n v="1"/>
    <n v="0"/>
    <n v="0"/>
    <x v="4"/>
    <n v="10"/>
    <s v="LinkedIn"/>
    <m/>
    <n v="4"/>
    <s v="40-49"/>
    <s v="3-5 YIL"/>
    <x v="7"/>
  </r>
  <r>
    <s v="PER0331"/>
    <s v="Emre Çelik"/>
    <x v="1"/>
    <d v="2002-06-11T00:00:00"/>
    <n v="24"/>
    <s v="Evli"/>
    <n v="1"/>
    <s v="Yüksek Lisans"/>
    <x v="0"/>
    <s v="Operatör"/>
    <s v="Junior"/>
    <x v="0"/>
    <s v="Üretim &amp; Operasyon Müdürü"/>
    <x v="0"/>
    <d v="2025-12-30T00:00:00"/>
    <d v="2026-02-23T00:00:00"/>
    <x v="1"/>
    <n v="4"/>
    <x v="0"/>
    <n v="28100"/>
    <n v="0"/>
    <n v="40"/>
    <n v="30"/>
    <s v="-"/>
    <n v="0"/>
    <n v="0"/>
    <n v="0"/>
    <n v="0"/>
    <x v="1"/>
    <n v="3"/>
    <s v="LinkedIn"/>
    <m/>
    <n v="0"/>
    <s v="20-29"/>
    <s v="0-1 YIL"/>
    <x v="0"/>
  </r>
  <r>
    <s v="PER0332"/>
    <s v="Selin Demir"/>
    <x v="0"/>
    <d v="1999-06-08T00:00:00"/>
    <n v="27"/>
    <s v="Evli"/>
    <n v="2"/>
    <s v="Lisans"/>
    <x v="0"/>
    <s v="Operatör"/>
    <s v="Junior"/>
    <x v="0"/>
    <s v="Üretim &amp; Operasyon Müdürü"/>
    <x v="0"/>
    <d v="2022-12-28T00:00:00"/>
    <s v="-"/>
    <x v="2"/>
    <s v="-"/>
    <x v="1"/>
    <n v="23800"/>
    <n v="0"/>
    <n v="19"/>
    <n v="30"/>
    <s v="-"/>
    <n v="0"/>
    <n v="9"/>
    <n v="0"/>
    <n v="0"/>
    <x v="3"/>
    <n v="23"/>
    <s v="Kariyer.net"/>
    <m/>
    <n v="3"/>
    <s v="20-29"/>
    <s v="3-5 YIL"/>
    <x v="7"/>
  </r>
  <r>
    <s v="PER0333"/>
    <s v="Elif Doğan"/>
    <x v="0"/>
    <d v="1991-09-19T00:00:00"/>
    <n v="35"/>
    <s v="Evli"/>
    <n v="3"/>
    <s v="Yüksek Lisans"/>
    <x v="0"/>
    <s v="Takım Lideri"/>
    <s v="Senior"/>
    <x v="0"/>
    <s v="Üretim &amp; Operasyon Müdürü"/>
    <x v="0"/>
    <d v="2021-11-13T00:00:00"/>
    <s v="-"/>
    <x v="2"/>
    <s v="-"/>
    <x v="1"/>
    <n v="43100"/>
    <n v="0"/>
    <n v="12"/>
    <n v="29"/>
    <s v="01-Istirahat"/>
    <n v="1"/>
    <n v="3"/>
    <n v="0"/>
    <n v="0"/>
    <x v="3"/>
    <n v="32"/>
    <s v="LinkedIn"/>
    <m/>
    <n v="4"/>
    <s v="30-39"/>
    <s v="3-5 YIL"/>
    <x v="14"/>
  </r>
  <r>
    <s v="PER0334"/>
    <s v="Aslan Demir"/>
    <x v="0"/>
    <d v="1993-04-20T00:00:00"/>
    <n v="33"/>
    <s v="Bekar"/>
    <n v="0"/>
    <s v="Lisans"/>
    <x v="1"/>
    <s v="Kıdemli Satış Uzmanı"/>
    <s v="Senior"/>
    <x v="1"/>
    <s v="Satış &amp; Pazarlama Müdürü"/>
    <x v="4"/>
    <d v="2018-07-13T00:00:00"/>
    <s v="-"/>
    <x v="2"/>
    <s v="-"/>
    <x v="1"/>
    <n v="59500"/>
    <n v="11600"/>
    <n v="1"/>
    <n v="30"/>
    <s v="-"/>
    <n v="0"/>
    <n v="11"/>
    <n v="0"/>
    <n v="0"/>
    <x v="4"/>
    <n v="18"/>
    <s v="Kariyer.net"/>
    <m/>
    <n v="7"/>
    <s v="30-39"/>
    <s v="5-10 YIL"/>
    <x v="1"/>
  </r>
  <r>
    <s v="PER0335"/>
    <s v="Merve Kaya"/>
    <x v="0"/>
    <d v="1997-01-24T00:00:00"/>
    <n v="29"/>
    <s v="Evli"/>
    <n v="1"/>
    <s v="Yüksek Lisans"/>
    <x v="1"/>
    <s v="Satış Temsilcisi"/>
    <s v="Junior"/>
    <x v="1"/>
    <s v="Satış &amp; Pazarlama Müdürü"/>
    <x v="3"/>
    <d v="2025-12-25T00:00:00"/>
    <s v="-"/>
    <x v="2"/>
    <s v="-"/>
    <x v="1"/>
    <n v="36600"/>
    <n v="10900"/>
    <n v="2"/>
    <n v="30"/>
    <s v="-"/>
    <n v="0"/>
    <n v="0"/>
    <n v="0"/>
    <n v="0"/>
    <x v="3"/>
    <n v="27"/>
    <s v="Kariyer.net"/>
    <m/>
    <n v="0"/>
    <s v="20-29"/>
    <s v="0-1 YIL"/>
    <x v="0"/>
  </r>
  <r>
    <s v="PER0336"/>
    <s v="Zeynep Kara"/>
    <x v="0"/>
    <d v="1969-07-15T00:00:00"/>
    <n v="57"/>
    <s v="Evli"/>
    <n v="1"/>
    <s v="Lisans"/>
    <x v="2"/>
    <s v="Finans Müdürü"/>
    <s v="Manager"/>
    <x v="1"/>
    <s v="Genel Müdür"/>
    <x v="1"/>
    <d v="2020-10-10T00:00:00"/>
    <s v="-"/>
    <x v="2"/>
    <s v="-"/>
    <x v="1"/>
    <n v="105800"/>
    <n v="0"/>
    <n v="8"/>
    <n v="30"/>
    <s v="-"/>
    <n v="0"/>
    <n v="2"/>
    <n v="0"/>
    <n v="0"/>
    <x v="4"/>
    <n v="2"/>
    <s v="Şirket Web Sitesi"/>
    <m/>
    <n v="5"/>
    <s v="50+"/>
    <s v="5-10 YIL"/>
    <x v="5"/>
  </r>
  <r>
    <s v="PER0337"/>
    <s v="Mehmet Özdemir"/>
    <x v="1"/>
    <d v="1977-06-03T00:00:00"/>
    <n v="49"/>
    <s v="Evli"/>
    <n v="1"/>
    <s v="Lisans"/>
    <x v="3"/>
    <s v="BT Müdürü"/>
    <s v="Manager"/>
    <x v="1"/>
    <s v="Genel Müdür"/>
    <x v="0"/>
    <d v="2021-02-19T00:00:00"/>
    <s v="-"/>
    <x v="2"/>
    <s v="-"/>
    <x v="1"/>
    <n v="135500"/>
    <n v="0"/>
    <n v="9"/>
    <n v="30"/>
    <s v="-"/>
    <n v="0"/>
    <n v="10"/>
    <n v="0"/>
    <n v="0"/>
    <x v="1"/>
    <n v="12"/>
    <s v="Referans"/>
    <m/>
    <n v="5"/>
    <s v="40-49"/>
    <s v="5-10 YIL"/>
    <x v="14"/>
  </r>
  <r>
    <s v="PER0338"/>
    <s v="Furkan Aydın"/>
    <x v="1"/>
    <d v="2003-07-26T00:00:00"/>
    <n v="23"/>
    <s v="Evli"/>
    <n v="1"/>
    <s v="Önlisans"/>
    <x v="0"/>
    <s v="Operatör"/>
    <s v="Junior"/>
    <x v="0"/>
    <s v="Üretim &amp; Operasyon Müdürü"/>
    <x v="0"/>
    <d v="2026-01-22T00:00:00"/>
    <d v="2026-03-08T00:00:00"/>
    <x v="1"/>
    <n v="4"/>
    <x v="0"/>
    <n v="24100"/>
    <n v="0"/>
    <n v="26"/>
    <n v="29"/>
    <s v="10-Devamsizlik"/>
    <n v="0"/>
    <n v="0"/>
    <n v="0"/>
    <n v="1"/>
    <x v="3"/>
    <n v="19"/>
    <s v="Kariyer.net"/>
    <m/>
    <n v="0"/>
    <s v="20-29"/>
    <s v="0-1 YIL"/>
    <x v="3"/>
  </r>
  <r>
    <s v="PER0339"/>
    <s v="Hilal Çetin"/>
    <x v="0"/>
    <d v="1999-12-11T00:00:00"/>
    <n v="27"/>
    <s v="Bekar"/>
    <n v="0"/>
    <s v="Önlisans"/>
    <x v="1"/>
    <s v="Satış Temsilcisi"/>
    <s v="Junior"/>
    <x v="1"/>
    <s v="Satış &amp; Pazarlama Müdürü"/>
    <x v="0"/>
    <d v="2026-01-12T00:00:00"/>
    <d v="2026-05-22T00:00:00"/>
    <x v="0"/>
    <n v="3"/>
    <x v="0"/>
    <n v="32100"/>
    <n v="8000"/>
    <n v="0"/>
    <n v="29"/>
    <s v="02-Ucretsiz Izin"/>
    <n v="0"/>
    <n v="0"/>
    <n v="1"/>
    <n v="0"/>
    <x v="1"/>
    <n v="18"/>
    <s v="Referans"/>
    <m/>
    <n v="0"/>
    <s v="20-29"/>
    <s v="0-1 YIL"/>
    <x v="3"/>
  </r>
  <r>
    <s v="PER0340"/>
    <s v="İrem Aydın"/>
    <x v="0"/>
    <d v="1997-02-14T00:00:00"/>
    <n v="29"/>
    <s v="Bekar"/>
    <n v="0"/>
    <s v="Lisans"/>
    <x v="0"/>
    <s v="Operatör"/>
    <s v="Junior"/>
    <x v="0"/>
    <s v="Üretim &amp; Operasyon Müdürü"/>
    <x v="0"/>
    <d v="2025-09-17T00:00:00"/>
    <s v="-"/>
    <x v="2"/>
    <s v="-"/>
    <x v="1"/>
    <n v="23800"/>
    <n v="0"/>
    <n v="25"/>
    <n v="29"/>
    <s v="01-Istirahat"/>
    <n v="1"/>
    <n v="0"/>
    <n v="0"/>
    <n v="0"/>
    <x v="0"/>
    <n v="3"/>
    <s v="LinkedIn"/>
    <m/>
    <n v="0"/>
    <s v="20-29"/>
    <s v="0-1 YIL"/>
    <x v="0"/>
  </r>
  <r>
    <s v="PER0341"/>
    <s v="Emre Yılmaz"/>
    <x v="1"/>
    <d v="1998-01-17T00:00:00"/>
    <n v="28"/>
    <s v="Evli"/>
    <n v="0"/>
    <s v="Doktora"/>
    <x v="1"/>
    <s v="Satış Temsilcisi"/>
    <s v="Junior"/>
    <x v="1"/>
    <s v="Satış &amp; Pazarlama Müdürü"/>
    <x v="0"/>
    <d v="2022-06-21T00:00:00"/>
    <s v="-"/>
    <x v="2"/>
    <s v="-"/>
    <x v="1"/>
    <n v="32500"/>
    <n v="9500"/>
    <n v="3"/>
    <n v="30"/>
    <s v="-"/>
    <n v="0"/>
    <n v="12"/>
    <n v="0"/>
    <n v="0"/>
    <x v="1"/>
    <n v="16"/>
    <s v="LinkedIn"/>
    <m/>
    <n v="4"/>
    <s v="20-29"/>
    <s v="3-5 YIL"/>
    <x v="7"/>
  </r>
  <r>
    <s v="PER0342"/>
    <s v="Furkan Çelik"/>
    <x v="1"/>
    <d v="2000-06-07T00:00:00"/>
    <n v="26"/>
    <s v="Bekar"/>
    <n v="0"/>
    <s v="Lisans"/>
    <x v="0"/>
    <s v="Operatör"/>
    <s v="Junior"/>
    <x v="0"/>
    <s v="Üretim &amp; Operasyon Müdürü"/>
    <x v="0"/>
    <d v="2024-10-03T00:00:00"/>
    <d v="2025-05-24T00:00:00"/>
    <x v="1"/>
    <n v="4"/>
    <x v="0"/>
    <n v="28500"/>
    <n v="0"/>
    <n v="19"/>
    <n v="30"/>
    <s v="-"/>
    <n v="0"/>
    <n v="6"/>
    <n v="0"/>
    <n v="0"/>
    <x v="1"/>
    <n v="17"/>
    <s v="Danışmanlık Firması"/>
    <m/>
    <n v="1"/>
    <s v="20-29"/>
    <s v="1-3 YIL"/>
    <x v="2"/>
  </r>
  <r>
    <s v="PER0343"/>
    <s v="Can Öztürk"/>
    <x v="1"/>
    <d v="1998-12-23T00:00:00"/>
    <n v="28"/>
    <s v="Evli"/>
    <n v="1"/>
    <s v="Lisans"/>
    <x v="0"/>
    <s v="Operatör"/>
    <s v="Junior"/>
    <x v="0"/>
    <s v="Üretim &amp; Operasyon Müdürü"/>
    <x v="4"/>
    <d v="2025-02-12T00:00:00"/>
    <s v="-"/>
    <x v="2"/>
    <s v="-"/>
    <x v="1"/>
    <n v="26400"/>
    <n v="0"/>
    <n v="33"/>
    <n v="30"/>
    <s v="-"/>
    <n v="0"/>
    <n v="0"/>
    <n v="0"/>
    <n v="0"/>
    <x v="1"/>
    <n v="19"/>
    <s v="Şirket Web Sitesi"/>
    <m/>
    <n v="1"/>
    <s v="20-29"/>
    <s v="1-3 YIL"/>
    <x v="0"/>
  </r>
  <r>
    <s v="PER0344"/>
    <s v="Gamze Aydın"/>
    <x v="0"/>
    <d v="1983-09-13T00:00:00"/>
    <n v="43"/>
    <s v="Bekar"/>
    <n v="0"/>
    <s v="Lisans"/>
    <x v="1"/>
    <s v="Satış Müdürü"/>
    <s v="Manager"/>
    <x v="1"/>
    <s v="Genel Müdür"/>
    <x v="0"/>
    <d v="2014-11-28T00:00:00"/>
    <d v="2022-10-03T00:00:00"/>
    <x v="4"/>
    <n v="3"/>
    <x v="0"/>
    <n v="105300"/>
    <n v="35100"/>
    <n v="5"/>
    <n v="30"/>
    <s v="-"/>
    <n v="0"/>
    <n v="3"/>
    <n v="0"/>
    <n v="0"/>
    <x v="1"/>
    <n v="3"/>
    <s v="LinkedIn"/>
    <m/>
    <n v="11"/>
    <s v="40-49"/>
    <s v="10+"/>
    <x v="6"/>
  </r>
  <r>
    <s v="PER0345"/>
    <s v="Serkan Çetin"/>
    <x v="1"/>
    <d v="1998-09-27T00:00:00"/>
    <n v="28"/>
    <s v="Evli"/>
    <n v="1"/>
    <s v="Lisans"/>
    <x v="0"/>
    <s v="Operatör"/>
    <s v="Junior"/>
    <x v="0"/>
    <s v="Üretim &amp; Operasyon Müdürü"/>
    <x v="4"/>
    <d v="2023-07-28T00:00:00"/>
    <s v="-"/>
    <x v="2"/>
    <s v="-"/>
    <x v="1"/>
    <n v="26000"/>
    <n v="0"/>
    <n v="37"/>
    <n v="30"/>
    <s v="-"/>
    <n v="0"/>
    <n v="10"/>
    <n v="0"/>
    <n v="0"/>
    <x v="1"/>
    <n v="14"/>
    <s v="Danışmanlık Firması"/>
    <m/>
    <n v="2"/>
    <s v="20-29"/>
    <s v="1-3 YIL"/>
    <x v="9"/>
  </r>
  <r>
    <s v="PER0346"/>
    <s v="Gökhan Çelik"/>
    <x v="1"/>
    <d v="1998-02-25T00:00:00"/>
    <n v="28"/>
    <s v="Evli"/>
    <n v="0"/>
    <s v="Lisans"/>
    <x v="1"/>
    <s v="Satış Temsilcisi"/>
    <s v="Junior"/>
    <x v="1"/>
    <s v="Satış &amp; Pazarlama Müdürü"/>
    <x v="4"/>
    <d v="2024-03-04T00:00:00"/>
    <s v="-"/>
    <x v="2"/>
    <s v="-"/>
    <x v="1"/>
    <n v="34300"/>
    <n v="8200"/>
    <n v="5"/>
    <n v="29"/>
    <s v="01-Istirahat"/>
    <n v="1"/>
    <n v="2"/>
    <n v="0"/>
    <n v="0"/>
    <x v="1"/>
    <n v="10"/>
    <s v="LinkedIn"/>
    <m/>
    <n v="2"/>
    <s v="20-29"/>
    <s v="1-3 YIL"/>
    <x v="2"/>
  </r>
  <r>
    <s v="PER0347"/>
    <s v="Burak Kaya"/>
    <x v="1"/>
    <d v="1973-07-07T00:00:00"/>
    <n v="53"/>
    <s v="Bekar"/>
    <n v="0"/>
    <s v="Lisans"/>
    <x v="3"/>
    <s v="BT Müdürü"/>
    <s v="Manager"/>
    <x v="1"/>
    <s v="Genel Müdür"/>
    <x v="3"/>
    <d v="2016-11-02T00:00:00"/>
    <s v="-"/>
    <x v="2"/>
    <s v="-"/>
    <x v="1"/>
    <n v="133100"/>
    <n v="0"/>
    <n v="7"/>
    <n v="28"/>
    <s v="01-Istirahat"/>
    <n v="2"/>
    <n v="10"/>
    <n v="0"/>
    <n v="0"/>
    <x v="1"/>
    <n v="18"/>
    <s v="Şirket Web Sitesi"/>
    <m/>
    <n v="9"/>
    <s v="50+"/>
    <s v="5-10 YIL"/>
    <x v="13"/>
  </r>
  <r>
    <s v="PER0348"/>
    <s v="Furkan Kara"/>
    <x v="1"/>
    <d v="1988-08-18T00:00:00"/>
    <n v="38"/>
    <s v="Evli"/>
    <n v="0"/>
    <s v="Lisans"/>
    <x v="2"/>
    <s v="Finans Müdürü"/>
    <s v="Manager"/>
    <x v="1"/>
    <s v="Genel Müdür"/>
    <x v="3"/>
    <d v="2021-04-19T00:00:00"/>
    <s v="-"/>
    <x v="2"/>
    <s v="-"/>
    <x v="1"/>
    <n v="114200"/>
    <n v="0"/>
    <n v="8"/>
    <n v="30"/>
    <s v="-"/>
    <n v="0"/>
    <n v="9"/>
    <n v="0"/>
    <n v="0"/>
    <x v="3"/>
    <n v="13"/>
    <s v="Referans"/>
    <m/>
    <n v="5"/>
    <s v="30-39"/>
    <s v="5-10 YIL"/>
    <x v="14"/>
  </r>
  <r>
    <s v="PER0349"/>
    <s v="Emre Çelik"/>
    <x v="1"/>
    <d v="1997-09-01T00:00:00"/>
    <n v="29"/>
    <s v="Evli"/>
    <n v="0"/>
    <s v="Önlisans"/>
    <x v="4"/>
    <s v="İK Uzman Yardımcısı"/>
    <s v="Junior"/>
    <x v="1"/>
    <s v="İnsan Kaynakları Müdürü"/>
    <x v="2"/>
    <d v="2022-10-10T00:00:00"/>
    <s v="-"/>
    <x v="2"/>
    <s v="-"/>
    <x v="1"/>
    <n v="37300"/>
    <n v="0"/>
    <n v="3"/>
    <n v="17"/>
    <s v="01-Istirahat"/>
    <n v="10"/>
    <n v="4"/>
    <n v="3"/>
    <n v="0"/>
    <x v="1"/>
    <n v="12"/>
    <s v="LinkedIn"/>
    <m/>
    <n v="3"/>
    <s v="20-29"/>
    <s v="3-5 YIL"/>
    <x v="7"/>
  </r>
  <r>
    <s v="PER0350"/>
    <s v="Burak Aslan"/>
    <x v="1"/>
    <d v="2003-10-04T00:00:00"/>
    <n v="23"/>
    <s v="Evli"/>
    <n v="2"/>
    <s v="Önlisans"/>
    <x v="0"/>
    <s v="Operatör"/>
    <s v="Junior"/>
    <x v="0"/>
    <s v="Üretim &amp; Operasyon Müdürü"/>
    <x v="0"/>
    <d v="2025-08-17T00:00:00"/>
    <d v="2025-11-02T00:00:00"/>
    <x v="1"/>
    <n v="4"/>
    <x v="0"/>
    <n v="27000"/>
    <n v="0"/>
    <n v="30"/>
    <n v="30"/>
    <s v="-"/>
    <n v="0"/>
    <n v="0"/>
    <n v="0"/>
    <n v="0"/>
    <x v="1"/>
    <n v="14"/>
    <s v="LinkedIn"/>
    <m/>
    <n v="0"/>
    <s v="20-29"/>
    <s v="0-1 YIL"/>
    <x v="0"/>
  </r>
  <r>
    <s v="PER0351"/>
    <s v="Hüseyin Özdemir"/>
    <x v="1"/>
    <d v="1993-01-25T00:00:00"/>
    <n v="33"/>
    <s v="Evli"/>
    <n v="1"/>
    <s v="Lisans"/>
    <x v="4"/>
    <s v="İK Uzmanı"/>
    <s v="Senior"/>
    <x v="1"/>
    <s v="İnsan Kaynakları Müdürü"/>
    <x v="1"/>
    <d v="2014-09-18T00:00:00"/>
    <s v="-"/>
    <x v="2"/>
    <s v="-"/>
    <x v="1"/>
    <n v="59600"/>
    <n v="0"/>
    <n v="1"/>
    <n v="30"/>
    <s v="-"/>
    <n v="0"/>
    <n v="11"/>
    <n v="0"/>
    <n v="0"/>
    <x v="1"/>
    <n v="18"/>
    <s v="Kariyer.net"/>
    <m/>
    <n v="11"/>
    <s v="30-39"/>
    <s v="10+"/>
    <x v="6"/>
  </r>
  <r>
    <s v="PER0352"/>
    <s v="Elif Demir"/>
    <x v="0"/>
    <d v="2004-11-23T00:00:00"/>
    <n v="22"/>
    <s v="Bekar"/>
    <n v="0"/>
    <s v="Lisans"/>
    <x v="0"/>
    <s v="Operatör"/>
    <s v="Junior"/>
    <x v="0"/>
    <s v="Üretim &amp; Operasyon Müdürü"/>
    <x v="0"/>
    <d v="2023-01-05T00:00:00"/>
    <s v="-"/>
    <x v="2"/>
    <s v="-"/>
    <x v="1"/>
    <n v="28700"/>
    <n v="0"/>
    <n v="25"/>
    <n v="29"/>
    <s v="01-Istirahat"/>
    <n v="1"/>
    <n v="7"/>
    <n v="0"/>
    <n v="0"/>
    <x v="1"/>
    <n v="16"/>
    <s v="LinkedIn"/>
    <m/>
    <n v="3"/>
    <s v="20-29"/>
    <s v="3-5 YIL"/>
    <x v="9"/>
  </r>
  <r>
    <s v="PER0353"/>
    <s v="Gamze Aslan"/>
    <x v="0"/>
    <d v="1986-05-14T00:00:00"/>
    <n v="40"/>
    <s v="Bekar"/>
    <n v="0"/>
    <s v="Lisans"/>
    <x v="0"/>
    <s v="Takım Lideri"/>
    <s v="Senior"/>
    <x v="0"/>
    <s v="Üretim &amp; Operasyon Müdürü"/>
    <x v="2"/>
    <d v="2020-06-25T00:00:00"/>
    <s v="-"/>
    <x v="2"/>
    <s v="-"/>
    <x v="1"/>
    <n v="38400"/>
    <n v="0"/>
    <n v="36"/>
    <n v="29"/>
    <s v="02-Ucretsiz Izin"/>
    <n v="0"/>
    <n v="10"/>
    <n v="1"/>
    <n v="0"/>
    <x v="1"/>
    <n v="18"/>
    <s v="Kariyer.net"/>
    <m/>
    <n v="6"/>
    <s v="40-49"/>
    <s v="5-10 YIL"/>
    <x v="5"/>
  </r>
  <r>
    <s v="PER0354"/>
    <s v="Ecem Yıldız"/>
    <x v="0"/>
    <d v="1983-10-25T00:00:00"/>
    <n v="43"/>
    <s v="Evli"/>
    <n v="2"/>
    <s v="Yüksek Lisans"/>
    <x v="3"/>
    <s v="Kıdemli Yazılım Uzmanı"/>
    <s v="Senior"/>
    <x v="1"/>
    <s v="Bilgi Teknolojileri Müdürü"/>
    <x v="0"/>
    <d v="2018-10-17T00:00:00"/>
    <s v="-"/>
    <x v="2"/>
    <s v="-"/>
    <x v="1"/>
    <n v="73900"/>
    <n v="0"/>
    <n v="7"/>
    <n v="30"/>
    <s v="-"/>
    <n v="0"/>
    <n v="10"/>
    <n v="0"/>
    <n v="0"/>
    <x v="3"/>
    <n v="28"/>
    <s v="Kariyer.net"/>
    <m/>
    <n v="7"/>
    <s v="40-49"/>
    <s v="5-10 YIL"/>
    <x v="1"/>
  </r>
  <r>
    <s v="PER0355"/>
    <s v="Ecem Aslan"/>
    <x v="0"/>
    <d v="2000-01-07T00:00:00"/>
    <n v="26"/>
    <s v="Evli"/>
    <n v="0"/>
    <s v="Lisans"/>
    <x v="0"/>
    <s v="Operatör"/>
    <s v="Junior"/>
    <x v="0"/>
    <s v="Üretim &amp; Operasyon Müdürü"/>
    <x v="0"/>
    <d v="2025-11-18T00:00:00"/>
    <s v="-"/>
    <x v="2"/>
    <s v="-"/>
    <x v="1"/>
    <n v="27200"/>
    <n v="0"/>
    <n v="28"/>
    <n v="29"/>
    <s v="10-Devamsizlik"/>
    <n v="0"/>
    <n v="0"/>
    <n v="0"/>
    <n v="1"/>
    <x v="1"/>
    <n v="19"/>
    <s v="Kariyer.net"/>
    <m/>
    <n v="0"/>
    <s v="20-29"/>
    <s v="0-1 YIL"/>
    <x v="0"/>
  </r>
  <r>
    <s v="PER0356"/>
    <s v="Dilan Doğan"/>
    <x v="0"/>
    <d v="1988-01-27T00:00:00"/>
    <n v="38"/>
    <s v="Evli"/>
    <n v="1"/>
    <s v="Lisans"/>
    <x v="1"/>
    <s v="Kıdemli Satış Uzmanı"/>
    <s v="Senior"/>
    <x v="1"/>
    <s v="Satış &amp; Pazarlama Müdürü"/>
    <x v="0"/>
    <d v="2021-01-18T00:00:00"/>
    <s v="-"/>
    <x v="2"/>
    <s v="-"/>
    <x v="1"/>
    <n v="55600"/>
    <n v="0"/>
    <n v="5"/>
    <n v="30"/>
    <s v="-"/>
    <n v="0"/>
    <n v="3"/>
    <n v="0"/>
    <n v="0"/>
    <x v="1"/>
    <n v="4"/>
    <s v="Danışmanlık Firması"/>
    <m/>
    <n v="5"/>
    <s v="30-39"/>
    <s v="5-10 YIL"/>
    <x v="14"/>
  </r>
  <r>
    <s v="PER0357"/>
    <s v="Zeynep Öztürk"/>
    <x v="0"/>
    <d v="2001-01-12T00:00:00"/>
    <n v="25"/>
    <s v="Evli"/>
    <n v="1"/>
    <s v="Lisans"/>
    <x v="0"/>
    <s v="Operatör"/>
    <s v="Junior"/>
    <x v="0"/>
    <s v="Üretim &amp; Operasyon Müdürü"/>
    <x v="3"/>
    <d v="2023-12-24T00:00:00"/>
    <s v="-"/>
    <x v="2"/>
    <s v="-"/>
    <x v="1"/>
    <n v="24700"/>
    <n v="0"/>
    <n v="14"/>
    <n v="30"/>
    <s v="-"/>
    <n v="0"/>
    <n v="3"/>
    <n v="0"/>
    <n v="0"/>
    <x v="1"/>
    <n v="18"/>
    <s v="Kariyer.net"/>
    <m/>
    <n v="2"/>
    <s v="20-29"/>
    <s v="1-3 YIL"/>
    <x v="9"/>
  </r>
  <r>
    <s v="PER0358"/>
    <s v="Gamze Aydın"/>
    <x v="0"/>
    <d v="1998-03-05T00:00:00"/>
    <n v="28"/>
    <s v="Bekar"/>
    <n v="0"/>
    <s v="Lisans"/>
    <x v="0"/>
    <s v="Takım Lideri"/>
    <s v="Senior"/>
    <x v="0"/>
    <s v="Üretim &amp; Operasyon Müdürü"/>
    <x v="0"/>
    <d v="2020-08-20T00:00:00"/>
    <s v="-"/>
    <x v="2"/>
    <s v="-"/>
    <x v="1"/>
    <n v="38300"/>
    <n v="0"/>
    <n v="38"/>
    <n v="30"/>
    <s v="-"/>
    <n v="0"/>
    <n v="13"/>
    <n v="0"/>
    <n v="0"/>
    <x v="2"/>
    <n v="27"/>
    <s v="Kariyer.net"/>
    <m/>
    <n v="5"/>
    <s v="20-29"/>
    <s v="5-10 YIL"/>
    <x v="5"/>
  </r>
  <r>
    <s v="PER0359"/>
    <s v="Emre Çelik"/>
    <x v="1"/>
    <d v="1997-09-15T00:00:00"/>
    <n v="29"/>
    <s v="Bekar"/>
    <n v="0"/>
    <s v="Önlisans"/>
    <x v="0"/>
    <s v="Operatör"/>
    <s v="Junior"/>
    <x v="0"/>
    <s v="Üretim &amp; Operasyon Müdürü"/>
    <x v="0"/>
    <d v="2023-09-28T00:00:00"/>
    <s v="-"/>
    <x v="2"/>
    <s v="-"/>
    <x v="1"/>
    <n v="25800"/>
    <n v="0"/>
    <n v="28"/>
    <n v="20"/>
    <s v="01-Istirahat"/>
    <n v="10"/>
    <n v="0"/>
    <n v="0"/>
    <n v="0"/>
    <x v="1"/>
    <n v="17"/>
    <s v="Kariyer.net"/>
    <m/>
    <n v="2"/>
    <s v="20-29"/>
    <s v="1-3 YIL"/>
    <x v="9"/>
  </r>
  <r>
    <s v="PER0360"/>
    <s v="Gökhan Öztürk"/>
    <x v="1"/>
    <d v="1998-01-13T00:00:00"/>
    <n v="28"/>
    <s v="Bekar"/>
    <n v="0"/>
    <s v="Lisans"/>
    <x v="0"/>
    <s v="Operatör"/>
    <s v="Junior"/>
    <x v="0"/>
    <s v="Üretim &amp; Operasyon Müdürü"/>
    <x v="0"/>
    <d v="2026-04-10T00:00:00"/>
    <d v="2026-05-22T00:00:00"/>
    <x v="1"/>
    <n v="4"/>
    <x v="0"/>
    <n v="25500"/>
    <n v="0"/>
    <n v="43"/>
    <n v="29"/>
    <s v="01-Istirahat"/>
    <n v="1"/>
    <n v="0"/>
    <n v="0"/>
    <n v="0"/>
    <x v="1"/>
    <n v="3"/>
    <s v="Kariyer.net"/>
    <m/>
    <n v="0"/>
    <s v="20-29"/>
    <s v="0-1 YIL"/>
    <x v="3"/>
  </r>
  <r>
    <s v="PER0361"/>
    <s v="Ali Aslan"/>
    <x v="1"/>
    <d v="2003-08-21T00:00:00"/>
    <n v="23"/>
    <s v="Bekar"/>
    <n v="0"/>
    <s v="Önlisans"/>
    <x v="0"/>
    <s v="Operatör"/>
    <s v="Junior"/>
    <x v="0"/>
    <s v="Üretim &amp; Operasyon Müdürü"/>
    <x v="0"/>
    <d v="2022-09-12T00:00:00"/>
    <s v="-"/>
    <x v="2"/>
    <s v="-"/>
    <x v="1"/>
    <n v="28100"/>
    <n v="0"/>
    <n v="17"/>
    <n v="30"/>
    <s v="-"/>
    <n v="0"/>
    <n v="4"/>
    <n v="0"/>
    <n v="0"/>
    <x v="4"/>
    <n v="3"/>
    <s v="LinkedIn"/>
    <m/>
    <n v="3"/>
    <s v="20-29"/>
    <s v="3-5 YIL"/>
    <x v="7"/>
  </r>
  <r>
    <s v="PER0362"/>
    <s v="Emre Yıldız"/>
    <x v="1"/>
    <d v="1997-10-23T00:00:00"/>
    <n v="29"/>
    <s v="Bekar"/>
    <n v="0"/>
    <s v="Lisans"/>
    <x v="0"/>
    <s v="Operatör"/>
    <s v="Junior"/>
    <x v="0"/>
    <s v="Üretim &amp; Operasyon Müdürü"/>
    <x v="0"/>
    <d v="2024-03-11T00:00:00"/>
    <s v="-"/>
    <x v="2"/>
    <s v="-"/>
    <x v="1"/>
    <n v="25200"/>
    <n v="0"/>
    <n v="21"/>
    <n v="29"/>
    <s v="01-Istirahat"/>
    <n v="1"/>
    <n v="11"/>
    <n v="0"/>
    <n v="0"/>
    <x v="1"/>
    <n v="17"/>
    <s v="Kariyer.net"/>
    <m/>
    <n v="2"/>
    <s v="20-29"/>
    <s v="1-3 YIL"/>
    <x v="2"/>
  </r>
  <r>
    <s v="PER0363"/>
    <s v="Defne Kaya"/>
    <x v="0"/>
    <d v="1998-11-01T00:00:00"/>
    <n v="28"/>
    <s v="Evli"/>
    <n v="1"/>
    <s v="Lisans"/>
    <x v="3"/>
    <s v="Yazılım Uzman Yardımcısı"/>
    <s v="Junior"/>
    <x v="1"/>
    <s v="Bilgi Teknolojileri Müdürü"/>
    <x v="0"/>
    <d v="2025-03-08T00:00:00"/>
    <s v="-"/>
    <x v="2"/>
    <s v="-"/>
    <x v="1"/>
    <n v="45900"/>
    <n v="0"/>
    <n v="8"/>
    <n v="28"/>
    <s v="01-Istirahat"/>
    <n v="2"/>
    <n v="3"/>
    <n v="0"/>
    <n v="0"/>
    <x v="2"/>
    <n v="21"/>
    <s v="Danışmanlık Firması"/>
    <m/>
    <n v="1"/>
    <s v="20-29"/>
    <s v="1-3 YIL"/>
    <x v="0"/>
  </r>
  <r>
    <s v="PER0364"/>
    <s v="Furkan Yıldız"/>
    <x v="1"/>
    <d v="1997-01-05T00:00:00"/>
    <n v="29"/>
    <s v="Bekar"/>
    <n v="0"/>
    <s v="Lisans"/>
    <x v="0"/>
    <s v="Operatör"/>
    <s v="Junior"/>
    <x v="0"/>
    <s v="Üretim &amp; Operasyon Müdürü"/>
    <x v="0"/>
    <d v="2023-02-01T00:00:00"/>
    <s v="-"/>
    <x v="2"/>
    <s v="-"/>
    <x v="1"/>
    <n v="26300"/>
    <n v="0"/>
    <n v="31"/>
    <n v="30"/>
    <s v="-"/>
    <n v="0"/>
    <n v="13"/>
    <n v="0"/>
    <n v="0"/>
    <x v="4"/>
    <n v="2"/>
    <s v="LinkedIn"/>
    <m/>
    <n v="3"/>
    <s v="20-29"/>
    <s v="3-5 YIL"/>
    <x v="9"/>
  </r>
  <r>
    <s v="PER0365"/>
    <s v="İrem Aydın"/>
    <x v="0"/>
    <d v="1978-10-16T00:00:00"/>
    <n v="48"/>
    <s v="Bekar"/>
    <n v="0"/>
    <s v="Lisans"/>
    <x v="3"/>
    <s v="BT Müdürü"/>
    <s v="Manager"/>
    <x v="1"/>
    <s v="Genel Müdür"/>
    <x v="4"/>
    <d v="2020-11-21T00:00:00"/>
    <s v="-"/>
    <x v="2"/>
    <s v="-"/>
    <x v="1"/>
    <n v="119400"/>
    <n v="0"/>
    <n v="3"/>
    <n v="29"/>
    <s v="01-Istirahat"/>
    <n v="1"/>
    <n v="5"/>
    <n v="0"/>
    <n v="0"/>
    <x v="0"/>
    <n v="10"/>
    <s v="Kariyer.net"/>
    <m/>
    <n v="5"/>
    <s v="40-49"/>
    <s v="5-10 YIL"/>
    <x v="5"/>
  </r>
  <r>
    <s v="PER0366"/>
    <s v="Volkan Aydın"/>
    <x v="1"/>
    <d v="1997-01-18T00:00:00"/>
    <n v="29"/>
    <s v="Evli"/>
    <n v="2"/>
    <s v="Lisans"/>
    <x v="2"/>
    <s v="Muhasebe Elemanı"/>
    <s v="Junior"/>
    <x v="1"/>
    <s v="Finans &amp; Muhasebe Müdürü"/>
    <x v="0"/>
    <d v="2024-07-15T00:00:00"/>
    <d v="2025-11-01T00:00:00"/>
    <x v="1"/>
    <n v="4"/>
    <x v="0"/>
    <n v="34900"/>
    <n v="0"/>
    <n v="2"/>
    <n v="30"/>
    <s v="-"/>
    <n v="0"/>
    <n v="0"/>
    <n v="0"/>
    <n v="0"/>
    <x v="3"/>
    <n v="36"/>
    <s v="Referans"/>
    <m/>
    <n v="1"/>
    <s v="20-29"/>
    <s v="1-3 YIL"/>
    <x v="2"/>
  </r>
  <r>
    <s v="PER0367"/>
    <s v="Hüseyin Yıldız"/>
    <x v="1"/>
    <d v="1970-04-16T00:00:00"/>
    <n v="56"/>
    <s v="Bekar"/>
    <n v="0"/>
    <s v="Lisans"/>
    <x v="2"/>
    <s v="Finans Müdürü"/>
    <s v="Manager"/>
    <x v="1"/>
    <s v="Genel Müdür"/>
    <x v="0"/>
    <d v="2011-03-18T00:00:00"/>
    <s v="-"/>
    <x v="2"/>
    <s v="-"/>
    <x v="1"/>
    <n v="125900"/>
    <n v="11800"/>
    <n v="4"/>
    <n v="30"/>
    <s v="-"/>
    <n v="0"/>
    <n v="0"/>
    <n v="0"/>
    <n v="0"/>
    <x v="1"/>
    <n v="19"/>
    <s v="Kariyer.net"/>
    <m/>
    <n v="15"/>
    <s v="50+"/>
    <s v="10+"/>
    <x v="18"/>
  </r>
  <r>
    <s v="PER0368"/>
    <s v="Elif Kaya"/>
    <x v="0"/>
    <d v="1989-07-18T00:00:00"/>
    <n v="37"/>
    <s v="Evli"/>
    <n v="1"/>
    <s v="Önlisans"/>
    <x v="2"/>
    <s v="Finans Müdürü"/>
    <s v="Manager"/>
    <x v="1"/>
    <s v="Genel Müdür"/>
    <x v="0"/>
    <d v="2014-10-08T00:00:00"/>
    <s v="-"/>
    <x v="2"/>
    <s v="-"/>
    <x v="1"/>
    <n v="116800"/>
    <n v="16300"/>
    <n v="8"/>
    <n v="30"/>
    <s v="-"/>
    <n v="0"/>
    <n v="12"/>
    <n v="0"/>
    <n v="0"/>
    <x v="3"/>
    <n v="28"/>
    <s v="Kariyer.net"/>
    <m/>
    <n v="11"/>
    <s v="30-39"/>
    <s v="10+"/>
    <x v="6"/>
  </r>
  <r>
    <s v="PER0369"/>
    <s v="Ecem Çelik"/>
    <x v="0"/>
    <d v="1982-05-13T00:00:00"/>
    <n v="44"/>
    <s v="Evli"/>
    <n v="0"/>
    <s v="Önlisans"/>
    <x v="1"/>
    <s v="Kıdemli Satış Uzmanı"/>
    <s v="Senior"/>
    <x v="1"/>
    <s v="Satış &amp; Pazarlama Müdürü"/>
    <x v="0"/>
    <d v="2020-02-27T00:00:00"/>
    <s v="-"/>
    <x v="2"/>
    <s v="-"/>
    <x v="1"/>
    <n v="59300"/>
    <n v="6500"/>
    <n v="4"/>
    <n v="30"/>
    <s v="-"/>
    <n v="0"/>
    <n v="5"/>
    <n v="0"/>
    <n v="0"/>
    <x v="1"/>
    <n v="17"/>
    <s v="Kariyer.net"/>
    <m/>
    <n v="6"/>
    <s v="40-49"/>
    <s v="5-10 YIL"/>
    <x v="5"/>
  </r>
  <r>
    <s v="PER0370"/>
    <s v="Can Kara"/>
    <x v="1"/>
    <d v="1988-10-01T00:00:00"/>
    <n v="38"/>
    <s v="Bekar"/>
    <n v="0"/>
    <s v="Lisans"/>
    <x v="2"/>
    <s v="Finans Müdürü"/>
    <s v="Manager"/>
    <x v="1"/>
    <s v="Genel Müdür"/>
    <x v="0"/>
    <d v="2011-12-27T00:00:00"/>
    <s v="-"/>
    <x v="2"/>
    <s v="-"/>
    <x v="1"/>
    <n v="110400"/>
    <n v="0"/>
    <n v="3"/>
    <n v="30"/>
    <s v="-"/>
    <n v="0"/>
    <n v="12"/>
    <n v="0"/>
    <n v="0"/>
    <x v="1"/>
    <n v="19"/>
    <s v="Kariyer.net"/>
    <m/>
    <n v="14"/>
    <s v="30-39"/>
    <s v="10+"/>
    <x v="18"/>
  </r>
  <r>
    <s v="PER0371"/>
    <s v="Büşra Aydın"/>
    <x v="0"/>
    <d v="1998-09-11T00:00:00"/>
    <n v="28"/>
    <s v="Bekar"/>
    <n v="0"/>
    <s v="Önlisans"/>
    <x v="0"/>
    <s v="Operatör"/>
    <s v="Junior"/>
    <x v="0"/>
    <s v="Üretim &amp; Operasyon Müdürü"/>
    <x v="3"/>
    <d v="2026-02-06T00:00:00"/>
    <s v="-"/>
    <x v="2"/>
    <s v="-"/>
    <x v="1"/>
    <n v="25100"/>
    <n v="0"/>
    <n v="22"/>
    <n v="20"/>
    <s v="01-Istirahat"/>
    <n v="10"/>
    <n v="0"/>
    <n v="0"/>
    <n v="0"/>
    <x v="1"/>
    <n v="5"/>
    <s v="Referans"/>
    <m/>
    <n v="0"/>
    <s v="20-29"/>
    <s v="0-1 YIL"/>
    <x v="3"/>
  </r>
  <r>
    <s v="PER0372"/>
    <s v="Büşra Çelik"/>
    <x v="0"/>
    <d v="2003-05-23T00:00:00"/>
    <n v="23"/>
    <s v="Evli"/>
    <n v="0"/>
    <s v="Önlisans"/>
    <x v="0"/>
    <s v="Operatör"/>
    <s v="Junior"/>
    <x v="0"/>
    <s v="Üretim &amp; Operasyon Müdürü"/>
    <x v="0"/>
    <d v="2023-05-06T00:00:00"/>
    <s v="-"/>
    <x v="2"/>
    <s v="-"/>
    <x v="1"/>
    <n v="24500"/>
    <n v="0"/>
    <n v="22"/>
    <n v="30"/>
    <s v="-"/>
    <n v="0"/>
    <n v="0"/>
    <n v="0"/>
    <n v="0"/>
    <x v="1"/>
    <n v="3"/>
    <s v="LinkedIn"/>
    <m/>
    <n v="3"/>
    <s v="20-29"/>
    <s v="3-5 YIL"/>
    <x v="9"/>
  </r>
  <r>
    <s v="PER0373"/>
    <s v="İrem Yılmaz"/>
    <x v="0"/>
    <d v="2003-06-21T00:00:00"/>
    <n v="23"/>
    <s v="Bekar"/>
    <n v="0"/>
    <s v="Lisans"/>
    <x v="0"/>
    <s v="Operatör"/>
    <s v="Junior"/>
    <x v="0"/>
    <s v="Üretim &amp; Operasyon Müdürü"/>
    <x v="0"/>
    <d v="2025-03-03T00:00:00"/>
    <s v="-"/>
    <x v="2"/>
    <s v="-"/>
    <x v="1"/>
    <n v="27100"/>
    <n v="0"/>
    <n v="23"/>
    <n v="30"/>
    <s v="-"/>
    <n v="0"/>
    <n v="7"/>
    <n v="0"/>
    <n v="0"/>
    <x v="1"/>
    <n v="19"/>
    <s v="Kariyer.net"/>
    <m/>
    <n v="1"/>
    <s v="20-29"/>
    <s v="1-3 YIL"/>
    <x v="0"/>
  </r>
  <r>
    <s v="PER0374"/>
    <s v="Hilal Aslan"/>
    <x v="0"/>
    <d v="2004-06-25T00:00:00"/>
    <n v="22"/>
    <s v="Evli"/>
    <n v="1"/>
    <s v="Lisans"/>
    <x v="0"/>
    <s v="Operatör"/>
    <s v="Junior"/>
    <x v="0"/>
    <s v="Üretim &amp; Operasyon Müdürü"/>
    <x v="2"/>
    <d v="2025-05-14T00:00:00"/>
    <d v="2025-10-06T00:00:00"/>
    <x v="1"/>
    <n v="4"/>
    <x v="0"/>
    <n v="24200"/>
    <n v="0"/>
    <n v="22"/>
    <n v="29"/>
    <s v="10-Devamsizlik"/>
    <n v="0"/>
    <n v="8"/>
    <n v="0"/>
    <n v="1"/>
    <x v="1"/>
    <n v="14"/>
    <s v="Kariyer.net"/>
    <m/>
    <n v="1"/>
    <s v="20-29"/>
    <s v="1-3 YIL"/>
    <x v="0"/>
  </r>
  <r>
    <s v="PER0375"/>
    <s v="Volkan Yıldız"/>
    <x v="1"/>
    <d v="1996-06-08T00:00:00"/>
    <n v="30"/>
    <s v="Evli"/>
    <n v="1"/>
    <s v="Lisans"/>
    <x v="0"/>
    <s v="Takım Lideri"/>
    <s v="Senior"/>
    <x v="0"/>
    <s v="Üretim &amp; Operasyon Müdürü"/>
    <x v="0"/>
    <d v="2021-10-16T00:00:00"/>
    <s v="-"/>
    <x v="2"/>
    <s v="-"/>
    <x v="1"/>
    <n v="38100"/>
    <n v="0"/>
    <n v="16"/>
    <n v="30"/>
    <s v="-"/>
    <n v="0"/>
    <n v="5"/>
    <n v="0"/>
    <n v="0"/>
    <x v="1"/>
    <n v="2"/>
    <s v="Kariyer.net"/>
    <m/>
    <n v="4"/>
    <s v="30-39"/>
    <s v="3-5 YIL"/>
    <x v="14"/>
  </r>
  <r>
    <s v="PER0376"/>
    <s v="Mustafa Özdemir"/>
    <x v="1"/>
    <d v="1997-09-10T00:00:00"/>
    <n v="29"/>
    <s v="Evli"/>
    <n v="3"/>
    <s v="Lisans"/>
    <x v="0"/>
    <s v="Operatör"/>
    <s v="Junior"/>
    <x v="0"/>
    <s v="Üretim &amp; Operasyon Müdürü"/>
    <x v="0"/>
    <d v="2025-07-03T00:00:00"/>
    <s v="-"/>
    <x v="2"/>
    <s v="-"/>
    <x v="1"/>
    <n v="28700"/>
    <n v="0"/>
    <n v="37"/>
    <n v="28"/>
    <s v="01-Istirahat"/>
    <n v="2"/>
    <n v="0"/>
    <n v="0"/>
    <n v="0"/>
    <x v="1"/>
    <n v="18"/>
    <s v="Kariyer.net"/>
    <m/>
    <n v="0"/>
    <s v="20-29"/>
    <s v="0-1 YIL"/>
    <x v="0"/>
  </r>
  <r>
    <s v="PER0377"/>
    <s v="Furkan Aydın"/>
    <x v="1"/>
    <d v="1981-02-07T00:00:00"/>
    <n v="45"/>
    <s v="Evli"/>
    <n v="1"/>
    <s v="Lisans"/>
    <x v="3"/>
    <s v="Kıdemli Yazılım Uzmanı"/>
    <s v="Senior"/>
    <x v="1"/>
    <s v="Bilgi Teknolojileri Müdürü"/>
    <x v="2"/>
    <d v="2023-03-23T00:00:00"/>
    <s v="-"/>
    <x v="2"/>
    <s v="-"/>
    <x v="1"/>
    <n v="78000"/>
    <n v="10600"/>
    <n v="8"/>
    <n v="30"/>
    <s v="-"/>
    <n v="0"/>
    <n v="3"/>
    <n v="0"/>
    <n v="0"/>
    <x v="1"/>
    <n v="5"/>
    <s v="LinkedIn"/>
    <m/>
    <n v="3"/>
    <s v="40-49"/>
    <s v="3-5 YIL"/>
    <x v="9"/>
  </r>
  <r>
    <s v="PER0378"/>
    <s v="Hüseyin Yılmaz"/>
    <x v="1"/>
    <d v="2000-11-02T00:00:00"/>
    <n v="26"/>
    <s v="Evli"/>
    <n v="3"/>
    <s v="Yüksek Lisans"/>
    <x v="0"/>
    <s v="Operatör"/>
    <s v="Junior"/>
    <x v="0"/>
    <s v="Üretim &amp; Operasyon Müdürü"/>
    <x v="0"/>
    <d v="2024-02-11T00:00:00"/>
    <s v="-"/>
    <x v="2"/>
    <s v="-"/>
    <x v="1"/>
    <n v="24900"/>
    <n v="0"/>
    <n v="25"/>
    <n v="30"/>
    <s v="-"/>
    <n v="0"/>
    <n v="8"/>
    <n v="0"/>
    <n v="0"/>
    <x v="1"/>
    <n v="16"/>
    <s v="Referans"/>
    <m/>
    <n v="2"/>
    <s v="20-29"/>
    <s v="1-3 YIL"/>
    <x v="2"/>
  </r>
  <r>
    <s v="PER0379"/>
    <s v="Can Kaya"/>
    <x v="1"/>
    <d v="2003-08-12T00:00:00"/>
    <n v="23"/>
    <s v="Evli"/>
    <n v="1"/>
    <s v="Lisans"/>
    <x v="0"/>
    <s v="Operatör"/>
    <s v="Junior"/>
    <x v="0"/>
    <s v="Üretim &amp; Operasyon Müdürü"/>
    <x v="3"/>
    <d v="2025-11-28T00:00:00"/>
    <s v="-"/>
    <x v="2"/>
    <s v="-"/>
    <x v="1"/>
    <n v="24700"/>
    <n v="0"/>
    <n v="27"/>
    <n v="20"/>
    <s v="01-Istirahat"/>
    <n v="10"/>
    <n v="0"/>
    <n v="0"/>
    <n v="0"/>
    <x v="3"/>
    <n v="18"/>
    <s v="Şirket Web Sitesi"/>
    <m/>
    <n v="0"/>
    <s v="20-29"/>
    <s v="0-1 YIL"/>
    <x v="0"/>
  </r>
  <r>
    <s v="PER0380"/>
    <s v="Mehmet Kara"/>
    <x v="1"/>
    <d v="2002-01-24T00:00:00"/>
    <n v="24"/>
    <s v="Evli"/>
    <n v="1"/>
    <s v="Lisans"/>
    <x v="3"/>
    <s v="Yazılım Uzman Yardımcısı"/>
    <s v="Junior"/>
    <x v="1"/>
    <s v="Bilgi Teknolojileri Müdürü"/>
    <x v="2"/>
    <d v="2025-03-01T00:00:00"/>
    <s v="-"/>
    <x v="2"/>
    <s v="-"/>
    <x v="1"/>
    <n v="47200"/>
    <n v="0"/>
    <n v="1"/>
    <n v="30"/>
    <s v="-"/>
    <n v="0"/>
    <n v="0"/>
    <n v="0"/>
    <n v="0"/>
    <x v="1"/>
    <n v="4"/>
    <s v="Kariyer.net"/>
    <m/>
    <n v="1"/>
    <s v="20-29"/>
    <s v="1-3 YIL"/>
    <x v="0"/>
  </r>
  <r>
    <s v="PER0381"/>
    <s v="Gökhan Öztürk"/>
    <x v="1"/>
    <d v="1980-07-23T00:00:00"/>
    <n v="46"/>
    <s v="Bekar"/>
    <n v="0"/>
    <s v="Lisans"/>
    <x v="2"/>
    <s v="Mali İşler Uzmanı"/>
    <s v="Senior"/>
    <x v="1"/>
    <s v="Finans &amp; Muhasebe Müdürü"/>
    <x v="0"/>
    <d v="2020-07-03T00:00:00"/>
    <s v="-"/>
    <x v="2"/>
    <s v="-"/>
    <x v="1"/>
    <n v="55600"/>
    <n v="0"/>
    <n v="6"/>
    <n v="30"/>
    <s v="-"/>
    <n v="0"/>
    <n v="10"/>
    <n v="0"/>
    <n v="0"/>
    <x v="1"/>
    <n v="12"/>
    <s v="Kariyer.net"/>
    <m/>
    <n v="5"/>
    <s v="40-49"/>
    <s v="5-10 YIL"/>
    <x v="5"/>
  </r>
  <r>
    <s v="PER0382"/>
    <s v="Zeynep Yılmaz"/>
    <x v="0"/>
    <d v="2001-06-20T00:00:00"/>
    <n v="25"/>
    <s v="Evli"/>
    <n v="1"/>
    <s v="Önlisans"/>
    <x v="0"/>
    <s v="Operatör"/>
    <s v="Junior"/>
    <x v="0"/>
    <s v="Üretim &amp; Operasyon Müdürü"/>
    <x v="0"/>
    <d v="2024-04-11T00:00:00"/>
    <s v="-"/>
    <x v="2"/>
    <s v="-"/>
    <x v="1"/>
    <n v="26900"/>
    <n v="0"/>
    <n v="36"/>
    <n v="30"/>
    <s v="-"/>
    <n v="0"/>
    <n v="3"/>
    <n v="0"/>
    <n v="0"/>
    <x v="3"/>
    <n v="24"/>
    <s v="Danışmanlık Firması"/>
    <m/>
    <n v="2"/>
    <s v="20-29"/>
    <s v="1-3 YIL"/>
    <x v="2"/>
  </r>
  <r>
    <s v="PER0383"/>
    <s v="Zeynep Öztürk"/>
    <x v="0"/>
    <d v="1990-01-17T00:00:00"/>
    <n v="36"/>
    <s v="Evli"/>
    <n v="1"/>
    <s v="Doktora"/>
    <x v="3"/>
    <s v="Kıdemli Yazılım Uzmanı"/>
    <s v="Senior"/>
    <x v="1"/>
    <s v="Bilgi Teknolojileri Müdürü"/>
    <x v="3"/>
    <d v="2014-10-09T00:00:00"/>
    <d v="2016-03-15T00:00:00"/>
    <x v="4"/>
    <n v="3"/>
    <x v="0"/>
    <n v="81200"/>
    <n v="0"/>
    <n v="9"/>
    <n v="30"/>
    <s v="-"/>
    <n v="0"/>
    <n v="2"/>
    <n v="0"/>
    <n v="0"/>
    <x v="3"/>
    <n v="27"/>
    <s v="Kariyer.net"/>
    <m/>
    <n v="11"/>
    <s v="30-39"/>
    <s v="10+"/>
    <x v="6"/>
  </r>
  <r>
    <s v="PER0384"/>
    <s v="Hasan Doğan"/>
    <x v="1"/>
    <d v="2000-10-19T00:00:00"/>
    <n v="26"/>
    <s v="Evli"/>
    <n v="2"/>
    <s v="Lisans"/>
    <x v="0"/>
    <s v="Operatör"/>
    <s v="Junior"/>
    <x v="0"/>
    <s v="Üretim &amp; Operasyon Müdürü"/>
    <x v="0"/>
    <d v="2023-12-30T00:00:00"/>
    <s v="-"/>
    <x v="2"/>
    <s v="-"/>
    <x v="1"/>
    <n v="24200"/>
    <n v="0"/>
    <n v="39"/>
    <n v="30"/>
    <s v="-"/>
    <n v="0"/>
    <n v="6"/>
    <n v="0"/>
    <n v="0"/>
    <x v="3"/>
    <n v="32"/>
    <s v="LinkedIn"/>
    <m/>
    <n v="2"/>
    <s v="20-29"/>
    <s v="1-3 YIL"/>
    <x v="9"/>
  </r>
  <r>
    <s v="PER0385"/>
    <s v="Büşra Kara"/>
    <x v="0"/>
    <d v="2000-03-22T00:00:00"/>
    <n v="26"/>
    <s v="Bekar"/>
    <n v="0"/>
    <s v="Lisans"/>
    <x v="0"/>
    <s v="Operatör"/>
    <s v="Junior"/>
    <x v="0"/>
    <s v="Üretim &amp; Operasyon Müdürü"/>
    <x v="0"/>
    <d v="2023-09-11T00:00:00"/>
    <s v="-"/>
    <x v="2"/>
    <s v="-"/>
    <x v="1"/>
    <n v="27000"/>
    <n v="0"/>
    <n v="31"/>
    <n v="27"/>
    <s v="01-Istirahat"/>
    <n v="3"/>
    <n v="1"/>
    <n v="0"/>
    <n v="0"/>
    <x v="1"/>
    <n v="17"/>
    <s v="LinkedIn"/>
    <m/>
    <n v="2"/>
    <s v="20-29"/>
    <s v="1-3 YIL"/>
    <x v="9"/>
  </r>
  <r>
    <s v="PER0386"/>
    <s v="Elif Çelik"/>
    <x v="0"/>
    <d v="1998-04-16T00:00:00"/>
    <n v="28"/>
    <s v="Bekar"/>
    <n v="0"/>
    <s v="Lisans"/>
    <x v="2"/>
    <s v="Muhasebe Elemanı"/>
    <s v="Junior"/>
    <x v="1"/>
    <s v="Finans &amp; Muhasebe Müdürü"/>
    <x v="0"/>
    <d v="2022-08-30T00:00:00"/>
    <s v="-"/>
    <x v="2"/>
    <s v="-"/>
    <x v="1"/>
    <n v="38100"/>
    <n v="2100"/>
    <n v="3"/>
    <n v="28"/>
    <s v="01-Istirahat"/>
    <n v="2"/>
    <n v="11"/>
    <n v="0"/>
    <n v="0"/>
    <x v="1"/>
    <n v="9"/>
    <s v="Kariyer.net"/>
    <m/>
    <n v="3"/>
    <s v="20-29"/>
    <s v="3-5 YIL"/>
    <x v="7"/>
  </r>
  <r>
    <s v="PER0387"/>
    <s v="Oğuzhan Kılıç"/>
    <x v="1"/>
    <d v="1979-02-05T00:00:00"/>
    <n v="47"/>
    <s v="Bekar"/>
    <n v="0"/>
    <s v="Lisans"/>
    <x v="1"/>
    <s v="Kıdemli Satış Uzmanı"/>
    <s v="Senior"/>
    <x v="1"/>
    <s v="Satış &amp; Pazarlama Müdürü"/>
    <x v="3"/>
    <d v="2020-06-26T00:00:00"/>
    <s v="-"/>
    <x v="2"/>
    <s v="-"/>
    <x v="1"/>
    <n v="58000"/>
    <n v="17500"/>
    <n v="1"/>
    <n v="30"/>
    <s v="-"/>
    <n v="0"/>
    <n v="8"/>
    <n v="0"/>
    <n v="0"/>
    <x v="3"/>
    <n v="25"/>
    <s v="Referans"/>
    <m/>
    <n v="6"/>
    <s v="40-49"/>
    <s v="5-10 YIL"/>
    <x v="5"/>
  </r>
  <r>
    <s v="PER0388"/>
    <s v="Büşra Arslan"/>
    <x v="0"/>
    <d v="2004-05-15T00:00:00"/>
    <n v="22"/>
    <s v="Evli"/>
    <n v="0"/>
    <s v="Lisans"/>
    <x v="2"/>
    <s v="Muhasebe Elemanı"/>
    <s v="Junior"/>
    <x v="1"/>
    <s v="Finans &amp; Muhasebe Müdürü"/>
    <x v="1"/>
    <d v="2025-02-26T00:00:00"/>
    <s v="-"/>
    <x v="2"/>
    <s v="-"/>
    <x v="1"/>
    <n v="39300"/>
    <n v="0"/>
    <n v="8"/>
    <n v="29"/>
    <s v="01-Istirahat"/>
    <n v="1"/>
    <n v="14"/>
    <n v="0"/>
    <n v="0"/>
    <x v="3"/>
    <n v="12"/>
    <s v="Kariyer.net"/>
    <m/>
    <n v="1"/>
    <s v="20-29"/>
    <s v="1-3 YIL"/>
    <x v="0"/>
  </r>
  <r>
    <s v="PER0389"/>
    <s v="Merve Özdemir"/>
    <x v="0"/>
    <d v="1990-11-07T00:00:00"/>
    <n v="36"/>
    <s v="Evli"/>
    <n v="2"/>
    <s v="Önlisans"/>
    <x v="0"/>
    <s v="Takım Lideri"/>
    <s v="Senior"/>
    <x v="0"/>
    <s v="Üretim &amp; Operasyon Müdürü"/>
    <x v="0"/>
    <d v="2022-04-13T00:00:00"/>
    <s v="-"/>
    <x v="2"/>
    <s v="-"/>
    <x v="1"/>
    <n v="39700"/>
    <n v="0"/>
    <n v="32"/>
    <n v="30"/>
    <s v="-"/>
    <n v="0"/>
    <n v="9"/>
    <n v="0"/>
    <n v="0"/>
    <x v="1"/>
    <n v="10"/>
    <s v="LinkedIn"/>
    <m/>
    <n v="4"/>
    <s v="30-39"/>
    <s v="3-5 YIL"/>
    <x v="7"/>
  </r>
  <r>
    <s v="PER0390"/>
    <s v="Hüseyin Arslan"/>
    <x v="1"/>
    <d v="1997-03-01T00:00:00"/>
    <n v="29"/>
    <s v="Evli"/>
    <n v="1"/>
    <s v="Lisans"/>
    <x v="0"/>
    <s v="Operatör"/>
    <s v="Junior"/>
    <x v="0"/>
    <s v="Üretim &amp; Operasyon Müdürü"/>
    <x v="0"/>
    <d v="2023-02-27T00:00:00"/>
    <s v="-"/>
    <x v="2"/>
    <s v="-"/>
    <x v="1"/>
    <n v="24900"/>
    <n v="0"/>
    <n v="31"/>
    <n v="29"/>
    <s v="10-Devamsizlik"/>
    <n v="0"/>
    <n v="12"/>
    <n v="0"/>
    <n v="1"/>
    <x v="1"/>
    <n v="4"/>
    <s v="LinkedIn"/>
    <m/>
    <n v="3"/>
    <s v="20-29"/>
    <s v="3-5 YIL"/>
    <x v="9"/>
  </r>
  <r>
    <s v="PER0391"/>
    <s v="Dilan Kara"/>
    <x v="0"/>
    <d v="1985-03-25T00:00:00"/>
    <n v="41"/>
    <s v="Evli"/>
    <n v="2"/>
    <s v="Doktora"/>
    <x v="3"/>
    <s v="BT Müdürü"/>
    <s v="Manager"/>
    <x v="1"/>
    <s v="Genel Müdür"/>
    <x v="0"/>
    <d v="2011-10-17T00:00:00"/>
    <s v="-"/>
    <x v="2"/>
    <s v="-"/>
    <x v="1"/>
    <n v="132500"/>
    <n v="0"/>
    <n v="9"/>
    <n v="29"/>
    <s v="01-Istirahat"/>
    <n v="1"/>
    <n v="2"/>
    <n v="0"/>
    <n v="0"/>
    <x v="1"/>
    <n v="10"/>
    <s v="LinkedIn"/>
    <m/>
    <n v="14"/>
    <s v="40-49"/>
    <s v="10+"/>
    <x v="18"/>
  </r>
  <r>
    <s v="PER0392"/>
    <s v="Ecem Kaya"/>
    <x v="0"/>
    <d v="1986-04-19T00:00:00"/>
    <n v="40"/>
    <s v="Bekar"/>
    <n v="0"/>
    <s v="Lisans"/>
    <x v="3"/>
    <s v="Kıdemli Yazılım Uzmanı"/>
    <s v="Senior"/>
    <x v="1"/>
    <s v="Bilgi Teknolojileri Müdürü"/>
    <x v="1"/>
    <d v="2014-06-13T00:00:00"/>
    <s v="-"/>
    <x v="2"/>
    <s v="-"/>
    <x v="1"/>
    <n v="80400"/>
    <n v="0"/>
    <n v="5"/>
    <n v="30"/>
    <s v="-"/>
    <n v="0"/>
    <n v="8"/>
    <n v="0"/>
    <n v="0"/>
    <x v="1"/>
    <n v="11"/>
    <s v="Şirket Web Sitesi"/>
    <m/>
    <n v="12"/>
    <s v="40-49"/>
    <s v="10+"/>
    <x v="6"/>
  </r>
  <r>
    <s v="PER0393"/>
    <s v="Selin Demir"/>
    <x v="0"/>
    <d v="1984-11-19T00:00:00"/>
    <n v="42"/>
    <s v="Evli"/>
    <n v="1"/>
    <s v="Lisans"/>
    <x v="0"/>
    <s v="Takım Lideri"/>
    <s v="Senior"/>
    <x v="0"/>
    <s v="Üretim &amp; Operasyon Müdürü"/>
    <x v="0"/>
    <d v="2015-01-21T00:00:00"/>
    <s v="-"/>
    <x v="2"/>
    <s v="-"/>
    <x v="1"/>
    <n v="45500"/>
    <n v="0"/>
    <n v="44"/>
    <n v="29"/>
    <s v="01-Istirahat"/>
    <n v="1"/>
    <n v="10"/>
    <n v="0"/>
    <n v="0"/>
    <x v="1"/>
    <n v="3"/>
    <s v="Kariyer.net"/>
    <m/>
    <n v="11"/>
    <s v="40-49"/>
    <s v="10+"/>
    <x v="8"/>
  </r>
  <r>
    <s v="PER0394"/>
    <s v="Ahmet Kara"/>
    <x v="1"/>
    <d v="1981-03-23T00:00:00"/>
    <n v="45"/>
    <s v="Evli"/>
    <n v="0"/>
    <s v="Yüksek Lisans"/>
    <x v="2"/>
    <s v="Mali İşler Uzmanı"/>
    <s v="Senior"/>
    <x v="1"/>
    <s v="Finans &amp; Muhasebe Müdürü"/>
    <x v="0"/>
    <d v="2016-02-03T00:00:00"/>
    <s v="-"/>
    <x v="2"/>
    <s v="-"/>
    <x v="1"/>
    <n v="58400"/>
    <n v="0"/>
    <n v="4"/>
    <n v="30"/>
    <s v="-"/>
    <n v="0"/>
    <n v="8"/>
    <n v="0"/>
    <n v="0"/>
    <x v="0"/>
    <n v="11"/>
    <s v="LinkedIn"/>
    <m/>
    <n v="10"/>
    <s v="40-49"/>
    <s v="5-10 YIL"/>
    <x v="13"/>
  </r>
  <r>
    <s v="PER0395"/>
    <s v="Fatma Yılmaz"/>
    <x v="0"/>
    <d v="2000-10-17T00:00:00"/>
    <n v="26"/>
    <s v="Bekar"/>
    <n v="0"/>
    <s v="Lisans"/>
    <x v="4"/>
    <s v="İK Uzman Yardımcısı"/>
    <s v="Junior"/>
    <x v="1"/>
    <s v="İnsan Kaynakları Müdürü"/>
    <x v="0"/>
    <d v="2024-11-13T00:00:00"/>
    <s v="-"/>
    <x v="2"/>
    <s v="-"/>
    <x v="1"/>
    <n v="33300"/>
    <n v="0"/>
    <n v="5"/>
    <n v="29"/>
    <s v="02-Ucretsiz Izin"/>
    <n v="0"/>
    <n v="4"/>
    <n v="1"/>
    <n v="0"/>
    <x v="1"/>
    <n v="6"/>
    <s v="Referans"/>
    <m/>
    <n v="1"/>
    <s v="20-29"/>
    <s v="1-3 YIL"/>
    <x v="2"/>
  </r>
  <r>
    <s v="PER0396"/>
    <s v="Ahmet Kara"/>
    <x v="1"/>
    <d v="1980-04-26T00:00:00"/>
    <n v="46"/>
    <s v="Evli"/>
    <n v="2"/>
    <s v="Yüksek Lisans"/>
    <x v="2"/>
    <s v="Finans Müdürü"/>
    <s v="Manager"/>
    <x v="1"/>
    <s v="Genel Müdür"/>
    <x v="1"/>
    <d v="2021-02-09T00:00:00"/>
    <s v="-"/>
    <x v="2"/>
    <s v="-"/>
    <x v="1"/>
    <n v="126000"/>
    <n v="15500"/>
    <n v="5"/>
    <n v="30"/>
    <s v="-"/>
    <n v="0"/>
    <n v="14"/>
    <n v="0"/>
    <n v="0"/>
    <x v="1"/>
    <n v="4"/>
    <s v="Kariyer.net"/>
    <m/>
    <n v="5"/>
    <s v="40-49"/>
    <s v="5-10 YIL"/>
    <x v="14"/>
  </r>
  <r>
    <s v="PER0397"/>
    <s v="Hüseyin Yıldız"/>
    <x v="1"/>
    <d v="1997-05-27T00:00:00"/>
    <n v="29"/>
    <s v="Evli"/>
    <n v="0"/>
    <s v="Lisans"/>
    <x v="0"/>
    <s v="Operatör"/>
    <s v="Junior"/>
    <x v="0"/>
    <s v="Üretim &amp; Operasyon Müdürü"/>
    <x v="0"/>
    <d v="2023-03-25T00:00:00"/>
    <s v="-"/>
    <x v="2"/>
    <s v="-"/>
    <x v="1"/>
    <n v="24000"/>
    <n v="0"/>
    <n v="44"/>
    <n v="29"/>
    <s v="01-Istirahat"/>
    <n v="1"/>
    <n v="7"/>
    <n v="0"/>
    <n v="0"/>
    <x v="1"/>
    <n v="16"/>
    <s v="Kariyer.net"/>
    <m/>
    <n v="3"/>
    <s v="20-29"/>
    <s v="3-5 YIL"/>
    <x v="9"/>
  </r>
  <r>
    <s v="PER0398"/>
    <s v="Merve Demir"/>
    <x v="0"/>
    <d v="2001-01-26T00:00:00"/>
    <n v="25"/>
    <s v="Bekar"/>
    <n v="0"/>
    <s v="Lisans"/>
    <x v="2"/>
    <s v="Muhasebe Elemanı"/>
    <s v="Junior"/>
    <x v="1"/>
    <s v="Finans &amp; Muhasebe Müdürü"/>
    <x v="1"/>
    <d v="2022-08-02T00:00:00"/>
    <s v="-"/>
    <x v="2"/>
    <s v="-"/>
    <x v="1"/>
    <n v="40100"/>
    <n v="0"/>
    <n v="7"/>
    <n v="30"/>
    <s v="-"/>
    <n v="0"/>
    <n v="11"/>
    <n v="0"/>
    <n v="0"/>
    <x v="0"/>
    <n v="13"/>
    <s v="LinkedIn"/>
    <m/>
    <n v="3"/>
    <s v="20-29"/>
    <s v="3-5 YIL"/>
    <x v="7"/>
  </r>
  <r>
    <s v="PER0399"/>
    <s v="Gökhan Çelik"/>
    <x v="1"/>
    <d v="2000-04-16T00:00:00"/>
    <n v="26"/>
    <s v="Evli"/>
    <n v="2"/>
    <s v="Önlisans"/>
    <x v="0"/>
    <s v="Operatör"/>
    <s v="Junior"/>
    <x v="0"/>
    <s v="Üretim &amp; Operasyon Müdürü"/>
    <x v="4"/>
    <d v="2025-07-06T00:00:00"/>
    <s v="-"/>
    <x v="2"/>
    <s v="-"/>
    <x v="1"/>
    <n v="25700"/>
    <n v="0"/>
    <n v="42"/>
    <n v="30"/>
    <s v="-"/>
    <n v="0"/>
    <n v="0"/>
    <n v="0"/>
    <n v="0"/>
    <x v="1"/>
    <n v="7"/>
    <s v="Kariyer.net"/>
    <m/>
    <n v="0"/>
    <s v="20-29"/>
    <s v="0-1 YIL"/>
    <x v="0"/>
  </r>
  <r>
    <s v="PER0400"/>
    <s v="Gökhan Aslan"/>
    <x v="1"/>
    <d v="2000-12-12T00:00:00"/>
    <n v="26"/>
    <s v="Evli"/>
    <n v="0"/>
    <s v="Lisans"/>
    <x v="1"/>
    <s v="Satış Temsilcisi"/>
    <s v="Junior"/>
    <x v="1"/>
    <s v="Satış &amp; Pazarlama Müdürü"/>
    <x v="1"/>
    <d v="2025-06-11T00:00:00"/>
    <d v="2026-01-04T00:00:00"/>
    <x v="0"/>
    <n v="3"/>
    <x v="0"/>
    <n v="35400"/>
    <n v="5800"/>
    <n v="4"/>
    <n v="30"/>
    <s v="-"/>
    <n v="0"/>
    <n v="0"/>
    <n v="0"/>
    <n v="0"/>
    <x v="4"/>
    <n v="17"/>
    <s v="Kariyer.net"/>
    <m/>
    <n v="1"/>
    <s v="20-29"/>
    <s v="1-3 YIL"/>
    <x v="0"/>
  </r>
  <r>
    <s v="PER0401"/>
    <s v="Oğuzhan Doğan"/>
    <x v="1"/>
    <d v="1987-07-25T00:00:00"/>
    <n v="39"/>
    <s v="Evli"/>
    <n v="0"/>
    <s v="Lisans"/>
    <x v="0"/>
    <s v="Takım Lideri"/>
    <s v="Senior"/>
    <x v="0"/>
    <s v="Üretim &amp; Operasyon Müdürü"/>
    <x v="0"/>
    <d v="2019-08-26T00:00:00"/>
    <s v="-"/>
    <x v="2"/>
    <s v="-"/>
    <x v="1"/>
    <n v="41500"/>
    <n v="0"/>
    <n v="39"/>
    <n v="30"/>
    <s v="-"/>
    <n v="0"/>
    <n v="7"/>
    <n v="0"/>
    <n v="0"/>
    <x v="3"/>
    <n v="18"/>
    <s v="LinkedIn"/>
    <m/>
    <n v="6"/>
    <s v="30-39"/>
    <s v="5-10 YIL"/>
    <x v="11"/>
  </r>
  <r>
    <s v="PER0402"/>
    <s v="Merve Çetin"/>
    <x v="0"/>
    <d v="2000-10-11T00:00:00"/>
    <n v="26"/>
    <s v="Evli"/>
    <n v="1"/>
    <s v="Lisans"/>
    <x v="0"/>
    <s v="Operatör"/>
    <s v="Junior"/>
    <x v="0"/>
    <s v="Üretim &amp; Operasyon Müdürü"/>
    <x v="0"/>
    <d v="2025-08-01T00:00:00"/>
    <d v="2026-05-04T00:00:00"/>
    <x v="1"/>
    <n v="4"/>
    <x v="0"/>
    <n v="28100"/>
    <n v="0"/>
    <n v="15"/>
    <n v="30"/>
    <s v="-"/>
    <n v="0"/>
    <n v="0"/>
    <n v="0"/>
    <n v="0"/>
    <x v="3"/>
    <n v="22"/>
    <s v="Referans"/>
    <m/>
    <n v="0"/>
    <s v="20-29"/>
    <s v="0-1 YIL"/>
    <x v="0"/>
  </r>
  <r>
    <s v="PER0403"/>
    <s v="Ahmet Kılıç"/>
    <x v="1"/>
    <d v="2004-08-25T00:00:00"/>
    <n v="22"/>
    <s v="Bekar"/>
    <n v="0"/>
    <s v="Lisans"/>
    <x v="0"/>
    <s v="Operatör"/>
    <s v="Junior"/>
    <x v="0"/>
    <s v="Üretim &amp; Operasyon Müdürü"/>
    <x v="3"/>
    <d v="2023-03-14T00:00:00"/>
    <s v="-"/>
    <x v="2"/>
    <s v="-"/>
    <x v="1"/>
    <n v="26300"/>
    <n v="0"/>
    <n v="43"/>
    <n v="28"/>
    <s v="01-Istirahat"/>
    <n v="1"/>
    <n v="0"/>
    <n v="1"/>
    <n v="0"/>
    <x v="4"/>
    <n v="2"/>
    <s v="Kariyer.net"/>
    <m/>
    <n v="3"/>
    <s v="20-29"/>
    <s v="3-5 YIL"/>
    <x v="9"/>
  </r>
  <r>
    <s v="PER0404"/>
    <s v="Furkan Kara"/>
    <x v="1"/>
    <d v="2002-08-19T00:00:00"/>
    <n v="24"/>
    <s v="Evli"/>
    <n v="1"/>
    <s v="Lisans"/>
    <x v="0"/>
    <s v="Operatör"/>
    <s v="Junior"/>
    <x v="0"/>
    <s v="Üretim &amp; Operasyon Müdürü"/>
    <x v="0"/>
    <d v="2024-06-23T00:00:00"/>
    <s v="-"/>
    <x v="2"/>
    <s v="-"/>
    <x v="1"/>
    <n v="25000"/>
    <n v="0"/>
    <n v="37"/>
    <n v="29"/>
    <s v="01-Istirahat"/>
    <n v="1"/>
    <n v="12"/>
    <n v="0"/>
    <n v="0"/>
    <x v="4"/>
    <n v="8"/>
    <s v="Referans"/>
    <m/>
    <n v="2"/>
    <s v="20-29"/>
    <s v="1-3 YIL"/>
    <x v="2"/>
  </r>
  <r>
    <s v="PER0405"/>
    <s v="Ali Çelik"/>
    <x v="1"/>
    <d v="1994-06-10T00:00:00"/>
    <n v="32"/>
    <s v="Evli"/>
    <n v="0"/>
    <s v="Lisans"/>
    <x v="0"/>
    <s v="Takım Lideri"/>
    <s v="Senior"/>
    <x v="0"/>
    <s v="Üretim &amp; Operasyon Müdürü"/>
    <x v="0"/>
    <d v="2019-04-18T00:00:00"/>
    <s v="-"/>
    <x v="2"/>
    <s v="-"/>
    <x v="1"/>
    <n v="40900"/>
    <n v="0"/>
    <n v="38"/>
    <n v="30"/>
    <s v="-"/>
    <n v="0"/>
    <n v="4"/>
    <n v="0"/>
    <n v="0"/>
    <x v="0"/>
    <n v="2"/>
    <s v="LinkedIn"/>
    <m/>
    <n v="7"/>
    <s v="30-39"/>
    <s v="5-10 YIL"/>
    <x v="11"/>
  </r>
  <r>
    <s v="PER0406"/>
    <s v="Ali Öztürk"/>
    <x v="1"/>
    <d v="2004-05-20T00:00:00"/>
    <n v="22"/>
    <s v="Bekar"/>
    <n v="0"/>
    <s v="Yüksek Lisans"/>
    <x v="0"/>
    <s v="Operatör"/>
    <s v="Junior"/>
    <x v="0"/>
    <s v="Üretim &amp; Operasyon Müdürü"/>
    <x v="3"/>
    <d v="2024-01-11T00:00:00"/>
    <s v="-"/>
    <x v="2"/>
    <s v="-"/>
    <x v="1"/>
    <n v="28300"/>
    <n v="0"/>
    <n v="15"/>
    <n v="30"/>
    <s v="-"/>
    <n v="0"/>
    <n v="2"/>
    <n v="0"/>
    <n v="0"/>
    <x v="0"/>
    <n v="17"/>
    <s v="LinkedIn"/>
    <m/>
    <n v="2"/>
    <s v="20-29"/>
    <s v="1-3 YIL"/>
    <x v="2"/>
  </r>
  <r>
    <s v="PER0407"/>
    <s v="İrem Şahin"/>
    <x v="0"/>
    <d v="2002-11-21T00:00:00"/>
    <n v="24"/>
    <s v="Evli"/>
    <n v="2"/>
    <s v="Yüksek Lisans"/>
    <x v="0"/>
    <s v="Operatör"/>
    <s v="Junior"/>
    <x v="0"/>
    <s v="Üretim &amp; Operasyon Müdürü"/>
    <x v="0"/>
    <d v="2023-04-18T00:00:00"/>
    <s v="-"/>
    <x v="2"/>
    <s v="-"/>
    <x v="1"/>
    <n v="25800"/>
    <n v="0"/>
    <n v="42"/>
    <n v="30"/>
    <s v="-"/>
    <n v="0"/>
    <n v="13"/>
    <n v="0"/>
    <n v="0"/>
    <x v="1"/>
    <n v="16"/>
    <s v="LinkedIn"/>
    <m/>
    <n v="3"/>
    <s v="20-29"/>
    <s v="3-5 YIL"/>
    <x v="9"/>
  </r>
  <r>
    <s v="PER0408"/>
    <s v="Emre Aslan"/>
    <x v="1"/>
    <d v="1984-07-13T00:00:00"/>
    <n v="42"/>
    <s v="Bekar"/>
    <n v="0"/>
    <s v="Önlisans"/>
    <x v="0"/>
    <s v="Üretim Müdürü"/>
    <s v="Manager"/>
    <x v="1"/>
    <s v="Genel Müdür"/>
    <x v="2"/>
    <d v="2008-10-21T00:00:00"/>
    <s v="-"/>
    <x v="2"/>
    <s v="-"/>
    <x v="1"/>
    <n v="100400"/>
    <n v="0"/>
    <n v="4"/>
    <n v="30"/>
    <s v="-"/>
    <n v="0"/>
    <n v="10"/>
    <n v="0"/>
    <n v="0"/>
    <x v="1"/>
    <n v="7"/>
    <s v="LinkedIn"/>
    <m/>
    <n v="17"/>
    <s v="40-49"/>
    <s v="10+"/>
    <x v="15"/>
  </r>
  <r>
    <s v="PER0409"/>
    <s v="Hilal Çelik"/>
    <x v="0"/>
    <d v="1984-12-09T00:00:00"/>
    <n v="42"/>
    <s v="Evli"/>
    <n v="2"/>
    <s v="Lisans"/>
    <x v="1"/>
    <s v="Kıdemli Satış Uzmanı"/>
    <s v="Senior"/>
    <x v="1"/>
    <s v="Satış &amp; Pazarlama Müdürü"/>
    <x v="0"/>
    <d v="2018-05-08T00:00:00"/>
    <d v="2025-06-22T00:00:00"/>
    <x v="1"/>
    <n v="4"/>
    <x v="0"/>
    <n v="53800"/>
    <n v="0"/>
    <n v="1"/>
    <n v="30"/>
    <s v="-"/>
    <n v="0"/>
    <n v="7"/>
    <n v="0"/>
    <n v="0"/>
    <x v="3"/>
    <n v="32"/>
    <s v="Şirket Web Sitesi"/>
    <m/>
    <n v="8"/>
    <s v="40-49"/>
    <s v="5-10 YIL"/>
    <x v="1"/>
  </r>
  <r>
    <s v="PER0410"/>
    <s v="Aslan Kaya"/>
    <x v="0"/>
    <d v="1998-06-16T00:00:00"/>
    <n v="28"/>
    <s v="Bekar"/>
    <n v="0"/>
    <s v="Lisans"/>
    <x v="0"/>
    <s v="Operatör"/>
    <s v="Junior"/>
    <x v="0"/>
    <s v="Üretim &amp; Operasyon Müdürü"/>
    <x v="0"/>
    <d v="2023-09-29T00:00:00"/>
    <s v="-"/>
    <x v="2"/>
    <s v="-"/>
    <x v="1"/>
    <n v="27400"/>
    <n v="0"/>
    <n v="38"/>
    <n v="30"/>
    <s v="-"/>
    <n v="0"/>
    <n v="7"/>
    <n v="0"/>
    <n v="0"/>
    <x v="4"/>
    <n v="19"/>
    <s v="Kariyer.net"/>
    <m/>
    <n v="2"/>
    <s v="20-29"/>
    <s v="1-3 YIL"/>
    <x v="9"/>
  </r>
  <r>
    <s v="PER0411"/>
    <s v="Emre Şahin"/>
    <x v="1"/>
    <d v="2001-07-21T00:00:00"/>
    <n v="25"/>
    <s v="Evli"/>
    <n v="1"/>
    <s v="Lisans"/>
    <x v="0"/>
    <s v="Operatör"/>
    <s v="Junior"/>
    <x v="0"/>
    <s v="Üretim &amp; Operasyon Müdürü"/>
    <x v="0"/>
    <d v="2025-04-25T00:00:00"/>
    <s v="-"/>
    <x v="2"/>
    <s v="-"/>
    <x v="1"/>
    <n v="26400"/>
    <n v="0"/>
    <n v="17"/>
    <n v="30"/>
    <s v="-"/>
    <n v="0"/>
    <n v="14"/>
    <n v="0"/>
    <n v="0"/>
    <x v="2"/>
    <n v="26"/>
    <s v="LinkedIn"/>
    <m/>
    <n v="1"/>
    <s v="20-29"/>
    <s v="1-3 YIL"/>
    <x v="0"/>
  </r>
  <r>
    <s v="PER0412"/>
    <s v="Furkan Şahin"/>
    <x v="1"/>
    <d v="1979-06-24T00:00:00"/>
    <n v="47"/>
    <s v="Evli"/>
    <n v="1"/>
    <s v="Önlisans"/>
    <x v="0"/>
    <s v="Takım Lideri"/>
    <s v="Senior"/>
    <x v="0"/>
    <s v="Üretim &amp; Operasyon Müdürü"/>
    <x v="3"/>
    <d v="2018-10-10T00:00:00"/>
    <s v="-"/>
    <x v="2"/>
    <s v="-"/>
    <x v="1"/>
    <n v="40700"/>
    <n v="0"/>
    <n v="25"/>
    <n v="28"/>
    <s v="01-Istirahat"/>
    <n v="2"/>
    <n v="11"/>
    <n v="0"/>
    <n v="0"/>
    <x v="2"/>
    <n v="24"/>
    <s v="Kariyer.net"/>
    <m/>
    <n v="7"/>
    <s v="40-49"/>
    <s v="5-10 YIL"/>
    <x v="1"/>
  </r>
  <r>
    <s v="PER0413"/>
    <s v="Kübra Çetin"/>
    <x v="0"/>
    <d v="2004-04-09T00:00:00"/>
    <n v="22"/>
    <s v="Bekar"/>
    <n v="0"/>
    <s v="Lisans"/>
    <x v="0"/>
    <s v="Operatör"/>
    <s v="Junior"/>
    <x v="0"/>
    <s v="Üretim &amp; Operasyon Müdürü"/>
    <x v="0"/>
    <d v="2025-12-02T00:00:00"/>
    <s v="-"/>
    <x v="2"/>
    <s v="-"/>
    <x v="1"/>
    <n v="25200"/>
    <n v="0"/>
    <n v="13"/>
    <n v="28"/>
    <s v="01-Istirahat"/>
    <n v="2"/>
    <n v="0"/>
    <n v="0"/>
    <n v="0"/>
    <x v="1"/>
    <n v="5"/>
    <s v="LinkedIn"/>
    <m/>
    <n v="0"/>
    <s v="20-29"/>
    <s v="0-1 YIL"/>
    <x v="0"/>
  </r>
  <r>
    <s v="PER0414"/>
    <s v="Elif Şahin"/>
    <x v="0"/>
    <d v="2002-04-17T00:00:00"/>
    <n v="24"/>
    <s v="Evli"/>
    <n v="1"/>
    <s v="Lisans"/>
    <x v="0"/>
    <s v="Operatör"/>
    <s v="Junior"/>
    <x v="0"/>
    <s v="Üretim &amp; Operasyon Müdürü"/>
    <x v="0"/>
    <d v="2026-03-30T00:00:00"/>
    <s v="-"/>
    <x v="2"/>
    <s v="-"/>
    <x v="1"/>
    <n v="27700"/>
    <n v="0"/>
    <n v="24"/>
    <n v="29"/>
    <s v="01-Istirahat"/>
    <n v="1"/>
    <n v="0"/>
    <n v="0"/>
    <n v="0"/>
    <x v="1"/>
    <n v="14"/>
    <s v="Kariyer.net"/>
    <m/>
    <n v="0"/>
    <s v="20-29"/>
    <s v="0-1 YIL"/>
    <x v="3"/>
  </r>
  <r>
    <s v="PER0415"/>
    <s v="Can Yılmaz"/>
    <x v="1"/>
    <d v="1982-12-25T00:00:00"/>
    <n v="44"/>
    <s v="Evli"/>
    <n v="1"/>
    <s v="Lisans"/>
    <x v="1"/>
    <s v="Satış Müdürü"/>
    <s v="Manager"/>
    <x v="1"/>
    <s v="Genel Müdür"/>
    <x v="0"/>
    <d v="2013-07-16T00:00:00"/>
    <s v="-"/>
    <x v="2"/>
    <s v="-"/>
    <x v="1"/>
    <n v="101400"/>
    <n v="0"/>
    <n v="0"/>
    <n v="30"/>
    <s v="-"/>
    <n v="0"/>
    <n v="0"/>
    <n v="0"/>
    <n v="0"/>
    <x v="1"/>
    <n v="15"/>
    <s v="Danışmanlık Firması"/>
    <m/>
    <n v="12"/>
    <s v="40-49"/>
    <s v="10+"/>
    <x v="10"/>
  </r>
  <r>
    <s v="PER0416"/>
    <s v="Serkan Aslan"/>
    <x v="1"/>
    <d v="1979-09-26T00:00:00"/>
    <n v="47"/>
    <s v="Evli"/>
    <n v="0"/>
    <s v="Doktora"/>
    <x v="0"/>
    <s v="Takım Lideri"/>
    <s v="Senior"/>
    <x v="0"/>
    <s v="Üretim &amp; Operasyon Müdürü"/>
    <x v="0"/>
    <d v="2021-10-13T00:00:00"/>
    <s v="-"/>
    <x v="2"/>
    <s v="-"/>
    <x v="1"/>
    <n v="41700"/>
    <n v="0"/>
    <n v="31"/>
    <n v="28"/>
    <s v="01-Istirahat"/>
    <n v="2"/>
    <n v="12"/>
    <n v="0"/>
    <n v="0"/>
    <x v="3"/>
    <n v="14"/>
    <s v="Şirket Web Sitesi"/>
    <m/>
    <n v="4"/>
    <s v="40-49"/>
    <s v="3-5 YIL"/>
    <x v="14"/>
  </r>
  <r>
    <s v="PER0417"/>
    <s v="Serkan Kara"/>
    <x v="1"/>
    <d v="1997-07-01T00:00:00"/>
    <n v="29"/>
    <s v="Evli"/>
    <n v="1"/>
    <s v="Lisans"/>
    <x v="0"/>
    <s v="Operatör"/>
    <s v="Junior"/>
    <x v="0"/>
    <s v="Üretim &amp; Operasyon Müdürü"/>
    <x v="0"/>
    <d v="2026-04-02T00:00:00"/>
    <s v="-"/>
    <x v="2"/>
    <s v="-"/>
    <x v="1"/>
    <n v="27600"/>
    <n v="0"/>
    <n v="23"/>
    <n v="30"/>
    <s v="-"/>
    <n v="0"/>
    <n v="0"/>
    <n v="0"/>
    <n v="0"/>
    <x v="3"/>
    <n v="37"/>
    <s v="LinkedIn"/>
    <m/>
    <n v="0"/>
    <s v="20-29"/>
    <s v="0-1 YIL"/>
    <x v="3"/>
  </r>
  <r>
    <s v="PER0418"/>
    <s v="Ali Demir"/>
    <x v="1"/>
    <d v="1984-07-18T00:00:00"/>
    <n v="42"/>
    <s v="Evli"/>
    <n v="0"/>
    <s v="Lisans"/>
    <x v="0"/>
    <s v="Takım Lideri"/>
    <s v="Senior"/>
    <x v="0"/>
    <s v="Üretim &amp; Operasyon Müdürü"/>
    <x v="2"/>
    <d v="2017-04-16T00:00:00"/>
    <s v="-"/>
    <x v="2"/>
    <s v="-"/>
    <x v="1"/>
    <n v="39800"/>
    <n v="0"/>
    <n v="13"/>
    <n v="30"/>
    <s v="-"/>
    <n v="0"/>
    <n v="6"/>
    <n v="0"/>
    <n v="0"/>
    <x v="4"/>
    <n v="18"/>
    <s v="Kariyer.net"/>
    <m/>
    <n v="9"/>
    <s v="40-49"/>
    <s v="5-10 YIL"/>
    <x v="4"/>
  </r>
  <r>
    <s v="PER0419"/>
    <s v="Aslan Aslan"/>
    <x v="0"/>
    <d v="2001-06-23T00:00:00"/>
    <n v="25"/>
    <s v="Bekar"/>
    <n v="0"/>
    <s v="Lisans"/>
    <x v="0"/>
    <s v="Operatör"/>
    <s v="Junior"/>
    <x v="0"/>
    <s v="Üretim &amp; Operasyon Müdürü"/>
    <x v="2"/>
    <d v="2025-02-20T00:00:00"/>
    <s v="-"/>
    <x v="2"/>
    <s v="-"/>
    <x v="1"/>
    <n v="26400"/>
    <n v="0"/>
    <n v="42"/>
    <n v="30"/>
    <s v="-"/>
    <n v="0"/>
    <n v="9"/>
    <n v="0"/>
    <n v="0"/>
    <x v="1"/>
    <n v="8"/>
    <s v="Kariyer.net"/>
    <m/>
    <n v="1"/>
    <s v="20-29"/>
    <s v="1-3 YIL"/>
    <x v="0"/>
  </r>
  <r>
    <s v="PER0420"/>
    <s v="Ali Yılmaz"/>
    <x v="1"/>
    <d v="2000-11-15T00:00:00"/>
    <n v="26"/>
    <s v="Bekar"/>
    <n v="0"/>
    <s v="Yüksek Lisans"/>
    <x v="0"/>
    <s v="Operatör"/>
    <s v="Junior"/>
    <x v="0"/>
    <s v="Üretim &amp; Operasyon Müdürü"/>
    <x v="0"/>
    <d v="2026-03-07T00:00:00"/>
    <s v="-"/>
    <x v="2"/>
    <s v="-"/>
    <x v="1"/>
    <n v="27800"/>
    <n v="0"/>
    <n v="43"/>
    <n v="29"/>
    <s v="01-Istirahat"/>
    <n v="1"/>
    <n v="0"/>
    <n v="0"/>
    <n v="0"/>
    <x v="3"/>
    <n v="12"/>
    <s v="LinkedIn"/>
    <m/>
    <n v="0"/>
    <s v="20-29"/>
    <s v="0-1 YIL"/>
    <x v="3"/>
  </r>
  <r>
    <s v="PER0421"/>
    <s v="Ecem Çelik"/>
    <x v="0"/>
    <d v="1982-08-24T00:00:00"/>
    <n v="44"/>
    <s v="Evli"/>
    <n v="2"/>
    <s v="Lisans"/>
    <x v="4"/>
    <s v="İK Uzmanı"/>
    <s v="Senior"/>
    <x v="1"/>
    <s v="İnsan Kaynakları Müdürü"/>
    <x v="0"/>
    <d v="2019-11-26T00:00:00"/>
    <s v="-"/>
    <x v="2"/>
    <s v="-"/>
    <x v="1"/>
    <n v="51000"/>
    <n v="0"/>
    <n v="3"/>
    <n v="27"/>
    <s v="02-Ucretsiz Izin"/>
    <n v="0"/>
    <n v="11"/>
    <n v="3"/>
    <n v="0"/>
    <x v="1"/>
    <n v="12"/>
    <s v="LinkedIn"/>
    <m/>
    <n v="6"/>
    <s v="40-49"/>
    <s v="5-10 YIL"/>
    <x v="11"/>
  </r>
  <r>
    <s v="PER0422"/>
    <s v="Gökhan Demir"/>
    <x v="1"/>
    <d v="2002-03-25T00:00:00"/>
    <n v="24"/>
    <s v="Evli"/>
    <n v="1"/>
    <s v="Önlisans"/>
    <x v="0"/>
    <s v="Operatör"/>
    <s v="Junior"/>
    <x v="0"/>
    <s v="Üretim &amp; Operasyon Müdürü"/>
    <x v="0"/>
    <d v="2025-12-08T00:00:00"/>
    <s v="-"/>
    <x v="2"/>
    <s v="-"/>
    <x v="1"/>
    <n v="24700"/>
    <n v="0"/>
    <n v="26"/>
    <n v="29"/>
    <s v="02-Ucretsiz Izin"/>
    <n v="0"/>
    <n v="0"/>
    <n v="1"/>
    <n v="0"/>
    <x v="1"/>
    <n v="17"/>
    <s v="Kariyer.net"/>
    <m/>
    <n v="0"/>
    <s v="20-29"/>
    <s v="0-1 YIL"/>
    <x v="0"/>
  </r>
  <r>
    <s v="PER0423"/>
    <s v="Dilan Kılıç"/>
    <x v="0"/>
    <d v="2004-05-07T00:00:00"/>
    <n v="22"/>
    <s v="Evli"/>
    <n v="0"/>
    <s v="Lisans"/>
    <x v="3"/>
    <s v="Yazılım Uzman Yardımcısı"/>
    <s v="Junior"/>
    <x v="1"/>
    <s v="Bilgi Teknolojileri Müdürü"/>
    <x v="0"/>
    <d v="2026-04-03T00:00:00"/>
    <s v="-"/>
    <x v="2"/>
    <s v="-"/>
    <x v="1"/>
    <n v="51300"/>
    <n v="3200"/>
    <n v="8"/>
    <n v="30"/>
    <s v="-"/>
    <n v="0"/>
    <n v="0"/>
    <n v="0"/>
    <n v="0"/>
    <x v="1"/>
    <n v="14"/>
    <s v="Kariyer.net"/>
    <m/>
    <n v="0"/>
    <s v="20-29"/>
    <s v="0-1 YIL"/>
    <x v="3"/>
  </r>
  <r>
    <s v="PER0424"/>
    <s v="Emre Şahin"/>
    <x v="1"/>
    <d v="1979-08-02T00:00:00"/>
    <n v="47"/>
    <s v="Evli"/>
    <n v="0"/>
    <s v="Önlisans"/>
    <x v="2"/>
    <s v="Mali İşler Uzmanı"/>
    <s v="Senior"/>
    <x v="1"/>
    <s v="Finans &amp; Muhasebe Müdürü"/>
    <x v="0"/>
    <d v="2020-02-11T00:00:00"/>
    <s v="-"/>
    <x v="2"/>
    <s v="-"/>
    <x v="1"/>
    <n v="56900"/>
    <n v="0"/>
    <n v="5"/>
    <n v="27"/>
    <s v="02-Ucretsiz Izin"/>
    <n v="0"/>
    <n v="13"/>
    <n v="3"/>
    <n v="0"/>
    <x v="3"/>
    <n v="31"/>
    <s v="Kariyer.net"/>
    <m/>
    <n v="6"/>
    <s v="40-49"/>
    <s v="5-10 YIL"/>
    <x v="5"/>
  </r>
  <r>
    <s v="PER0425"/>
    <s v="Ömer Kaya"/>
    <x v="1"/>
    <d v="2001-05-15T00:00:00"/>
    <n v="25"/>
    <s v="Evli"/>
    <n v="0"/>
    <s v="Lisans"/>
    <x v="0"/>
    <s v="Operatör"/>
    <s v="Junior"/>
    <x v="0"/>
    <s v="Üretim &amp; Operasyon Müdürü"/>
    <x v="3"/>
    <d v="2023-05-26T00:00:00"/>
    <s v="-"/>
    <x v="2"/>
    <s v="-"/>
    <x v="1"/>
    <n v="25500"/>
    <n v="0"/>
    <n v="38"/>
    <n v="30"/>
    <s v="-"/>
    <n v="0"/>
    <n v="7"/>
    <n v="0"/>
    <n v="0"/>
    <x v="3"/>
    <n v="21"/>
    <s v="Kariyer.net"/>
    <m/>
    <n v="3"/>
    <s v="20-29"/>
    <s v="3-5 YIL"/>
    <x v="9"/>
  </r>
  <r>
    <s v="PER0426"/>
    <s v="Selin Yıldız"/>
    <x v="0"/>
    <d v="2003-07-23T00:00:00"/>
    <n v="23"/>
    <s v="Bekar"/>
    <n v="0"/>
    <s v="Lisans"/>
    <x v="1"/>
    <s v="Satış Temsilcisi"/>
    <s v="Junior"/>
    <x v="1"/>
    <s v="Satış &amp; Pazarlama Müdürü"/>
    <x v="0"/>
    <d v="2023-07-04T00:00:00"/>
    <s v="-"/>
    <x v="2"/>
    <s v="-"/>
    <x v="1"/>
    <n v="36300"/>
    <n v="4100"/>
    <n v="1"/>
    <n v="30"/>
    <s v="-"/>
    <n v="0"/>
    <n v="1"/>
    <n v="0"/>
    <n v="0"/>
    <x v="0"/>
    <n v="19"/>
    <s v="LinkedIn"/>
    <m/>
    <n v="2"/>
    <s v="20-29"/>
    <s v="1-3 YIL"/>
    <x v="9"/>
  </r>
  <r>
    <s v="PER0427"/>
    <s v="Hasan Özdemir"/>
    <x v="1"/>
    <d v="1997-08-23T00:00:00"/>
    <n v="29"/>
    <s v="Bekar"/>
    <n v="0"/>
    <s v="Önlisans"/>
    <x v="0"/>
    <s v="Operatör"/>
    <s v="Junior"/>
    <x v="0"/>
    <s v="Üretim &amp; Operasyon Müdürü"/>
    <x v="0"/>
    <d v="2023-05-14T00:00:00"/>
    <s v="-"/>
    <x v="2"/>
    <s v="-"/>
    <x v="1"/>
    <n v="24300"/>
    <n v="0"/>
    <n v="39"/>
    <n v="30"/>
    <s v="-"/>
    <n v="0"/>
    <n v="7"/>
    <n v="0"/>
    <n v="0"/>
    <x v="3"/>
    <n v="22"/>
    <s v="Kariyer.net"/>
    <m/>
    <n v="3"/>
    <s v="20-29"/>
    <s v="3-5 YIL"/>
    <x v="9"/>
  </r>
  <r>
    <s v="PER0428"/>
    <s v="Defne Kılıç"/>
    <x v="0"/>
    <d v="2000-11-26T00:00:00"/>
    <n v="26"/>
    <s v="Bekar"/>
    <n v="0"/>
    <s v="Lisans"/>
    <x v="0"/>
    <s v="Operatör"/>
    <s v="Junior"/>
    <x v="0"/>
    <s v="Üretim &amp; Operasyon Müdürü"/>
    <x v="3"/>
    <d v="2024-04-03T00:00:00"/>
    <s v="-"/>
    <x v="2"/>
    <s v="-"/>
    <x v="1"/>
    <n v="27700"/>
    <n v="0"/>
    <n v="40"/>
    <n v="30"/>
    <s v="-"/>
    <n v="0"/>
    <n v="12"/>
    <n v="0"/>
    <n v="0"/>
    <x v="0"/>
    <n v="16"/>
    <s v="Referans"/>
    <m/>
    <n v="2"/>
    <s v="20-29"/>
    <s v="1-3 YIL"/>
    <x v="2"/>
  </r>
  <r>
    <s v="PER0429"/>
    <s v="Burak Yıldız"/>
    <x v="1"/>
    <d v="1987-04-09T00:00:00"/>
    <n v="39"/>
    <s v="Bekar"/>
    <n v="0"/>
    <s v="Lisans"/>
    <x v="0"/>
    <s v="Takım Lideri"/>
    <s v="Senior"/>
    <x v="0"/>
    <s v="Üretim &amp; Operasyon Müdürü"/>
    <x v="0"/>
    <d v="2016-11-22T00:00:00"/>
    <s v="-"/>
    <x v="2"/>
    <s v="-"/>
    <x v="1"/>
    <n v="42600"/>
    <n v="0"/>
    <n v="32"/>
    <n v="30"/>
    <s v="-"/>
    <n v="0"/>
    <n v="1"/>
    <n v="0"/>
    <n v="0"/>
    <x v="3"/>
    <n v="31"/>
    <s v="Kariyer.net"/>
    <m/>
    <n v="9"/>
    <s v="30-39"/>
    <s v="5-10 YIL"/>
    <x v="13"/>
  </r>
  <r>
    <s v="PER0430"/>
    <s v="Hasan Çetin"/>
    <x v="1"/>
    <d v="1997-06-10T00:00:00"/>
    <n v="29"/>
    <s v="Bekar"/>
    <n v="0"/>
    <s v="Önlisans"/>
    <x v="0"/>
    <s v="Operatör"/>
    <s v="Junior"/>
    <x v="0"/>
    <s v="Üretim &amp; Operasyon Müdürü"/>
    <x v="0"/>
    <d v="2025-01-24T00:00:00"/>
    <s v="-"/>
    <x v="2"/>
    <s v="-"/>
    <x v="1"/>
    <n v="26200"/>
    <n v="0"/>
    <n v="34"/>
    <n v="25"/>
    <s v="01-Istirahat"/>
    <n v="5"/>
    <n v="12"/>
    <n v="0"/>
    <n v="0"/>
    <x v="1"/>
    <n v="6"/>
    <s v="Kariyer.net"/>
    <m/>
    <n v="1"/>
    <s v="20-29"/>
    <s v="1-3 YIL"/>
    <x v="0"/>
  </r>
  <r>
    <s v="PER0431"/>
    <s v="Serkan Yılmaz"/>
    <x v="1"/>
    <d v="1992-06-06T00:00:00"/>
    <n v="34"/>
    <s v="Evli"/>
    <n v="1"/>
    <s v="Yüksek Lisans"/>
    <x v="3"/>
    <s v="Kıdemli Yazılım Uzmanı"/>
    <s v="Senior"/>
    <x v="1"/>
    <s v="Bilgi Teknolojileri Müdürü"/>
    <x v="0"/>
    <d v="2021-07-30T00:00:00"/>
    <s v="-"/>
    <x v="2"/>
    <s v="-"/>
    <x v="1"/>
    <n v="72600"/>
    <n v="0"/>
    <n v="1"/>
    <n v="28"/>
    <s v="01-Istirahat"/>
    <n v="1"/>
    <n v="8"/>
    <n v="1"/>
    <n v="0"/>
    <x v="3"/>
    <n v="33"/>
    <s v="Referans"/>
    <m/>
    <n v="4"/>
    <s v="30-39"/>
    <s v="3-5 YIL"/>
    <x v="14"/>
  </r>
  <r>
    <s v="PER0432"/>
    <s v="Defne Yıldız"/>
    <x v="0"/>
    <d v="1998-02-07T00:00:00"/>
    <n v="28"/>
    <s v="Bekar"/>
    <n v="0"/>
    <s v="Doktora"/>
    <x v="0"/>
    <s v="Operatör"/>
    <s v="Junior"/>
    <x v="0"/>
    <s v="Üretim &amp; Operasyon Müdürü"/>
    <x v="2"/>
    <d v="2022-12-18T00:00:00"/>
    <s v="-"/>
    <x v="2"/>
    <s v="-"/>
    <x v="1"/>
    <n v="25400"/>
    <n v="0"/>
    <n v="31"/>
    <n v="28"/>
    <s v="01-Istirahat"/>
    <n v="2"/>
    <n v="6"/>
    <n v="0"/>
    <n v="0"/>
    <x v="4"/>
    <n v="10"/>
    <s v="Kariyer.net"/>
    <m/>
    <n v="3"/>
    <s v="20-29"/>
    <s v="3-5 YIL"/>
    <x v="7"/>
  </r>
  <r>
    <s v="PER0433"/>
    <s v="Furkan Aslan"/>
    <x v="1"/>
    <d v="2001-01-22T00:00:00"/>
    <n v="25"/>
    <s v="Bekar"/>
    <n v="0"/>
    <s v="Lisans"/>
    <x v="0"/>
    <s v="Operatör"/>
    <s v="Junior"/>
    <x v="0"/>
    <s v="Üretim &amp; Operasyon Müdürü"/>
    <x v="0"/>
    <d v="2025-06-17T00:00:00"/>
    <s v="-"/>
    <x v="2"/>
    <s v="-"/>
    <x v="1"/>
    <n v="25400"/>
    <n v="0"/>
    <n v="31"/>
    <n v="29"/>
    <s v="01-Istirahat"/>
    <n v="1"/>
    <n v="0"/>
    <n v="0"/>
    <n v="0"/>
    <x v="3"/>
    <n v="35"/>
    <s v="Kariyer.net"/>
    <m/>
    <n v="1"/>
    <s v="20-29"/>
    <s v="1-3 YIL"/>
    <x v="0"/>
  </r>
  <r>
    <s v="PER0434"/>
    <s v="Gökhan Kılıç"/>
    <x v="1"/>
    <d v="2000-04-23T00:00:00"/>
    <n v="26"/>
    <s v="Bekar"/>
    <n v="0"/>
    <s v="Yüksek Lisans"/>
    <x v="0"/>
    <s v="Operatör"/>
    <s v="Junior"/>
    <x v="0"/>
    <s v="Üretim &amp; Operasyon Müdürü"/>
    <x v="2"/>
    <d v="2023-09-03T00:00:00"/>
    <s v="-"/>
    <x v="2"/>
    <s v="-"/>
    <x v="1"/>
    <n v="28500"/>
    <n v="0"/>
    <n v="26"/>
    <n v="30"/>
    <s v="-"/>
    <n v="0"/>
    <n v="4"/>
    <n v="0"/>
    <n v="0"/>
    <x v="1"/>
    <n v="18"/>
    <s v="Kariyer.net"/>
    <m/>
    <n v="2"/>
    <s v="20-29"/>
    <s v="1-3 YIL"/>
    <x v="9"/>
  </r>
  <r>
    <s v="PER0435"/>
    <s v="Ahmet Yılmaz"/>
    <x v="1"/>
    <d v="1980-01-13T00:00:00"/>
    <n v="46"/>
    <s v="Evli"/>
    <n v="0"/>
    <s v="Önlisans"/>
    <x v="2"/>
    <s v="Mali İşler Uzmanı"/>
    <s v="Senior"/>
    <x v="1"/>
    <s v="Finans &amp; Muhasebe Müdürü"/>
    <x v="4"/>
    <d v="2022-11-27T00:00:00"/>
    <s v="-"/>
    <x v="2"/>
    <s v="-"/>
    <x v="1"/>
    <n v="62000"/>
    <n v="0"/>
    <n v="2"/>
    <n v="28"/>
    <s v="01-Istirahat"/>
    <n v="2"/>
    <n v="3"/>
    <n v="0"/>
    <n v="0"/>
    <x v="4"/>
    <n v="3"/>
    <s v="Kariyer.net"/>
    <m/>
    <n v="3"/>
    <s v="40-49"/>
    <s v="3-5 YIL"/>
    <x v="7"/>
  </r>
  <r>
    <s v="PER0436"/>
    <s v="Fatma Aslan"/>
    <x v="0"/>
    <d v="1981-01-22T00:00:00"/>
    <n v="45"/>
    <s v="Evli"/>
    <n v="0"/>
    <s v="Lisans"/>
    <x v="3"/>
    <s v="Kıdemli Yazılım Uzmanı"/>
    <s v="Senior"/>
    <x v="1"/>
    <s v="Bilgi Teknolojileri Müdürü"/>
    <x v="2"/>
    <d v="2018-05-22T00:00:00"/>
    <d v="2024-10-18T00:00:00"/>
    <x v="1"/>
    <n v="4"/>
    <x v="0"/>
    <n v="77600"/>
    <n v="0"/>
    <n v="5"/>
    <n v="30"/>
    <s v="-"/>
    <n v="0"/>
    <n v="3"/>
    <n v="0"/>
    <n v="0"/>
    <x v="2"/>
    <n v="19"/>
    <s v="Referans"/>
    <m/>
    <n v="8"/>
    <s v="40-49"/>
    <s v="5-10 YIL"/>
    <x v="1"/>
  </r>
  <r>
    <s v="PER0437"/>
    <s v="Mehmet Yıldız"/>
    <x v="1"/>
    <d v="1998-07-15T00:00:00"/>
    <n v="28"/>
    <s v="Evli"/>
    <n v="1"/>
    <s v="Yüksek Lisans"/>
    <x v="0"/>
    <s v="Operatör"/>
    <s v="Junior"/>
    <x v="0"/>
    <s v="Üretim &amp; Operasyon Müdürü"/>
    <x v="3"/>
    <d v="2024-04-09T00:00:00"/>
    <s v="-"/>
    <x v="2"/>
    <s v="-"/>
    <x v="1"/>
    <n v="27500"/>
    <n v="0"/>
    <n v="25"/>
    <n v="30"/>
    <s v="-"/>
    <n v="0"/>
    <n v="1"/>
    <n v="0"/>
    <n v="0"/>
    <x v="3"/>
    <n v="38"/>
    <s v="LinkedIn"/>
    <m/>
    <n v="2"/>
    <s v="20-29"/>
    <s v="1-3 YIL"/>
    <x v="2"/>
  </r>
  <r>
    <s v="PER0438"/>
    <s v="Serkan Aslan"/>
    <x v="1"/>
    <d v="1998-07-06T00:00:00"/>
    <n v="28"/>
    <s v="Evli"/>
    <n v="1"/>
    <s v="Lisans"/>
    <x v="1"/>
    <s v="Kıdemli Satış Uzmanı"/>
    <s v="Senior"/>
    <x v="1"/>
    <s v="Satış &amp; Pazarlama Müdürü"/>
    <x v="4"/>
    <d v="2015-02-26T00:00:00"/>
    <s v="-"/>
    <x v="2"/>
    <s v="-"/>
    <x v="1"/>
    <n v="60500"/>
    <n v="12700"/>
    <n v="0"/>
    <n v="29"/>
    <s v="02-Ucretsiz Izin"/>
    <n v="0"/>
    <n v="2"/>
    <n v="1"/>
    <n v="0"/>
    <x v="1"/>
    <n v="19"/>
    <s v="LinkedIn"/>
    <m/>
    <n v="11"/>
    <s v="20-29"/>
    <s v="10+"/>
    <x v="8"/>
  </r>
  <r>
    <s v="PER0439"/>
    <s v="Ömer Kara"/>
    <x v="1"/>
    <d v="1993-07-10T00:00:00"/>
    <n v="33"/>
    <s v="Evli"/>
    <n v="1"/>
    <s v="Yüksek Lisans"/>
    <x v="0"/>
    <s v="Takım Lideri"/>
    <s v="Senior"/>
    <x v="0"/>
    <s v="Üretim &amp; Operasyon Müdürü"/>
    <x v="4"/>
    <d v="2021-01-01T00:00:00"/>
    <s v="-"/>
    <x v="2"/>
    <s v="-"/>
    <x v="1"/>
    <n v="40300"/>
    <n v="0"/>
    <n v="26"/>
    <n v="29"/>
    <s v="01-Istirahat"/>
    <n v="1"/>
    <n v="8"/>
    <n v="0"/>
    <n v="0"/>
    <x v="3"/>
    <n v="23"/>
    <s v="Kariyer.net"/>
    <m/>
    <n v="5"/>
    <s v="30-39"/>
    <s v="5-10 YIL"/>
    <x v="14"/>
  </r>
  <r>
    <s v="PER0440"/>
    <s v="Ahmet Doğan"/>
    <x v="1"/>
    <d v="1975-01-06T00:00:00"/>
    <n v="51"/>
    <s v="Evli"/>
    <n v="1"/>
    <s v="Doktora"/>
    <x v="4"/>
    <s v="İK Müdürü"/>
    <s v="Manager"/>
    <x v="1"/>
    <s v="Genel Müdür"/>
    <x v="1"/>
    <d v="2014-11-09T00:00:00"/>
    <s v="-"/>
    <x v="2"/>
    <s v="-"/>
    <x v="1"/>
    <n v="106700"/>
    <n v="12700"/>
    <n v="0"/>
    <n v="30"/>
    <s v="-"/>
    <n v="0"/>
    <n v="6"/>
    <n v="0"/>
    <n v="0"/>
    <x v="1"/>
    <n v="11"/>
    <s v="Referans"/>
    <m/>
    <n v="11"/>
    <s v="50+"/>
    <s v="10+"/>
    <x v="6"/>
  </r>
  <r>
    <s v="PER0441"/>
    <s v="Oğuzhan Öztürk"/>
    <x v="1"/>
    <d v="1974-08-06T00:00:00"/>
    <n v="52"/>
    <s v="Evli"/>
    <n v="1"/>
    <s v="Lisans"/>
    <x v="0"/>
    <s v="Üretim Müdürü"/>
    <s v="Manager"/>
    <x v="1"/>
    <s v="Genel Müdür"/>
    <x v="0"/>
    <d v="2017-02-26T00:00:00"/>
    <s v="-"/>
    <x v="2"/>
    <s v="-"/>
    <x v="1"/>
    <n v="91400"/>
    <n v="0"/>
    <n v="1"/>
    <n v="30"/>
    <s v="-"/>
    <n v="0"/>
    <n v="11"/>
    <n v="0"/>
    <n v="0"/>
    <x v="1"/>
    <n v="2"/>
    <s v="Kariyer.net"/>
    <m/>
    <n v="9"/>
    <s v="50+"/>
    <s v="5-10 YIL"/>
    <x v="4"/>
  </r>
  <r>
    <s v="PER0442"/>
    <s v="Selin Arslan"/>
    <x v="0"/>
    <d v="1978-01-03T00:00:00"/>
    <n v="48"/>
    <s v="Evli"/>
    <n v="1"/>
    <s v="Lisans"/>
    <x v="3"/>
    <s v="BT Müdürü"/>
    <s v="Manager"/>
    <x v="1"/>
    <s v="Genel Müdür"/>
    <x v="2"/>
    <d v="2014-02-28T00:00:00"/>
    <s v="-"/>
    <x v="2"/>
    <s v="-"/>
    <x v="1"/>
    <n v="126800"/>
    <n v="0"/>
    <n v="3"/>
    <n v="30"/>
    <s v="-"/>
    <n v="0"/>
    <n v="11"/>
    <n v="0"/>
    <n v="0"/>
    <x v="3"/>
    <n v="28"/>
    <s v="LinkedIn"/>
    <m/>
    <n v="12"/>
    <s v="40-49"/>
    <s v="10+"/>
    <x v="6"/>
  </r>
  <r>
    <s v="PER0443"/>
    <s v="Gamze Kara"/>
    <x v="0"/>
    <d v="1999-01-24T00:00:00"/>
    <n v="27"/>
    <s v="Bekar"/>
    <n v="0"/>
    <s v="Lisans"/>
    <x v="0"/>
    <s v="Operatör"/>
    <s v="Junior"/>
    <x v="0"/>
    <s v="Üretim &amp; Operasyon Müdürü"/>
    <x v="0"/>
    <d v="2025-04-28T00:00:00"/>
    <s v="-"/>
    <x v="2"/>
    <s v="-"/>
    <x v="1"/>
    <n v="28700"/>
    <n v="0"/>
    <n v="22"/>
    <n v="29"/>
    <s v="02-Ucretsiz Izin"/>
    <n v="0"/>
    <n v="8"/>
    <n v="1"/>
    <n v="0"/>
    <x v="1"/>
    <n v="11"/>
    <s v="Referans"/>
    <m/>
    <n v="1"/>
    <s v="20-29"/>
    <s v="1-3 YIL"/>
    <x v="0"/>
  </r>
  <r>
    <s v="PER0444"/>
    <s v="Serkan Aydın"/>
    <x v="1"/>
    <d v="1992-08-16T00:00:00"/>
    <n v="34"/>
    <s v="Bekar"/>
    <n v="0"/>
    <s v="Yüksek Lisans"/>
    <x v="0"/>
    <s v="Takım Lideri"/>
    <s v="Senior"/>
    <x v="0"/>
    <s v="Üretim &amp; Operasyon Müdürü"/>
    <x v="2"/>
    <d v="2019-11-08T00:00:00"/>
    <d v="2020-12-11T00:00:00"/>
    <x v="4"/>
    <n v="3"/>
    <x v="0"/>
    <n v="45400"/>
    <n v="0"/>
    <n v="44"/>
    <n v="30"/>
    <s v="-"/>
    <n v="0"/>
    <n v="8"/>
    <n v="0"/>
    <n v="0"/>
    <x v="0"/>
    <n v="12"/>
    <s v="LinkedIn"/>
    <m/>
    <n v="6"/>
    <s v="30-39"/>
    <s v="5-10 YIL"/>
    <x v="11"/>
  </r>
  <r>
    <s v="PER0445"/>
    <s v="Ali Yıldız"/>
    <x v="1"/>
    <d v="1997-06-11T00:00:00"/>
    <n v="29"/>
    <s v="Bekar"/>
    <n v="0"/>
    <s v="Önlisans"/>
    <x v="0"/>
    <s v="Operatör"/>
    <s v="Junior"/>
    <x v="0"/>
    <s v="Üretim &amp; Operasyon Müdürü"/>
    <x v="0"/>
    <d v="2023-01-06T00:00:00"/>
    <s v="-"/>
    <x v="2"/>
    <s v="-"/>
    <x v="1"/>
    <n v="26400"/>
    <n v="0"/>
    <n v="21"/>
    <n v="30"/>
    <s v="-"/>
    <n v="0"/>
    <n v="2"/>
    <n v="0"/>
    <n v="0"/>
    <x v="3"/>
    <n v="27"/>
    <s v="LinkedIn"/>
    <m/>
    <n v="3"/>
    <s v="20-29"/>
    <s v="3-5 YIL"/>
    <x v="9"/>
  </r>
  <r>
    <s v="PER0446"/>
    <s v="Ömer Yıldız"/>
    <x v="1"/>
    <d v="1999-06-21T00:00:00"/>
    <n v="27"/>
    <s v="Bekar"/>
    <n v="0"/>
    <s v="Lisans"/>
    <x v="0"/>
    <s v="Operatör"/>
    <s v="Junior"/>
    <x v="0"/>
    <s v="Üretim &amp; Operasyon Müdürü"/>
    <x v="0"/>
    <d v="2024-01-07T00:00:00"/>
    <s v="-"/>
    <x v="2"/>
    <s v="-"/>
    <x v="1"/>
    <n v="24700"/>
    <n v="0"/>
    <n v="30"/>
    <n v="30"/>
    <s v="-"/>
    <n v="0"/>
    <n v="11"/>
    <n v="0"/>
    <n v="0"/>
    <x v="1"/>
    <n v="16"/>
    <s v="Referans"/>
    <m/>
    <n v="2"/>
    <s v="20-29"/>
    <s v="1-3 YIL"/>
    <x v="2"/>
  </r>
  <r>
    <s v="PER0447"/>
    <s v="Burak Demir"/>
    <x v="1"/>
    <d v="1989-01-19T00:00:00"/>
    <n v="37"/>
    <s v="Bekar"/>
    <n v="0"/>
    <s v="Lisans"/>
    <x v="1"/>
    <s v="Kıdemli Satış Uzmanı"/>
    <s v="Senior"/>
    <x v="1"/>
    <s v="Satış &amp; Pazarlama Müdürü"/>
    <x v="0"/>
    <d v="2016-05-21T00:00:00"/>
    <s v="-"/>
    <x v="2"/>
    <s v="-"/>
    <x v="1"/>
    <n v="62800"/>
    <n v="11300"/>
    <n v="4"/>
    <n v="29"/>
    <s v="01-Istirahat"/>
    <n v="1"/>
    <n v="13"/>
    <n v="0"/>
    <n v="0"/>
    <x v="1"/>
    <n v="10"/>
    <s v="Danışmanlık Firması"/>
    <m/>
    <n v="10"/>
    <s v="30-39"/>
    <s v="5-10 YIL"/>
    <x v="13"/>
  </r>
  <r>
    <s v="PER0448"/>
    <s v="Ahmet Kara"/>
    <x v="1"/>
    <d v="1976-09-04T00:00:00"/>
    <n v="50"/>
    <s v="Bekar"/>
    <n v="0"/>
    <s v="Yüksek Lisans"/>
    <x v="4"/>
    <s v="İK Müdürü"/>
    <s v="Manager"/>
    <x v="1"/>
    <s v="Genel Müdür"/>
    <x v="0"/>
    <d v="2012-05-28T00:00:00"/>
    <s v="-"/>
    <x v="2"/>
    <s v="-"/>
    <x v="1"/>
    <n v="103100"/>
    <n v="0"/>
    <n v="1"/>
    <n v="30"/>
    <s v="-"/>
    <n v="0"/>
    <n v="5"/>
    <n v="0"/>
    <n v="0"/>
    <x v="3"/>
    <n v="17"/>
    <s v="Referans"/>
    <m/>
    <n v="14"/>
    <s v="50+"/>
    <s v="10+"/>
    <x v="12"/>
  </r>
  <r>
    <s v="PER0449"/>
    <s v="Mustafa Yılmaz"/>
    <x v="1"/>
    <d v="2003-12-22T00:00:00"/>
    <n v="23"/>
    <s v="Evli"/>
    <n v="1"/>
    <s v="Yüksek Lisans"/>
    <x v="1"/>
    <s v="Satış Temsilcisi"/>
    <s v="Junior"/>
    <x v="1"/>
    <s v="Satış &amp; Pazarlama Müdürü"/>
    <x v="0"/>
    <d v="2025-05-15T00:00:00"/>
    <s v="-"/>
    <x v="2"/>
    <s v="-"/>
    <x v="1"/>
    <n v="32100"/>
    <n v="6000"/>
    <n v="0"/>
    <n v="30"/>
    <s v="-"/>
    <n v="0"/>
    <n v="4"/>
    <n v="0"/>
    <n v="0"/>
    <x v="1"/>
    <n v="18"/>
    <s v="Şirket Web Sitesi"/>
    <m/>
    <n v="1"/>
    <s v="20-29"/>
    <s v="1-3 YIL"/>
    <x v="0"/>
  </r>
  <r>
    <s v="PER0450"/>
    <s v="Aslan Kaya"/>
    <x v="0"/>
    <d v="1997-03-07T00:00:00"/>
    <n v="29"/>
    <s v="Bekar"/>
    <n v="0"/>
    <s v="Lisans"/>
    <x v="0"/>
    <s v="Operatör"/>
    <s v="Junior"/>
    <x v="0"/>
    <s v="Üretim &amp; Operasyon Müdürü"/>
    <x v="1"/>
    <d v="2024-07-30T00:00:00"/>
    <s v="-"/>
    <x v="2"/>
    <s v="-"/>
    <x v="1"/>
    <n v="27800"/>
    <n v="0"/>
    <n v="42"/>
    <n v="30"/>
    <s v="-"/>
    <n v="0"/>
    <n v="8"/>
    <n v="0"/>
    <n v="0"/>
    <x v="1"/>
    <n v="7"/>
    <s v="LinkedIn"/>
    <m/>
    <n v="1"/>
    <s v="20-29"/>
    <s v="1-3 YIL"/>
    <x v="2"/>
  </r>
  <r>
    <s v="PER0451"/>
    <s v="Mustafa Aydın"/>
    <x v="1"/>
    <d v="1998-05-22T00:00:00"/>
    <n v="28"/>
    <s v="Evli"/>
    <n v="2"/>
    <s v="Lisans"/>
    <x v="2"/>
    <s v="Mali İşler Uzmanı"/>
    <s v="Senior"/>
    <x v="1"/>
    <s v="Finans &amp; Muhasebe Müdürü"/>
    <x v="0"/>
    <d v="2015-01-09T00:00:00"/>
    <s v="-"/>
    <x v="2"/>
    <s v="-"/>
    <x v="1"/>
    <n v="61600"/>
    <n v="4500"/>
    <n v="9"/>
    <n v="30"/>
    <s v="-"/>
    <n v="0"/>
    <n v="11"/>
    <n v="0"/>
    <n v="0"/>
    <x v="1"/>
    <n v="9"/>
    <s v="Kariyer.net"/>
    <m/>
    <n v="11"/>
    <s v="20-29"/>
    <s v="10+"/>
    <x v="8"/>
  </r>
  <r>
    <s v="PER0452"/>
    <s v="Fatma Demir"/>
    <x v="0"/>
    <d v="1989-08-10T00:00:00"/>
    <n v="37"/>
    <s v="Evli"/>
    <n v="2"/>
    <s v="Önlisans"/>
    <x v="1"/>
    <s v="Kıdemli Satış Uzmanı"/>
    <s v="Senior"/>
    <x v="1"/>
    <s v="Satış &amp; Pazarlama Müdürü"/>
    <x v="0"/>
    <d v="2017-02-17T00:00:00"/>
    <s v="-"/>
    <x v="2"/>
    <s v="-"/>
    <x v="1"/>
    <n v="53100"/>
    <n v="8600"/>
    <n v="5"/>
    <n v="27"/>
    <s v="01-Istirahat"/>
    <n v="3"/>
    <n v="14"/>
    <n v="0"/>
    <n v="0"/>
    <x v="0"/>
    <n v="10"/>
    <s v="Kariyer.net"/>
    <m/>
    <n v="9"/>
    <s v="30-39"/>
    <s v="5-10 YIL"/>
    <x v="4"/>
  </r>
  <r>
    <s v="PER0453"/>
    <s v="Gamze Öztürk"/>
    <x v="0"/>
    <d v="2000-05-23T00:00:00"/>
    <n v="26"/>
    <s v="Bekar"/>
    <n v="0"/>
    <s v="Yüksek Lisans"/>
    <x v="0"/>
    <s v="Operatör"/>
    <s v="Junior"/>
    <x v="0"/>
    <s v="Üretim &amp; Operasyon Müdürü"/>
    <x v="0"/>
    <d v="2024-11-28T00:00:00"/>
    <s v="-"/>
    <x v="2"/>
    <s v="-"/>
    <x v="1"/>
    <n v="25600"/>
    <n v="0"/>
    <n v="36"/>
    <n v="30"/>
    <s v="-"/>
    <n v="0"/>
    <n v="6"/>
    <n v="0"/>
    <n v="0"/>
    <x v="1"/>
    <n v="4"/>
    <s v="Kariyer.net"/>
    <m/>
    <n v="1"/>
    <s v="20-29"/>
    <s v="1-3 YIL"/>
    <x v="2"/>
  </r>
  <r>
    <s v="PER0454"/>
    <s v="Gamze Yılmaz"/>
    <x v="0"/>
    <d v="2004-01-17T00:00:00"/>
    <n v="22"/>
    <s v="Evli"/>
    <n v="0"/>
    <s v="Lisans"/>
    <x v="0"/>
    <s v="Operatör"/>
    <s v="Junior"/>
    <x v="0"/>
    <s v="Üretim &amp; Operasyon Müdürü"/>
    <x v="0"/>
    <d v="2023-01-18T00:00:00"/>
    <s v="-"/>
    <x v="2"/>
    <s v="-"/>
    <x v="1"/>
    <n v="24100"/>
    <n v="0"/>
    <n v="12"/>
    <n v="29"/>
    <s v="01-Istirahat"/>
    <n v="1"/>
    <n v="5"/>
    <n v="0"/>
    <n v="0"/>
    <x v="3"/>
    <n v="18"/>
    <s v="Kariyer.net"/>
    <m/>
    <n v="3"/>
    <s v="20-29"/>
    <s v="3-5 YIL"/>
    <x v="9"/>
  </r>
  <r>
    <s v="PER0455"/>
    <s v="Selin Çetin"/>
    <x v="0"/>
    <d v="2001-11-25T00:00:00"/>
    <n v="25"/>
    <s v="Evli"/>
    <n v="3"/>
    <s v="Lisans"/>
    <x v="3"/>
    <s v="Yazılım Uzman Yardımcısı"/>
    <s v="Junior"/>
    <x v="1"/>
    <s v="Bilgi Teknolojileri Müdürü"/>
    <x v="2"/>
    <d v="2023-11-29T00:00:00"/>
    <s v="-"/>
    <x v="2"/>
    <s v="-"/>
    <x v="1"/>
    <n v="45400"/>
    <n v="0"/>
    <n v="5"/>
    <n v="30"/>
    <s v="-"/>
    <n v="0"/>
    <n v="5"/>
    <n v="0"/>
    <n v="0"/>
    <x v="4"/>
    <n v="15"/>
    <s v="LinkedIn"/>
    <m/>
    <n v="2"/>
    <s v="20-29"/>
    <s v="1-3 YIL"/>
    <x v="9"/>
  </r>
  <r>
    <s v="PER0456"/>
    <s v="Volkan Kara"/>
    <x v="1"/>
    <d v="1991-06-22T00:00:00"/>
    <n v="35"/>
    <s v="Bekar"/>
    <n v="0"/>
    <s v="Lisans"/>
    <x v="0"/>
    <s v="Takım Lideri"/>
    <s v="Senior"/>
    <x v="0"/>
    <s v="Üretim &amp; Operasyon Müdürü"/>
    <x v="0"/>
    <d v="2016-05-16T00:00:00"/>
    <s v="-"/>
    <x v="2"/>
    <s v="-"/>
    <x v="1"/>
    <n v="44900"/>
    <n v="0"/>
    <n v="19"/>
    <n v="28"/>
    <s v="10-Devamsizlik"/>
    <n v="0"/>
    <n v="0"/>
    <n v="0"/>
    <n v="2"/>
    <x v="4"/>
    <n v="5"/>
    <s v="Kariyer.net"/>
    <m/>
    <n v="10"/>
    <s v="30-39"/>
    <s v="5-10 YIL"/>
    <x v="13"/>
  </r>
  <r>
    <s v="PER0457"/>
    <s v="Mustafa Yılmaz"/>
    <x v="1"/>
    <d v="1999-08-16T00:00:00"/>
    <n v="27"/>
    <s v="Bekar"/>
    <n v="0"/>
    <s v="Yüksek Lisans"/>
    <x v="0"/>
    <s v="Operatör"/>
    <s v="Junior"/>
    <x v="0"/>
    <s v="Üretim &amp; Operasyon Müdürü"/>
    <x v="3"/>
    <d v="2025-10-14T00:00:00"/>
    <s v="-"/>
    <x v="2"/>
    <s v="-"/>
    <x v="1"/>
    <n v="25700"/>
    <n v="0"/>
    <n v="10"/>
    <n v="30"/>
    <s v="-"/>
    <n v="0"/>
    <n v="0"/>
    <n v="0"/>
    <n v="0"/>
    <x v="1"/>
    <n v="11"/>
    <s v="LinkedIn"/>
    <m/>
    <n v="0"/>
    <s v="20-29"/>
    <s v="0-1 YIL"/>
    <x v="0"/>
  </r>
  <r>
    <s v="PER0458"/>
    <s v="Burak Öztürk"/>
    <x v="1"/>
    <d v="1998-06-27T00:00:00"/>
    <n v="28"/>
    <s v="Evli"/>
    <n v="0"/>
    <s v="Lisans"/>
    <x v="1"/>
    <s v="Satış Temsilcisi"/>
    <s v="Junior"/>
    <x v="1"/>
    <s v="Satış &amp; Pazarlama Müdürü"/>
    <x v="0"/>
    <d v="2025-09-20T00:00:00"/>
    <s v="-"/>
    <x v="2"/>
    <s v="-"/>
    <x v="1"/>
    <n v="33100"/>
    <n v="11200"/>
    <n v="4"/>
    <n v="29"/>
    <s v="02-Ucretsiz Izin"/>
    <n v="0"/>
    <n v="0"/>
    <n v="1"/>
    <n v="0"/>
    <x v="2"/>
    <n v="28"/>
    <s v="Kariyer.net"/>
    <m/>
    <n v="0"/>
    <s v="20-29"/>
    <s v="0-1 YIL"/>
    <x v="0"/>
  </r>
  <r>
    <s v="PER0459"/>
    <s v="Emre Çetin"/>
    <x v="1"/>
    <d v="1998-01-17T00:00:00"/>
    <n v="28"/>
    <s v="Bekar"/>
    <n v="0"/>
    <s v="Lisans"/>
    <x v="0"/>
    <s v="Operatör"/>
    <s v="Junior"/>
    <x v="0"/>
    <s v="Üretim &amp; Operasyon Müdürü"/>
    <x v="0"/>
    <d v="2025-03-09T00:00:00"/>
    <s v="-"/>
    <x v="2"/>
    <s v="-"/>
    <x v="1"/>
    <n v="27400"/>
    <n v="0"/>
    <n v="26"/>
    <n v="30"/>
    <s v="-"/>
    <n v="0"/>
    <n v="12"/>
    <n v="0"/>
    <n v="0"/>
    <x v="3"/>
    <n v="38"/>
    <s v="LinkedIn"/>
    <m/>
    <n v="1"/>
    <s v="20-29"/>
    <s v="1-3 YIL"/>
    <x v="0"/>
  </r>
  <r>
    <s v="PER0460"/>
    <s v="Selin Kılıç"/>
    <x v="0"/>
    <d v="1972-03-11T00:00:00"/>
    <n v="54"/>
    <s v="Bekar"/>
    <n v="0"/>
    <s v="Lisans"/>
    <x v="1"/>
    <s v="Satış Müdürü"/>
    <s v="Manager"/>
    <x v="1"/>
    <s v="Genel Müdür"/>
    <x v="0"/>
    <d v="2008-08-16T00:00:00"/>
    <s v="-"/>
    <x v="2"/>
    <s v="-"/>
    <x v="1"/>
    <n v="113100"/>
    <n v="0"/>
    <n v="2"/>
    <n v="30"/>
    <s v="-"/>
    <n v="0"/>
    <n v="6"/>
    <n v="0"/>
    <n v="0"/>
    <x v="1"/>
    <n v="13"/>
    <s v="LinkedIn"/>
    <m/>
    <n v="17"/>
    <s v="50+"/>
    <s v="10+"/>
    <x v="15"/>
  </r>
  <r>
    <s v="PER0461"/>
    <s v="Merve Öztürk"/>
    <x v="0"/>
    <d v="2003-02-05T00:00:00"/>
    <n v="23"/>
    <s v="Evli"/>
    <n v="1"/>
    <s v="Yüksek Lisans"/>
    <x v="1"/>
    <s v="Satış Temsilcisi"/>
    <s v="Junior"/>
    <x v="1"/>
    <s v="Satış &amp; Pazarlama Müdürü"/>
    <x v="0"/>
    <d v="2025-02-28T00:00:00"/>
    <s v="-"/>
    <x v="2"/>
    <s v="-"/>
    <x v="1"/>
    <n v="32200"/>
    <n v="7300"/>
    <n v="1"/>
    <n v="28"/>
    <s v="01-Istirahat"/>
    <n v="2"/>
    <n v="14"/>
    <n v="0"/>
    <n v="0"/>
    <x v="1"/>
    <n v="13"/>
    <s v="LinkedIn"/>
    <m/>
    <n v="1"/>
    <s v="20-29"/>
    <s v="1-3 YIL"/>
    <x v="0"/>
  </r>
  <r>
    <s v="PER0462"/>
    <s v="Mustafa Aydın"/>
    <x v="1"/>
    <d v="1999-10-18T00:00:00"/>
    <n v="27"/>
    <s v="Evli"/>
    <n v="1"/>
    <s v="Yüksek Lisans"/>
    <x v="0"/>
    <s v="Operatör"/>
    <s v="Junior"/>
    <x v="0"/>
    <s v="Üretim &amp; Operasyon Müdürü"/>
    <x v="0"/>
    <d v="2024-11-04T00:00:00"/>
    <s v="-"/>
    <x v="2"/>
    <s v="-"/>
    <x v="1"/>
    <n v="24500"/>
    <n v="0"/>
    <n v="30"/>
    <n v="30"/>
    <s v="-"/>
    <n v="0"/>
    <n v="10"/>
    <n v="0"/>
    <n v="0"/>
    <x v="3"/>
    <n v="33"/>
    <s v="LinkedIn"/>
    <m/>
    <n v="1"/>
    <s v="20-29"/>
    <s v="1-3 YIL"/>
    <x v="2"/>
  </r>
  <r>
    <s v="PER0463"/>
    <s v="Mustafa Yıldız"/>
    <x v="1"/>
    <d v="1993-10-21T00:00:00"/>
    <n v="33"/>
    <s v="Bekar"/>
    <n v="0"/>
    <s v="Lisans"/>
    <x v="0"/>
    <s v="Takım Lideri"/>
    <s v="Senior"/>
    <x v="0"/>
    <s v="Üretim &amp; Operasyon Müdürü"/>
    <x v="0"/>
    <d v="2016-07-18T00:00:00"/>
    <s v="-"/>
    <x v="2"/>
    <s v="-"/>
    <x v="1"/>
    <n v="39500"/>
    <n v="0"/>
    <n v="21"/>
    <n v="30"/>
    <s v="-"/>
    <n v="0"/>
    <n v="12"/>
    <n v="0"/>
    <n v="0"/>
    <x v="1"/>
    <n v="10"/>
    <s v="Referans"/>
    <m/>
    <n v="9"/>
    <s v="30-39"/>
    <s v="5-10 YIL"/>
    <x v="13"/>
  </r>
  <r>
    <s v="PER0464"/>
    <s v="Ali Çelik"/>
    <x v="1"/>
    <d v="2004-01-05T00:00:00"/>
    <n v="22"/>
    <s v="Evli"/>
    <n v="2"/>
    <s v="Lisans"/>
    <x v="2"/>
    <s v="Muhasebe Elemanı"/>
    <s v="Junior"/>
    <x v="1"/>
    <s v="Finans &amp; Muhasebe Müdürü"/>
    <x v="0"/>
    <d v="2025-03-31T00:00:00"/>
    <s v="-"/>
    <x v="2"/>
    <s v="-"/>
    <x v="1"/>
    <n v="34400"/>
    <n v="0"/>
    <n v="2"/>
    <n v="30"/>
    <s v="-"/>
    <n v="0"/>
    <n v="2"/>
    <n v="0"/>
    <n v="0"/>
    <x v="1"/>
    <n v="15"/>
    <s v="Kariyer.net"/>
    <m/>
    <n v="1"/>
    <s v="20-29"/>
    <s v="1-3 YIL"/>
    <x v="0"/>
  </r>
  <r>
    <s v="PER0465"/>
    <s v="Aslan Aslan"/>
    <x v="0"/>
    <d v="1989-05-03T00:00:00"/>
    <n v="37"/>
    <s v="Bekar"/>
    <n v="0"/>
    <s v="Yüksek Lisans"/>
    <x v="0"/>
    <s v="Takım Lideri"/>
    <s v="Senior"/>
    <x v="0"/>
    <s v="Üretim &amp; Operasyon Müdürü"/>
    <x v="2"/>
    <d v="2020-11-08T00:00:00"/>
    <s v="-"/>
    <x v="2"/>
    <s v="-"/>
    <x v="1"/>
    <n v="44400"/>
    <n v="0"/>
    <n v="44"/>
    <n v="30"/>
    <s v="-"/>
    <n v="0"/>
    <n v="9"/>
    <n v="0"/>
    <n v="0"/>
    <x v="1"/>
    <n v="3"/>
    <s v="Kariyer.net"/>
    <m/>
    <n v="5"/>
    <s v="30-39"/>
    <s v="5-10 YIL"/>
    <x v="5"/>
  </r>
  <r>
    <s v="PER0466"/>
    <s v="Ahmet Aslan"/>
    <x v="1"/>
    <d v="2000-10-15T00:00:00"/>
    <n v="26"/>
    <s v="Evli"/>
    <n v="0"/>
    <s v="Lisans"/>
    <x v="0"/>
    <s v="Operatör"/>
    <s v="Junior"/>
    <x v="0"/>
    <s v="Üretim &amp; Operasyon Müdürü"/>
    <x v="0"/>
    <d v="2022-10-11T00:00:00"/>
    <d v="2023-08-31T00:00:00"/>
    <x v="4"/>
    <n v="3"/>
    <x v="0"/>
    <n v="27800"/>
    <n v="0"/>
    <n v="30"/>
    <n v="30"/>
    <s v="-"/>
    <n v="0"/>
    <n v="2"/>
    <n v="0"/>
    <n v="0"/>
    <x v="1"/>
    <n v="15"/>
    <s v="LinkedIn"/>
    <m/>
    <n v="3"/>
    <s v="20-29"/>
    <s v="3-5 YIL"/>
    <x v="7"/>
  </r>
  <r>
    <s v="PER0467"/>
    <s v="Zeynep Kılıç"/>
    <x v="0"/>
    <d v="1995-02-15T00:00:00"/>
    <n v="31"/>
    <s v="Evli"/>
    <n v="1"/>
    <s v="Lisans"/>
    <x v="1"/>
    <s v="Kıdemli Satış Uzmanı"/>
    <s v="Senior"/>
    <x v="1"/>
    <s v="Satış &amp; Pazarlama Müdürü"/>
    <x v="2"/>
    <d v="2016-02-14T00:00:00"/>
    <s v="-"/>
    <x v="2"/>
    <s v="-"/>
    <x v="1"/>
    <n v="57800"/>
    <n v="10500"/>
    <n v="0"/>
    <n v="30"/>
    <s v="-"/>
    <n v="0"/>
    <n v="11"/>
    <n v="0"/>
    <n v="0"/>
    <x v="1"/>
    <n v="19"/>
    <s v="Kariyer.net"/>
    <m/>
    <n v="10"/>
    <s v="30-39"/>
    <s v="5-10 YIL"/>
    <x v="13"/>
  </r>
  <r>
    <s v="PER0468"/>
    <s v="Zeynep Arslan"/>
    <x v="0"/>
    <d v="2002-04-04T00:00:00"/>
    <n v="24"/>
    <s v="Evli"/>
    <n v="0"/>
    <s v="Lisans"/>
    <x v="1"/>
    <s v="Satış Temsilcisi"/>
    <s v="Junior"/>
    <x v="1"/>
    <s v="Satış &amp; Pazarlama Müdürü"/>
    <x v="0"/>
    <d v="2022-07-30T00:00:00"/>
    <s v="-"/>
    <x v="2"/>
    <s v="-"/>
    <x v="1"/>
    <n v="35600"/>
    <n v="10500"/>
    <n v="3"/>
    <n v="29"/>
    <s v="01-Istirahat"/>
    <n v="1"/>
    <n v="13"/>
    <n v="0"/>
    <n v="0"/>
    <x v="4"/>
    <n v="15"/>
    <s v="Şirket Web Sitesi"/>
    <m/>
    <n v="3"/>
    <s v="20-29"/>
    <s v="3-5 YIL"/>
    <x v="7"/>
  </r>
  <r>
    <s v="PER0469"/>
    <s v="Ömer Aslan"/>
    <x v="1"/>
    <d v="1999-03-04T00:00:00"/>
    <n v="27"/>
    <s v="Evli"/>
    <n v="0"/>
    <s v="Lisans"/>
    <x v="0"/>
    <s v="Operatör"/>
    <s v="Junior"/>
    <x v="0"/>
    <s v="Üretim &amp; Operasyon Müdürü"/>
    <x v="0"/>
    <d v="2025-07-09T00:00:00"/>
    <s v="-"/>
    <x v="2"/>
    <s v="-"/>
    <x v="1"/>
    <n v="27600"/>
    <n v="0"/>
    <n v="38"/>
    <n v="30"/>
    <s v="-"/>
    <n v="0"/>
    <n v="0"/>
    <n v="0"/>
    <n v="0"/>
    <x v="4"/>
    <n v="9"/>
    <s v="LinkedIn"/>
    <m/>
    <n v="0"/>
    <s v="20-29"/>
    <s v="0-1 YIL"/>
    <x v="0"/>
  </r>
  <r>
    <s v="PER0470"/>
    <s v="Hilal Çelik"/>
    <x v="0"/>
    <d v="1988-09-03T00:00:00"/>
    <n v="38"/>
    <s v="Evli"/>
    <n v="2"/>
    <s v="Lisans"/>
    <x v="1"/>
    <s v="Kıdemli Satış Uzmanı"/>
    <s v="Senior"/>
    <x v="1"/>
    <s v="Satış &amp; Pazarlama Müdürü"/>
    <x v="4"/>
    <d v="2019-01-27T00:00:00"/>
    <s v="-"/>
    <x v="2"/>
    <s v="-"/>
    <x v="1"/>
    <n v="56900"/>
    <n v="12200"/>
    <n v="4"/>
    <n v="30"/>
    <s v="-"/>
    <n v="0"/>
    <n v="5"/>
    <n v="0"/>
    <n v="0"/>
    <x v="1"/>
    <n v="14"/>
    <s v="Şirket Web Sitesi"/>
    <m/>
    <n v="7"/>
    <s v="30-39"/>
    <s v="5-10 YIL"/>
    <x v="11"/>
  </r>
  <r>
    <s v="PER0471"/>
    <s v="Mehmet Çelik"/>
    <x v="1"/>
    <d v="2004-09-25T00:00:00"/>
    <n v="22"/>
    <s v="Evli"/>
    <n v="2"/>
    <s v="Lisans"/>
    <x v="0"/>
    <s v="Operatör"/>
    <s v="Junior"/>
    <x v="0"/>
    <s v="Üretim &amp; Operasyon Müdürü"/>
    <x v="1"/>
    <d v="2022-11-13T00:00:00"/>
    <s v="-"/>
    <x v="2"/>
    <s v="-"/>
    <x v="1"/>
    <n v="27400"/>
    <n v="0"/>
    <n v="24"/>
    <n v="28"/>
    <s v="01-Istirahat"/>
    <n v="2"/>
    <n v="6"/>
    <n v="0"/>
    <n v="0"/>
    <x v="3"/>
    <n v="18"/>
    <s v="LinkedIn"/>
    <m/>
    <n v="3"/>
    <s v="20-29"/>
    <s v="3-5 YIL"/>
    <x v="7"/>
  </r>
  <r>
    <s v="PER0472"/>
    <s v="Serkan Kaya"/>
    <x v="1"/>
    <d v="1971-11-04T00:00:00"/>
    <n v="55"/>
    <s v="Evli"/>
    <n v="1"/>
    <s v="Lisans"/>
    <x v="0"/>
    <s v="Üretim Müdürü"/>
    <s v="Manager"/>
    <x v="1"/>
    <s v="Genel Müdür"/>
    <x v="0"/>
    <d v="2009-11-04T00:00:00"/>
    <d v="2010-12-31T00:00:00"/>
    <x v="5"/>
    <n v="8"/>
    <x v="0"/>
    <n v="103500"/>
    <n v="0"/>
    <n v="8"/>
    <n v="30"/>
    <s v="-"/>
    <n v="0"/>
    <n v="3"/>
    <n v="0"/>
    <n v="0"/>
    <x v="1"/>
    <n v="9"/>
    <s v="Kariyer.net"/>
    <m/>
    <n v="16"/>
    <s v="50+"/>
    <s v="10+"/>
    <x v="17"/>
  </r>
  <r>
    <s v="PER0473"/>
    <s v="Ecem Çelik"/>
    <x v="0"/>
    <d v="1994-04-01T00:00:00"/>
    <n v="32"/>
    <s v="Evli"/>
    <n v="0"/>
    <s v="Lisans"/>
    <x v="0"/>
    <s v="Takım Lideri"/>
    <s v="Senior"/>
    <x v="0"/>
    <s v="Üretim &amp; Operasyon Müdürü"/>
    <x v="0"/>
    <d v="2020-07-02T00:00:00"/>
    <s v="-"/>
    <x v="2"/>
    <s v="-"/>
    <x v="1"/>
    <n v="45800"/>
    <n v="0"/>
    <n v="23"/>
    <n v="30"/>
    <s v="-"/>
    <n v="0"/>
    <n v="2"/>
    <n v="0"/>
    <n v="0"/>
    <x v="1"/>
    <n v="5"/>
    <s v="LinkedIn"/>
    <m/>
    <n v="5"/>
    <s v="30-39"/>
    <s v="5-10 YIL"/>
    <x v="5"/>
  </r>
  <r>
    <s v="PER0474"/>
    <s v="Ayşe Çetin"/>
    <x v="0"/>
    <d v="2003-10-04T00:00:00"/>
    <n v="23"/>
    <s v="Evli"/>
    <n v="0"/>
    <s v="Lisans"/>
    <x v="1"/>
    <s v="Satış Temsilcisi"/>
    <s v="Junior"/>
    <x v="1"/>
    <s v="Satış &amp; Pazarlama Müdürü"/>
    <x v="3"/>
    <d v="2023-03-15T00:00:00"/>
    <s v="-"/>
    <x v="2"/>
    <s v="-"/>
    <x v="1"/>
    <n v="35200"/>
    <n v="0"/>
    <n v="2"/>
    <n v="25"/>
    <s v="01-Istirahat"/>
    <n v="5"/>
    <n v="9"/>
    <n v="0"/>
    <n v="0"/>
    <x v="1"/>
    <n v="17"/>
    <s v="Kariyer.net"/>
    <m/>
    <n v="3"/>
    <s v="20-29"/>
    <s v="3-5 YIL"/>
    <x v="9"/>
  </r>
  <r>
    <s v="PER0475"/>
    <s v="Kübra Öztürk"/>
    <x v="0"/>
    <d v="1997-09-22T00:00:00"/>
    <n v="29"/>
    <s v="Bekar"/>
    <n v="0"/>
    <s v="Lisans"/>
    <x v="3"/>
    <s v="Yazılım Uzman Yardımcısı"/>
    <s v="Junior"/>
    <x v="1"/>
    <s v="Bilgi Teknolojileri Müdürü"/>
    <x v="3"/>
    <d v="2023-07-17T00:00:00"/>
    <s v="-"/>
    <x v="2"/>
    <s v="-"/>
    <x v="1"/>
    <n v="50500"/>
    <n v="0"/>
    <n v="4"/>
    <n v="29"/>
    <s v="01-Istirahat"/>
    <n v="1"/>
    <n v="4"/>
    <n v="0"/>
    <n v="0"/>
    <x v="3"/>
    <n v="34"/>
    <s v="Kariyer.net"/>
    <m/>
    <n v="2"/>
    <s v="20-29"/>
    <s v="1-3 YIL"/>
    <x v="9"/>
  </r>
  <r>
    <s v="PER0476"/>
    <s v="Emre Özdemir"/>
    <x v="1"/>
    <d v="1985-08-13T00:00:00"/>
    <n v="41"/>
    <s v="Bekar"/>
    <n v="0"/>
    <s v="Önlisans"/>
    <x v="4"/>
    <s v="İK Uzmanı"/>
    <s v="Senior"/>
    <x v="1"/>
    <s v="İnsan Kaynakları Müdürü"/>
    <x v="2"/>
    <d v="2022-02-02T00:00:00"/>
    <s v="-"/>
    <x v="2"/>
    <s v="-"/>
    <x v="1"/>
    <n v="58200"/>
    <n v="5900"/>
    <n v="3"/>
    <n v="25"/>
    <s v="01-Istirahat"/>
    <n v="5"/>
    <n v="4"/>
    <n v="0"/>
    <n v="0"/>
    <x v="1"/>
    <n v="9"/>
    <s v="LinkedIn"/>
    <m/>
    <n v="4"/>
    <s v="40-49"/>
    <s v="3-5 YIL"/>
    <x v="7"/>
  </r>
  <r>
    <s v="PER0477"/>
    <s v="İrem Kılıç"/>
    <x v="0"/>
    <d v="2001-11-01T00:00:00"/>
    <n v="25"/>
    <s v="Evli"/>
    <n v="2"/>
    <s v="Lisans"/>
    <x v="0"/>
    <s v="Operatör"/>
    <s v="Junior"/>
    <x v="0"/>
    <s v="Üretim &amp; Operasyon Müdürü"/>
    <x v="0"/>
    <d v="2024-06-22T00:00:00"/>
    <s v="-"/>
    <x v="2"/>
    <s v="-"/>
    <x v="1"/>
    <n v="25900"/>
    <n v="0"/>
    <n v="43"/>
    <n v="29"/>
    <s v="02-Ucretsiz Izin"/>
    <n v="0"/>
    <n v="7"/>
    <n v="1"/>
    <n v="0"/>
    <x v="1"/>
    <n v="8"/>
    <s v="LinkedIn"/>
    <m/>
    <n v="2"/>
    <s v="20-29"/>
    <s v="1-3 YIL"/>
    <x v="2"/>
  </r>
  <r>
    <s v="PER0478"/>
    <s v="Selin Kılıç"/>
    <x v="0"/>
    <d v="1990-04-09T00:00:00"/>
    <n v="36"/>
    <s v="Evli"/>
    <n v="2"/>
    <s v="Lisans"/>
    <x v="3"/>
    <s v="Kıdemli Yazılım Uzmanı"/>
    <s v="Senior"/>
    <x v="1"/>
    <s v="Bilgi Teknolojileri Müdürü"/>
    <x v="4"/>
    <d v="2014-12-09T00:00:00"/>
    <s v="-"/>
    <x v="2"/>
    <s v="-"/>
    <x v="1"/>
    <n v="77400"/>
    <n v="0"/>
    <n v="2"/>
    <n v="28"/>
    <s v="01-Istirahat"/>
    <n v="2"/>
    <n v="13"/>
    <n v="0"/>
    <n v="0"/>
    <x v="0"/>
    <n v="18"/>
    <s v="LinkedIn"/>
    <m/>
    <n v="11"/>
    <s v="30-39"/>
    <s v="10+"/>
    <x v="6"/>
  </r>
  <r>
    <s v="PER0479"/>
    <s v="Hasan Özdemir"/>
    <x v="1"/>
    <d v="1986-01-08T00:00:00"/>
    <n v="40"/>
    <s v="Evli"/>
    <n v="0"/>
    <s v="Yüksek Lisans"/>
    <x v="2"/>
    <s v="Mali İşler Uzmanı"/>
    <s v="Senior"/>
    <x v="1"/>
    <s v="Finans &amp; Muhasebe Müdürü"/>
    <x v="0"/>
    <d v="2018-06-14T00:00:00"/>
    <s v="-"/>
    <x v="2"/>
    <s v="-"/>
    <x v="1"/>
    <n v="61300"/>
    <n v="0"/>
    <n v="0"/>
    <n v="28"/>
    <s v="01-Istirahat"/>
    <n v="2"/>
    <n v="11"/>
    <n v="0"/>
    <n v="0"/>
    <x v="1"/>
    <n v="8"/>
    <s v="LinkedIn"/>
    <m/>
    <n v="8"/>
    <s v="40-49"/>
    <s v="5-10 YIL"/>
    <x v="1"/>
  </r>
  <r>
    <s v="PER0480"/>
    <s v="Kübra Öztürk"/>
    <x v="0"/>
    <d v="1972-08-20T00:00:00"/>
    <n v="54"/>
    <s v="Evli"/>
    <n v="1"/>
    <s v="Lisans"/>
    <x v="1"/>
    <s v="Satış Müdürü"/>
    <s v="Manager"/>
    <x v="1"/>
    <s v="Genel Müdür"/>
    <x v="3"/>
    <d v="2008-07-01T00:00:00"/>
    <s v="-"/>
    <x v="2"/>
    <s v="-"/>
    <x v="1"/>
    <n v="102600"/>
    <n v="33700"/>
    <n v="0"/>
    <n v="30"/>
    <s v="-"/>
    <n v="0"/>
    <n v="14"/>
    <n v="0"/>
    <n v="0"/>
    <x v="1"/>
    <n v="11"/>
    <s v="LinkedIn"/>
    <m/>
    <n v="17"/>
    <s v="50+"/>
    <s v="10+"/>
    <x v="15"/>
  </r>
  <r>
    <s v="PER0481"/>
    <s v="Gamze Arslan"/>
    <x v="0"/>
    <d v="1999-02-24T00:00:00"/>
    <n v="27"/>
    <s v="Bekar"/>
    <n v="0"/>
    <s v="Lisans"/>
    <x v="0"/>
    <s v="Operatör"/>
    <s v="Junior"/>
    <x v="0"/>
    <s v="Üretim &amp; Operasyon Müdürü"/>
    <x v="0"/>
    <d v="2025-05-04T00:00:00"/>
    <s v="-"/>
    <x v="2"/>
    <s v="-"/>
    <x v="1"/>
    <n v="27300"/>
    <n v="0"/>
    <n v="11"/>
    <n v="29"/>
    <s v="01-Istirahat"/>
    <n v="1"/>
    <n v="10"/>
    <n v="0"/>
    <n v="0"/>
    <x v="3"/>
    <n v="26"/>
    <s v="LinkedIn"/>
    <m/>
    <n v="1"/>
    <s v="20-29"/>
    <s v="1-3 YIL"/>
    <x v="0"/>
  </r>
  <r>
    <s v="PER0482"/>
    <s v="Mustafa Kaya"/>
    <x v="1"/>
    <d v="2001-07-17T00:00:00"/>
    <n v="25"/>
    <s v="Evli"/>
    <n v="2"/>
    <s v="Yüksek Lisans"/>
    <x v="0"/>
    <s v="Operatör"/>
    <s v="Junior"/>
    <x v="0"/>
    <s v="Üretim &amp; Operasyon Müdürü"/>
    <x v="2"/>
    <d v="2025-01-05T00:00:00"/>
    <s v="-"/>
    <x v="2"/>
    <s v="-"/>
    <x v="1"/>
    <n v="24800"/>
    <n v="0"/>
    <n v="44"/>
    <n v="30"/>
    <s v="-"/>
    <n v="0"/>
    <n v="12"/>
    <n v="0"/>
    <n v="0"/>
    <x v="3"/>
    <n v="25"/>
    <s v="Şirket Web Sitesi"/>
    <m/>
    <n v="1"/>
    <s v="20-29"/>
    <s v="1-3 YIL"/>
    <x v="0"/>
  </r>
  <r>
    <s v="PER0483"/>
    <s v="Can Aslan"/>
    <x v="1"/>
    <d v="1998-09-06T00:00:00"/>
    <n v="28"/>
    <s v="Evli"/>
    <n v="1"/>
    <s v="Lisans"/>
    <x v="0"/>
    <s v="Operatör"/>
    <s v="Junior"/>
    <x v="0"/>
    <s v="Üretim &amp; Operasyon Müdürü"/>
    <x v="0"/>
    <d v="2024-06-29T00:00:00"/>
    <s v="-"/>
    <x v="2"/>
    <s v="-"/>
    <x v="1"/>
    <n v="24000"/>
    <n v="0"/>
    <n v="20"/>
    <n v="29"/>
    <s v="01-Istirahat"/>
    <n v="1"/>
    <n v="13"/>
    <n v="0"/>
    <n v="0"/>
    <x v="1"/>
    <n v="12"/>
    <s v="Kariyer.net"/>
    <m/>
    <n v="2"/>
    <s v="20-29"/>
    <s v="1-3 YIL"/>
    <x v="2"/>
  </r>
  <r>
    <s v="PER0484"/>
    <s v="Can Şahin"/>
    <x v="1"/>
    <d v="1997-07-12T00:00:00"/>
    <n v="29"/>
    <s v="Bekar"/>
    <n v="0"/>
    <s v="Lisans"/>
    <x v="2"/>
    <s v="Mali İşler Uzmanı"/>
    <s v="Senior"/>
    <x v="1"/>
    <s v="Finans &amp; Muhasebe Müdürü"/>
    <x v="4"/>
    <d v="2014-10-26T00:00:00"/>
    <s v="-"/>
    <x v="2"/>
    <s v="-"/>
    <x v="1"/>
    <n v="58200"/>
    <n v="5800"/>
    <n v="1"/>
    <n v="28"/>
    <s v="01-Istirahat"/>
    <n v="2"/>
    <n v="11"/>
    <n v="0"/>
    <n v="0"/>
    <x v="1"/>
    <n v="6"/>
    <s v="LinkedIn"/>
    <m/>
    <n v="11"/>
    <s v="20-29"/>
    <s v="10+"/>
    <x v="6"/>
  </r>
  <r>
    <s v="PER0485"/>
    <s v="Ömer Yıldız"/>
    <x v="1"/>
    <d v="1985-03-07T00:00:00"/>
    <n v="41"/>
    <s v="Bekar"/>
    <n v="0"/>
    <s v="Önlisans"/>
    <x v="0"/>
    <s v="Takım Lideri"/>
    <s v="Senior"/>
    <x v="0"/>
    <s v="Üretim &amp; Operasyon Müdürü"/>
    <x v="0"/>
    <d v="2015-10-25T00:00:00"/>
    <s v="-"/>
    <x v="2"/>
    <s v="-"/>
    <x v="1"/>
    <n v="45100"/>
    <n v="0"/>
    <n v="22"/>
    <n v="30"/>
    <s v="-"/>
    <n v="0"/>
    <n v="4"/>
    <n v="0"/>
    <n v="0"/>
    <x v="4"/>
    <n v="14"/>
    <s v="LinkedIn"/>
    <m/>
    <n v="10"/>
    <s v="40-49"/>
    <s v="5-10 YIL"/>
    <x v="8"/>
  </r>
  <r>
    <s v="PER0486"/>
    <s v="Ali Yılmaz"/>
    <x v="1"/>
    <d v="1983-04-13T00:00:00"/>
    <n v="43"/>
    <s v="Evli"/>
    <n v="2"/>
    <s v="Önlisans"/>
    <x v="1"/>
    <s v="Kıdemli Satış Uzmanı"/>
    <s v="Senior"/>
    <x v="1"/>
    <s v="Satış &amp; Pazarlama Müdürü"/>
    <x v="2"/>
    <d v="2018-05-12T00:00:00"/>
    <s v="-"/>
    <x v="2"/>
    <s v="-"/>
    <x v="1"/>
    <n v="62100"/>
    <n v="20700"/>
    <n v="5"/>
    <n v="30"/>
    <s v="-"/>
    <n v="0"/>
    <n v="2"/>
    <n v="0"/>
    <n v="0"/>
    <x v="1"/>
    <n v="5"/>
    <s v="Kariyer.net"/>
    <m/>
    <n v="8"/>
    <s v="40-49"/>
    <s v="5-10 YIL"/>
    <x v="1"/>
  </r>
  <r>
    <s v="PER0487"/>
    <s v="Hüseyin Yılmaz"/>
    <x v="1"/>
    <d v="1985-01-18T00:00:00"/>
    <n v="41"/>
    <s v="Bekar"/>
    <n v="0"/>
    <s v="Önlisans"/>
    <x v="1"/>
    <s v="Kıdemli Satış Uzmanı"/>
    <s v="Senior"/>
    <x v="1"/>
    <s v="Satış &amp; Pazarlama Müdürü"/>
    <x v="0"/>
    <d v="2017-08-29T00:00:00"/>
    <s v="-"/>
    <x v="2"/>
    <s v="-"/>
    <x v="1"/>
    <n v="54700"/>
    <n v="0"/>
    <n v="3"/>
    <n v="29"/>
    <s v="02-Ucretsiz Izin"/>
    <n v="0"/>
    <n v="3"/>
    <n v="1"/>
    <n v="0"/>
    <x v="1"/>
    <n v="11"/>
    <s v="LinkedIn"/>
    <m/>
    <n v="8"/>
    <s v="40-49"/>
    <s v="5-10 YIL"/>
    <x v="4"/>
  </r>
  <r>
    <s v="PER0488"/>
    <s v="Aslan Yılmaz"/>
    <x v="0"/>
    <d v="1998-07-09T00:00:00"/>
    <n v="28"/>
    <s v="Evli"/>
    <n v="1"/>
    <s v="Lisans"/>
    <x v="0"/>
    <s v="Operatör"/>
    <s v="Junior"/>
    <x v="0"/>
    <s v="Üretim &amp; Operasyon Müdürü"/>
    <x v="0"/>
    <d v="2022-12-21T00:00:00"/>
    <s v="-"/>
    <x v="2"/>
    <s v="-"/>
    <x v="1"/>
    <n v="24600"/>
    <n v="0"/>
    <n v="26"/>
    <n v="30"/>
    <s v="-"/>
    <n v="0"/>
    <n v="14"/>
    <n v="0"/>
    <n v="0"/>
    <x v="4"/>
    <n v="8"/>
    <s v="Kariyer.net"/>
    <m/>
    <n v="3"/>
    <s v="20-29"/>
    <s v="3-5 YIL"/>
    <x v="7"/>
  </r>
  <r>
    <s v="PER0489"/>
    <s v="Serkan Şahin"/>
    <x v="1"/>
    <d v="1984-02-14T00:00:00"/>
    <n v="42"/>
    <s v="Bekar"/>
    <n v="0"/>
    <s v="Önlisans"/>
    <x v="2"/>
    <s v="Mali İşler Uzmanı"/>
    <s v="Senior"/>
    <x v="1"/>
    <s v="Finans &amp; Muhasebe Müdürü"/>
    <x v="0"/>
    <d v="2016-04-06T00:00:00"/>
    <s v="-"/>
    <x v="2"/>
    <s v="-"/>
    <x v="1"/>
    <n v="63000"/>
    <n v="0"/>
    <n v="8"/>
    <n v="30"/>
    <s v="-"/>
    <n v="0"/>
    <n v="11"/>
    <n v="0"/>
    <n v="0"/>
    <x v="0"/>
    <n v="15"/>
    <s v="Kariyer.net"/>
    <m/>
    <n v="10"/>
    <s v="40-49"/>
    <s v="5-10 YIL"/>
    <x v="13"/>
  </r>
  <r>
    <s v="PER0490"/>
    <s v="Oğuzhan Aslan"/>
    <x v="1"/>
    <d v="1979-05-18T00:00:00"/>
    <n v="47"/>
    <s v="Evli"/>
    <n v="3"/>
    <s v="Lisans"/>
    <x v="1"/>
    <s v="Kıdemli Satış Uzmanı"/>
    <s v="Senior"/>
    <x v="1"/>
    <s v="Satış &amp; Pazarlama Müdürü"/>
    <x v="2"/>
    <d v="2019-08-11T00:00:00"/>
    <s v="-"/>
    <x v="2"/>
    <s v="-"/>
    <x v="1"/>
    <n v="55300"/>
    <n v="6300"/>
    <n v="4"/>
    <n v="30"/>
    <s v="-"/>
    <n v="0"/>
    <n v="2"/>
    <n v="0"/>
    <n v="0"/>
    <x v="3"/>
    <n v="36"/>
    <s v="Kariyer.net"/>
    <m/>
    <n v="6"/>
    <s v="40-49"/>
    <s v="5-10 YIL"/>
    <x v="11"/>
  </r>
  <r>
    <s v="PER0491"/>
    <s v="Mehmet Kılıç"/>
    <x v="1"/>
    <d v="1997-09-02T00:00:00"/>
    <n v="29"/>
    <s v="Evli"/>
    <n v="1"/>
    <s v="Önlisans"/>
    <x v="0"/>
    <s v="Operatör"/>
    <s v="Junior"/>
    <x v="0"/>
    <s v="Üretim &amp; Operasyon Müdürü"/>
    <x v="2"/>
    <d v="2024-09-18T00:00:00"/>
    <s v="-"/>
    <x v="2"/>
    <s v="-"/>
    <x v="1"/>
    <n v="26300"/>
    <n v="0"/>
    <n v="15"/>
    <n v="30"/>
    <s v="-"/>
    <n v="0"/>
    <n v="14"/>
    <n v="0"/>
    <n v="0"/>
    <x v="1"/>
    <n v="9"/>
    <s v="Kariyer.net"/>
    <m/>
    <n v="1"/>
    <s v="20-29"/>
    <s v="1-3 YIL"/>
    <x v="2"/>
  </r>
  <r>
    <s v="PER0492"/>
    <s v="Emre Arslan"/>
    <x v="1"/>
    <d v="1983-02-21T00:00:00"/>
    <n v="43"/>
    <s v="Evli"/>
    <n v="1"/>
    <s v="Lisans"/>
    <x v="4"/>
    <s v="İK Müdürü"/>
    <s v="Manager"/>
    <x v="1"/>
    <s v="Genel Müdür"/>
    <x v="0"/>
    <d v="2009-03-28T00:00:00"/>
    <s v="-"/>
    <x v="2"/>
    <s v="-"/>
    <x v="1"/>
    <n v="112800"/>
    <n v="8200"/>
    <n v="4"/>
    <n v="20"/>
    <s v="01-Istirahat"/>
    <n v="10"/>
    <n v="6"/>
    <n v="0"/>
    <n v="0"/>
    <x v="1"/>
    <n v="12"/>
    <s v="LinkedIn"/>
    <m/>
    <n v="17"/>
    <s v="40-49"/>
    <s v="10+"/>
    <x v="17"/>
  </r>
  <r>
    <s v="PER0493"/>
    <s v="Gamze Şahin"/>
    <x v="0"/>
    <d v="1979-01-06T00:00:00"/>
    <n v="47"/>
    <s v="Bekar"/>
    <n v="0"/>
    <s v="Lisans"/>
    <x v="1"/>
    <s v="Kıdemli Satış Uzmanı"/>
    <s v="Senior"/>
    <x v="1"/>
    <s v="Satış &amp; Pazarlama Müdürü"/>
    <x v="2"/>
    <d v="2016-08-02T00:00:00"/>
    <s v="-"/>
    <x v="2"/>
    <s v="-"/>
    <x v="1"/>
    <n v="58500"/>
    <n v="19100"/>
    <n v="5"/>
    <n v="30"/>
    <s v="-"/>
    <n v="0"/>
    <n v="12"/>
    <n v="0"/>
    <n v="0"/>
    <x v="4"/>
    <n v="11"/>
    <s v="Kariyer.net"/>
    <m/>
    <n v="9"/>
    <s v="40-49"/>
    <s v="5-10 YIL"/>
    <x v="13"/>
  </r>
  <r>
    <s v="PER0494"/>
    <s v="Volkan Aydın"/>
    <x v="1"/>
    <d v="2001-05-08T00:00:00"/>
    <n v="25"/>
    <s v="Evli"/>
    <n v="1"/>
    <s v="Lisans"/>
    <x v="0"/>
    <s v="Operatör"/>
    <s v="Junior"/>
    <x v="0"/>
    <s v="Üretim &amp; Operasyon Müdürü"/>
    <x v="4"/>
    <d v="2025-08-22T00:00:00"/>
    <s v="-"/>
    <x v="2"/>
    <s v="-"/>
    <x v="1"/>
    <n v="28600"/>
    <n v="0"/>
    <n v="28"/>
    <n v="30"/>
    <s v="-"/>
    <n v="0"/>
    <n v="0"/>
    <n v="0"/>
    <n v="0"/>
    <x v="1"/>
    <n v="11"/>
    <s v="LinkedIn"/>
    <m/>
    <n v="0"/>
    <s v="20-29"/>
    <s v="0-1 YIL"/>
    <x v="0"/>
  </r>
  <r>
    <s v="PER0495"/>
    <s v="Mustafa Demir"/>
    <x v="1"/>
    <d v="2003-01-24T00:00:00"/>
    <n v="23"/>
    <s v="Evli"/>
    <n v="3"/>
    <s v="Lisans"/>
    <x v="2"/>
    <s v="Muhasebe Elemanı"/>
    <s v="Junior"/>
    <x v="1"/>
    <s v="Finans &amp; Muhasebe Müdürü"/>
    <x v="4"/>
    <d v="2025-09-29T00:00:00"/>
    <s v="-"/>
    <x v="2"/>
    <s v="-"/>
    <x v="1"/>
    <n v="37900"/>
    <n v="2800"/>
    <n v="6"/>
    <n v="30"/>
    <s v="-"/>
    <n v="0"/>
    <n v="0"/>
    <n v="0"/>
    <n v="0"/>
    <x v="1"/>
    <n v="2"/>
    <s v="Kariyer.net"/>
    <m/>
    <n v="0"/>
    <s v="20-29"/>
    <s v="0-1 YIL"/>
    <x v="0"/>
  </r>
  <r>
    <s v="PER0496"/>
    <s v="Mustafa Demir"/>
    <x v="1"/>
    <d v="1989-05-26T00:00:00"/>
    <n v="37"/>
    <s v="Bekar"/>
    <n v="0"/>
    <s v="Yüksek Lisans"/>
    <x v="0"/>
    <s v="Takım Lideri"/>
    <s v="Senior"/>
    <x v="0"/>
    <s v="Üretim &amp; Operasyon Müdürü"/>
    <x v="0"/>
    <d v="2021-01-19T00:00:00"/>
    <s v="-"/>
    <x v="2"/>
    <s v="-"/>
    <x v="1"/>
    <n v="38300"/>
    <n v="0"/>
    <n v="36"/>
    <n v="30"/>
    <s v="-"/>
    <n v="0"/>
    <n v="0"/>
    <n v="0"/>
    <n v="0"/>
    <x v="1"/>
    <n v="16"/>
    <s v="Kariyer.net"/>
    <m/>
    <n v="5"/>
    <s v="30-39"/>
    <s v="5-10 YIL"/>
    <x v="14"/>
  </r>
  <r>
    <s v="PER0497"/>
    <s v="Furkan Aslan"/>
    <x v="1"/>
    <d v="1988-11-13T00:00:00"/>
    <n v="38"/>
    <s v="Bekar"/>
    <n v="0"/>
    <s v="Lisans"/>
    <x v="2"/>
    <s v="Mali İşler Uzmanı"/>
    <s v="Senior"/>
    <x v="1"/>
    <s v="Finans &amp; Muhasebe Müdürü"/>
    <x v="0"/>
    <d v="2017-09-06T00:00:00"/>
    <s v="-"/>
    <x v="2"/>
    <s v="-"/>
    <x v="1"/>
    <n v="64600"/>
    <n v="0"/>
    <n v="5"/>
    <n v="30"/>
    <s v="-"/>
    <n v="0"/>
    <n v="10"/>
    <n v="0"/>
    <n v="0"/>
    <x v="3"/>
    <n v="14"/>
    <s v="Kariyer.net"/>
    <m/>
    <n v="8"/>
    <s v="30-39"/>
    <s v="5-10 YIL"/>
    <x v="4"/>
  </r>
  <r>
    <s v="PER0498"/>
    <s v="Selin Çetin"/>
    <x v="0"/>
    <d v="2004-01-21T00:00:00"/>
    <n v="22"/>
    <s v="Evli"/>
    <n v="0"/>
    <s v="Önlisans"/>
    <x v="0"/>
    <s v="Operatör"/>
    <s v="Junior"/>
    <x v="0"/>
    <s v="Üretim &amp; Operasyon Müdürü"/>
    <x v="2"/>
    <d v="2026-04-22T00:00:00"/>
    <s v="-"/>
    <x v="2"/>
    <s v="-"/>
    <x v="1"/>
    <n v="24900"/>
    <n v="0"/>
    <n v="42"/>
    <n v="30"/>
    <s v="-"/>
    <n v="0"/>
    <n v="0"/>
    <n v="0"/>
    <n v="0"/>
    <x v="2"/>
    <n v="28"/>
    <s v="Referans"/>
    <m/>
    <n v="0"/>
    <s v="20-29"/>
    <s v="0-1 YIL"/>
    <x v="3"/>
  </r>
  <r>
    <s v="PER0499"/>
    <s v="Oğuzhan Arslan"/>
    <x v="1"/>
    <d v="2000-02-19T00:00:00"/>
    <n v="26"/>
    <s v="Bekar"/>
    <n v="0"/>
    <s v="Lisans"/>
    <x v="0"/>
    <s v="Operatör"/>
    <s v="Junior"/>
    <x v="0"/>
    <s v="Üretim &amp; Operasyon Müdürü"/>
    <x v="2"/>
    <d v="2023-02-11T00:00:00"/>
    <s v="-"/>
    <x v="2"/>
    <s v="-"/>
    <x v="1"/>
    <n v="28300"/>
    <n v="0"/>
    <n v="23"/>
    <n v="30"/>
    <s v="-"/>
    <n v="0"/>
    <n v="13"/>
    <n v="0"/>
    <n v="0"/>
    <x v="1"/>
    <n v="10"/>
    <s v="LinkedIn"/>
    <m/>
    <n v="3"/>
    <s v="20-29"/>
    <s v="3-5 YIL"/>
    <x v="9"/>
  </r>
  <r>
    <s v="PER0500"/>
    <s v="Ahmet Kaya"/>
    <x v="1"/>
    <d v="2004-04-27T00:00:00"/>
    <n v="22"/>
    <s v="Bekar"/>
    <n v="0"/>
    <s v="Lisans"/>
    <x v="0"/>
    <s v="Operatör"/>
    <s v="Junior"/>
    <x v="0"/>
    <s v="Üretim &amp; Operasyon Müdürü"/>
    <x v="0"/>
    <d v="2023-12-16T00:00:00"/>
    <s v="-"/>
    <x v="2"/>
    <s v="-"/>
    <x v="1"/>
    <n v="25300"/>
    <n v="0"/>
    <n v="14"/>
    <n v="29"/>
    <s v="01-Istirahat"/>
    <n v="1"/>
    <n v="5"/>
    <n v="0"/>
    <n v="0"/>
    <x v="1"/>
    <n v="8"/>
    <s v="Referans"/>
    <m/>
    <n v="2"/>
    <s v="20-29"/>
    <s v="1-3 YIL"/>
    <x v="9"/>
  </r>
  <r>
    <s v="PER0501"/>
    <s v="Dilan Yıldız"/>
    <x v="0"/>
    <d v="1986-12-03T00:00:00"/>
    <n v="40"/>
    <s v="Evli"/>
    <n v="1"/>
    <s v="Lisans"/>
    <x v="0"/>
    <s v="Üretim Müdürü"/>
    <s v="Manager"/>
    <x v="1"/>
    <s v="Genel Müdür"/>
    <x v="4"/>
    <d v="2012-08-06T00:00:00"/>
    <s v="-"/>
    <x v="2"/>
    <s v="-"/>
    <x v="1"/>
    <n v="93600"/>
    <n v="0"/>
    <n v="3"/>
    <n v="28"/>
    <s v="01-Istirahat"/>
    <n v="2"/>
    <n v="0"/>
    <n v="0"/>
    <n v="0"/>
    <x v="3"/>
    <n v="21"/>
    <s v="LinkedIn"/>
    <m/>
    <n v="13"/>
    <s v="40-49"/>
    <s v="10+"/>
    <x v="12"/>
  </r>
  <r>
    <s v="PER0502"/>
    <s v="Can Kara"/>
    <x v="1"/>
    <d v="1983-02-21T00:00:00"/>
    <n v="43"/>
    <s v="Evli"/>
    <n v="0"/>
    <s v="Doktora"/>
    <x v="2"/>
    <s v="Finans Müdürü"/>
    <s v="Manager"/>
    <x v="1"/>
    <s v="Genel Müdür"/>
    <x v="3"/>
    <d v="2017-03-21T00:00:00"/>
    <d v="2026-04-30T00:00:00"/>
    <x v="4"/>
    <n v="3"/>
    <x v="0"/>
    <n v="115600"/>
    <n v="0"/>
    <n v="7"/>
    <n v="30"/>
    <s v="-"/>
    <n v="0"/>
    <n v="7"/>
    <n v="0"/>
    <n v="0"/>
    <x v="1"/>
    <n v="18"/>
    <s v="Danışmanlık Firması"/>
    <m/>
    <n v="9"/>
    <s v="40-49"/>
    <s v="5-10 YIL"/>
    <x v="4"/>
  </r>
  <r>
    <s v="PER0503"/>
    <s v="Fatma Kılıç"/>
    <x v="0"/>
    <d v="2001-08-04T00:00:00"/>
    <n v="25"/>
    <s v="Evli"/>
    <n v="1"/>
    <s v="Lisans"/>
    <x v="1"/>
    <s v="Satış Temsilcisi"/>
    <s v="Junior"/>
    <x v="1"/>
    <s v="Satış &amp; Pazarlama Müdürü"/>
    <x v="4"/>
    <d v="2023-04-27T00:00:00"/>
    <s v="-"/>
    <x v="2"/>
    <s v="-"/>
    <x v="1"/>
    <n v="32800"/>
    <n v="4600"/>
    <n v="5"/>
    <n v="30"/>
    <s v="-"/>
    <n v="0"/>
    <n v="3"/>
    <n v="0"/>
    <n v="0"/>
    <x v="1"/>
    <n v="10"/>
    <s v="LinkedIn"/>
    <m/>
    <n v="3"/>
    <s v="20-29"/>
    <s v="3-5 YIL"/>
    <x v="9"/>
  </r>
  <r>
    <s v="PER0504"/>
    <s v="İrem Doğan"/>
    <x v="0"/>
    <d v="1978-02-22T00:00:00"/>
    <n v="48"/>
    <s v="Bekar"/>
    <n v="0"/>
    <s v="Lisans"/>
    <x v="2"/>
    <s v="Finans Müdürü"/>
    <s v="Manager"/>
    <x v="1"/>
    <s v="Genel Müdür"/>
    <x v="0"/>
    <d v="2011-05-07T00:00:00"/>
    <s v="-"/>
    <x v="2"/>
    <s v="-"/>
    <x v="1"/>
    <n v="112100"/>
    <n v="0"/>
    <n v="5"/>
    <n v="25"/>
    <s v="01-Istirahat"/>
    <n v="5"/>
    <n v="10"/>
    <n v="0"/>
    <n v="0"/>
    <x v="1"/>
    <n v="15"/>
    <s v="Kariyer.net"/>
    <m/>
    <n v="15"/>
    <s v="40-49"/>
    <s v="10+"/>
    <x v="18"/>
  </r>
  <r>
    <s v="PER0505"/>
    <s v="Mehmet Kılıç"/>
    <x v="1"/>
    <d v="1986-06-09T00:00:00"/>
    <n v="40"/>
    <s v="Bekar"/>
    <n v="0"/>
    <s v="Yüksek Lisans"/>
    <x v="1"/>
    <s v="Kıdemli Satış Uzmanı"/>
    <s v="Senior"/>
    <x v="1"/>
    <s v="Satış &amp; Pazarlama Müdürü"/>
    <x v="3"/>
    <d v="2018-01-15T00:00:00"/>
    <s v="-"/>
    <x v="2"/>
    <s v="-"/>
    <x v="1"/>
    <n v="57300"/>
    <n v="0"/>
    <n v="5"/>
    <n v="28"/>
    <s v="01-Istirahat"/>
    <n v="1"/>
    <n v="7"/>
    <n v="1"/>
    <n v="0"/>
    <x v="1"/>
    <n v="8"/>
    <s v="LinkedIn"/>
    <m/>
    <n v="8"/>
    <s v="40-49"/>
    <s v="5-10 YIL"/>
    <x v="1"/>
  </r>
  <r>
    <s v="PER0506"/>
    <s v="Hasan Kara"/>
    <x v="1"/>
    <d v="1980-09-19T00:00:00"/>
    <n v="46"/>
    <s v="Bekar"/>
    <n v="0"/>
    <s v="Lisans"/>
    <x v="0"/>
    <s v="Takım Lideri"/>
    <s v="Senior"/>
    <x v="0"/>
    <s v="Üretim &amp; Operasyon Müdürü"/>
    <x v="0"/>
    <d v="2020-05-25T00:00:00"/>
    <s v="-"/>
    <x v="2"/>
    <s v="-"/>
    <x v="1"/>
    <n v="40000"/>
    <n v="0"/>
    <n v="39"/>
    <n v="30"/>
    <s v="-"/>
    <n v="0"/>
    <n v="7"/>
    <n v="0"/>
    <n v="0"/>
    <x v="1"/>
    <n v="19"/>
    <s v="LinkedIn"/>
    <m/>
    <n v="6"/>
    <s v="40-49"/>
    <s v="5-10 YIL"/>
    <x v="5"/>
  </r>
  <r>
    <s v="PER0507"/>
    <s v="Aslan Şahin"/>
    <x v="0"/>
    <d v="1982-03-22T00:00:00"/>
    <n v="44"/>
    <s v="Bekar"/>
    <n v="0"/>
    <s v="Lisans"/>
    <x v="1"/>
    <s v="Kıdemli Satış Uzmanı"/>
    <s v="Senior"/>
    <x v="1"/>
    <s v="Satış &amp; Pazarlama Müdürü"/>
    <x v="0"/>
    <d v="2020-04-05T00:00:00"/>
    <s v="-"/>
    <x v="2"/>
    <s v="-"/>
    <x v="1"/>
    <n v="52900"/>
    <n v="15400"/>
    <n v="5"/>
    <n v="30"/>
    <s v="-"/>
    <n v="0"/>
    <n v="7"/>
    <n v="0"/>
    <n v="0"/>
    <x v="1"/>
    <n v="18"/>
    <s v="LinkedIn"/>
    <m/>
    <n v="6"/>
    <s v="40-49"/>
    <s v="5-10 YIL"/>
    <x v="5"/>
  </r>
  <r>
    <s v="PER0508"/>
    <s v="Emre Yılmaz"/>
    <x v="1"/>
    <d v="1993-04-11T00:00:00"/>
    <n v="33"/>
    <s v="Evli"/>
    <n v="1"/>
    <s v="Lisans"/>
    <x v="1"/>
    <s v="Kıdemli Satış Uzmanı"/>
    <s v="Senior"/>
    <x v="1"/>
    <s v="Satış &amp; Pazarlama Müdürü"/>
    <x v="4"/>
    <d v="2018-03-08T00:00:00"/>
    <s v="-"/>
    <x v="2"/>
    <s v="-"/>
    <x v="1"/>
    <n v="60700"/>
    <n v="0"/>
    <n v="4"/>
    <n v="28"/>
    <s v="01-Istirahat"/>
    <n v="2"/>
    <n v="11"/>
    <n v="0"/>
    <n v="0"/>
    <x v="3"/>
    <n v="26"/>
    <s v="Kariyer.net"/>
    <m/>
    <n v="8"/>
    <s v="30-39"/>
    <s v="5-10 YIL"/>
    <x v="1"/>
  </r>
  <r>
    <s v="PER0509"/>
    <s v="Büşra Kılıç"/>
    <x v="0"/>
    <d v="1983-01-20T00:00:00"/>
    <n v="43"/>
    <s v="Evli"/>
    <n v="0"/>
    <s v="Yüksek Lisans"/>
    <x v="1"/>
    <s v="Kıdemli Satış Uzmanı"/>
    <s v="Senior"/>
    <x v="1"/>
    <s v="Satış &amp; Pazarlama Müdürü"/>
    <x v="2"/>
    <d v="2019-11-13T00:00:00"/>
    <d v="2022-01-21T00:00:00"/>
    <x v="4"/>
    <n v="3"/>
    <x v="0"/>
    <n v="59100"/>
    <n v="13200"/>
    <n v="5"/>
    <n v="30"/>
    <s v="-"/>
    <n v="0"/>
    <n v="10"/>
    <n v="0"/>
    <n v="0"/>
    <x v="1"/>
    <n v="5"/>
    <s v="Kariyer.net"/>
    <m/>
    <n v="6"/>
    <s v="40-49"/>
    <s v="5-10 YIL"/>
    <x v="11"/>
  </r>
  <r>
    <s v="PER0510"/>
    <s v="Elif Yılmaz"/>
    <x v="0"/>
    <d v="2000-09-20T00:00:00"/>
    <n v="26"/>
    <s v="Evli"/>
    <n v="3"/>
    <s v="Önlisans"/>
    <x v="3"/>
    <s v="Yazılım Uzman Yardımcısı"/>
    <s v="Junior"/>
    <x v="1"/>
    <s v="Bilgi Teknolojileri Müdürü"/>
    <x v="1"/>
    <d v="2025-11-22T00:00:00"/>
    <s v="-"/>
    <x v="2"/>
    <s v="-"/>
    <x v="1"/>
    <n v="48100"/>
    <n v="5400"/>
    <n v="5"/>
    <n v="30"/>
    <s v="-"/>
    <n v="0"/>
    <n v="0"/>
    <n v="0"/>
    <n v="0"/>
    <x v="1"/>
    <n v="12"/>
    <s v="Danışmanlık Firması"/>
    <m/>
    <n v="0"/>
    <s v="20-29"/>
    <s v="0-1 YIL"/>
    <x v="0"/>
  </r>
  <r>
    <s v="PER0511"/>
    <s v="Burak Çelik"/>
    <x v="1"/>
    <d v="1987-05-06T00:00:00"/>
    <n v="39"/>
    <s v="Evli"/>
    <n v="1"/>
    <s v="Yüksek Lisans"/>
    <x v="1"/>
    <s v="Kıdemli Satış Uzmanı"/>
    <s v="Senior"/>
    <x v="1"/>
    <s v="Satış &amp; Pazarlama Müdürü"/>
    <x v="0"/>
    <d v="2022-06-12T00:00:00"/>
    <s v="-"/>
    <x v="2"/>
    <s v="-"/>
    <x v="1"/>
    <n v="53800"/>
    <n v="15800"/>
    <n v="2"/>
    <n v="30"/>
    <s v="-"/>
    <n v="0"/>
    <n v="12"/>
    <n v="0"/>
    <n v="0"/>
    <x v="1"/>
    <n v="5"/>
    <s v="LinkedIn"/>
    <m/>
    <n v="4"/>
    <s v="30-39"/>
    <s v="3-5 YIL"/>
    <x v="7"/>
  </r>
  <r>
    <s v="PER0512"/>
    <s v="Volkan Arslan"/>
    <x v="1"/>
    <d v="1999-07-15T00:00:00"/>
    <n v="27"/>
    <s v="Evli"/>
    <n v="1"/>
    <s v="Yüksek Lisans"/>
    <x v="0"/>
    <s v="Operatör"/>
    <s v="Junior"/>
    <x v="0"/>
    <s v="Üretim &amp; Operasyon Müdürü"/>
    <x v="0"/>
    <d v="2025-03-30T00:00:00"/>
    <s v="-"/>
    <x v="2"/>
    <s v="-"/>
    <x v="1"/>
    <n v="28400"/>
    <n v="0"/>
    <n v="37"/>
    <n v="29"/>
    <s v="02-Ucretsiz Izin"/>
    <n v="0"/>
    <n v="3"/>
    <n v="1"/>
    <n v="0"/>
    <x v="3"/>
    <n v="14"/>
    <s v="Kariyer.net"/>
    <m/>
    <n v="1"/>
    <s v="20-29"/>
    <s v="1-3 YIL"/>
    <x v="0"/>
  </r>
  <r>
    <s v="PER0513"/>
    <s v="Ayşe Aydın"/>
    <x v="0"/>
    <d v="1987-08-14T00:00:00"/>
    <n v="39"/>
    <s v="Bekar"/>
    <n v="0"/>
    <s v="Yüksek Lisans"/>
    <x v="4"/>
    <s v="İK Uzmanı"/>
    <s v="Senior"/>
    <x v="1"/>
    <s v="İnsan Kaynakları Müdürü"/>
    <x v="2"/>
    <d v="2021-09-18T00:00:00"/>
    <s v="-"/>
    <x v="2"/>
    <s v="-"/>
    <x v="1"/>
    <n v="52600"/>
    <n v="6200"/>
    <n v="8"/>
    <n v="30"/>
    <s v="-"/>
    <n v="0"/>
    <n v="8"/>
    <n v="0"/>
    <n v="0"/>
    <x v="3"/>
    <n v="22"/>
    <s v="Kariyer.net"/>
    <m/>
    <n v="4"/>
    <s v="30-39"/>
    <s v="3-5 YIL"/>
    <x v="14"/>
  </r>
  <r>
    <s v="PER0514"/>
    <s v="Ömer Özdemir"/>
    <x v="1"/>
    <d v="1974-05-27T00:00:00"/>
    <n v="52"/>
    <s v="Bekar"/>
    <n v="0"/>
    <s v="Lisans"/>
    <x v="2"/>
    <s v="Finans Müdürü"/>
    <s v="Manager"/>
    <x v="1"/>
    <s v="Genel Müdür"/>
    <x v="0"/>
    <d v="2010-12-17T00:00:00"/>
    <s v="-"/>
    <x v="2"/>
    <s v="-"/>
    <x v="1"/>
    <n v="123100"/>
    <n v="0"/>
    <n v="3"/>
    <n v="30"/>
    <s v="-"/>
    <n v="0"/>
    <n v="7"/>
    <n v="0"/>
    <n v="0"/>
    <x v="1"/>
    <n v="15"/>
    <s v="Kariyer.net"/>
    <m/>
    <n v="15"/>
    <s v="50+"/>
    <s v="10+"/>
    <x v="16"/>
  </r>
  <r>
    <s v="PER0515"/>
    <s v="Merve Çetin"/>
    <x v="0"/>
    <d v="1992-11-24T00:00:00"/>
    <n v="34"/>
    <s v="Evli"/>
    <n v="1"/>
    <s v="Önlisans"/>
    <x v="0"/>
    <s v="Takım Lideri"/>
    <s v="Senior"/>
    <x v="0"/>
    <s v="Üretim &amp; Operasyon Müdürü"/>
    <x v="0"/>
    <d v="2014-06-18T00:00:00"/>
    <s v="-"/>
    <x v="2"/>
    <s v="-"/>
    <x v="1"/>
    <n v="39800"/>
    <n v="0"/>
    <n v="16"/>
    <n v="30"/>
    <s v="-"/>
    <n v="0"/>
    <n v="11"/>
    <n v="0"/>
    <n v="0"/>
    <x v="1"/>
    <n v="10"/>
    <s v="Danışmanlık Firması"/>
    <m/>
    <n v="12"/>
    <s v="30-39"/>
    <s v="10+"/>
    <x v="6"/>
  </r>
  <r>
    <s v="PER0516"/>
    <s v="Büşra Yılmaz"/>
    <x v="0"/>
    <d v="1999-10-02T00:00:00"/>
    <n v="27"/>
    <s v="Evli"/>
    <n v="0"/>
    <s v="Lisans"/>
    <x v="1"/>
    <s v="Satış Temsilcisi"/>
    <s v="Junior"/>
    <x v="1"/>
    <s v="Satış &amp; Pazarlama Müdürü"/>
    <x v="0"/>
    <d v="2022-11-20T00:00:00"/>
    <s v="-"/>
    <x v="2"/>
    <s v="-"/>
    <x v="1"/>
    <n v="35600"/>
    <n v="0"/>
    <n v="3"/>
    <n v="29"/>
    <s v="01-Istirahat"/>
    <n v="1"/>
    <n v="3"/>
    <n v="0"/>
    <n v="0"/>
    <x v="4"/>
    <n v="19"/>
    <s v="LinkedIn"/>
    <m/>
    <n v="3"/>
    <s v="20-29"/>
    <s v="3-5 YIL"/>
    <x v="7"/>
  </r>
  <r>
    <s v="PER0517"/>
    <s v="Dilan Çetin"/>
    <x v="0"/>
    <d v="1990-02-18T00:00:00"/>
    <n v="36"/>
    <s v="Evli"/>
    <n v="1"/>
    <s v="Lisans"/>
    <x v="3"/>
    <s v="Kıdemli Yazılım Uzmanı"/>
    <s v="Senior"/>
    <x v="1"/>
    <s v="Bilgi Teknolojileri Müdürü"/>
    <x v="2"/>
    <d v="2017-06-21T00:00:00"/>
    <d v="2021-12-20T00:00:00"/>
    <x v="1"/>
    <n v="4"/>
    <x v="0"/>
    <n v="85500"/>
    <n v="0"/>
    <n v="1"/>
    <n v="29"/>
    <s v="01-Istirahat"/>
    <n v="1"/>
    <n v="12"/>
    <n v="0"/>
    <n v="0"/>
    <x v="2"/>
    <n v="21"/>
    <s v="Kariyer.net"/>
    <m/>
    <n v="9"/>
    <s v="30-39"/>
    <s v="5-10 YIL"/>
    <x v="4"/>
  </r>
  <r>
    <s v="PER0518"/>
    <s v="Hilal Doğan"/>
    <x v="0"/>
    <d v="1988-09-25T00:00:00"/>
    <n v="38"/>
    <s v="Evli"/>
    <n v="0"/>
    <s v="Lisans"/>
    <x v="4"/>
    <s v="İK Uzmanı"/>
    <s v="Senior"/>
    <x v="1"/>
    <s v="İnsan Kaynakları Müdürü"/>
    <x v="0"/>
    <d v="2021-09-05T00:00:00"/>
    <s v="-"/>
    <x v="2"/>
    <s v="-"/>
    <x v="1"/>
    <n v="54500"/>
    <n v="0"/>
    <n v="3"/>
    <n v="30"/>
    <s v="-"/>
    <n v="0"/>
    <n v="7"/>
    <n v="0"/>
    <n v="0"/>
    <x v="1"/>
    <n v="7"/>
    <s v="Şirket Web Sitesi"/>
    <m/>
    <n v="4"/>
    <s v="30-39"/>
    <s v="3-5 YIL"/>
    <x v="14"/>
  </r>
  <r>
    <s v="PER0519"/>
    <s v="Furkan Şahin"/>
    <x v="1"/>
    <d v="1999-05-14T00:00:00"/>
    <n v="27"/>
    <s v="Evli"/>
    <n v="1"/>
    <s v="Lisans"/>
    <x v="1"/>
    <s v="Satış Temsilcisi"/>
    <s v="Junior"/>
    <x v="1"/>
    <s v="Satış &amp; Pazarlama Müdürü"/>
    <x v="2"/>
    <d v="2025-05-13T00:00:00"/>
    <s v="-"/>
    <x v="2"/>
    <s v="-"/>
    <x v="1"/>
    <n v="34900"/>
    <n v="3900"/>
    <n v="4"/>
    <n v="30"/>
    <s v="-"/>
    <n v="0"/>
    <n v="0"/>
    <n v="0"/>
    <n v="0"/>
    <x v="1"/>
    <n v="7"/>
    <s v="Kariyer.net"/>
    <m/>
    <n v="1"/>
    <s v="20-29"/>
    <s v="1-3 YIL"/>
    <x v="0"/>
  </r>
  <r>
    <s v="PER0520"/>
    <s v="Furkan Yıldız"/>
    <x v="1"/>
    <d v="2000-04-13T00:00:00"/>
    <n v="26"/>
    <s v="Bekar"/>
    <n v="0"/>
    <s v="Önlisans"/>
    <x v="0"/>
    <s v="Operatör"/>
    <s v="Junior"/>
    <x v="0"/>
    <s v="Üretim &amp; Operasyon Müdürü"/>
    <x v="3"/>
    <d v="2022-08-06T00:00:00"/>
    <s v="-"/>
    <x v="2"/>
    <s v="-"/>
    <x v="1"/>
    <n v="28500"/>
    <n v="0"/>
    <n v="38"/>
    <n v="27"/>
    <s v="01-Istirahat"/>
    <n v="3"/>
    <n v="8"/>
    <n v="0"/>
    <n v="0"/>
    <x v="1"/>
    <n v="10"/>
    <s v="LinkedIn"/>
    <m/>
    <n v="3"/>
    <s v="20-29"/>
    <s v="3-5 YIL"/>
    <x v="7"/>
  </r>
  <r>
    <s v="PER0521"/>
    <s v="Burak Aslan"/>
    <x v="1"/>
    <d v="2004-06-07T00:00:00"/>
    <n v="22"/>
    <s v="Bekar"/>
    <n v="0"/>
    <s v="Lisans"/>
    <x v="0"/>
    <s v="Operatör"/>
    <s v="Junior"/>
    <x v="0"/>
    <s v="Üretim &amp; Operasyon Müdürü"/>
    <x v="4"/>
    <d v="2024-07-20T00:00:00"/>
    <s v="-"/>
    <x v="2"/>
    <s v="-"/>
    <x v="1"/>
    <n v="24200"/>
    <n v="0"/>
    <n v="35"/>
    <n v="30"/>
    <s v="-"/>
    <n v="0"/>
    <n v="10"/>
    <n v="0"/>
    <n v="0"/>
    <x v="2"/>
    <n v="13"/>
    <s v="LinkedIn"/>
    <m/>
    <n v="1"/>
    <s v="20-29"/>
    <s v="1-3 YIL"/>
    <x v="2"/>
  </r>
  <r>
    <s v="PER0522"/>
    <s v="Büşra Demir"/>
    <x v="0"/>
    <d v="1988-05-08T00:00:00"/>
    <n v="38"/>
    <s v="Evli"/>
    <n v="1"/>
    <s v="Lisans"/>
    <x v="4"/>
    <s v="İK Uzmanı"/>
    <s v="Senior"/>
    <x v="1"/>
    <s v="İnsan Kaynakları Müdürü"/>
    <x v="0"/>
    <d v="2020-11-21T00:00:00"/>
    <s v="-"/>
    <x v="2"/>
    <s v="-"/>
    <x v="1"/>
    <n v="54500"/>
    <n v="3000"/>
    <n v="9"/>
    <n v="28"/>
    <s v="01-Istirahat"/>
    <n v="2"/>
    <n v="8"/>
    <n v="0"/>
    <n v="0"/>
    <x v="0"/>
    <n v="14"/>
    <s v="Referans"/>
    <m/>
    <n v="5"/>
    <s v="30-39"/>
    <s v="5-10 YIL"/>
    <x v="5"/>
  </r>
  <r>
    <s v="PER0523"/>
    <s v="Hasan Kara"/>
    <x v="1"/>
    <d v="1985-05-15T00:00:00"/>
    <n v="41"/>
    <s v="Evli"/>
    <n v="1"/>
    <s v="Lisans"/>
    <x v="2"/>
    <s v="Mali İşler Uzmanı"/>
    <s v="Senior"/>
    <x v="1"/>
    <s v="Finans &amp; Muhasebe Müdürü"/>
    <x v="0"/>
    <d v="2017-07-08T00:00:00"/>
    <s v="-"/>
    <x v="2"/>
    <s v="-"/>
    <x v="1"/>
    <n v="60600"/>
    <n v="0"/>
    <n v="5"/>
    <n v="28"/>
    <s v="01-Istirahat"/>
    <n v="2"/>
    <n v="1"/>
    <n v="0"/>
    <n v="0"/>
    <x v="1"/>
    <n v="16"/>
    <s v="LinkedIn"/>
    <m/>
    <n v="8"/>
    <s v="40-49"/>
    <s v="5-10 YIL"/>
    <x v="4"/>
  </r>
  <r>
    <s v="PER0524"/>
    <s v="Furkan Çetin"/>
    <x v="1"/>
    <d v="1995-06-02T00:00:00"/>
    <n v="31"/>
    <s v="Bekar"/>
    <n v="0"/>
    <s v="Lisans"/>
    <x v="0"/>
    <s v="Takım Lideri"/>
    <s v="Senior"/>
    <x v="0"/>
    <s v="Üretim &amp; Operasyon Müdürü"/>
    <x v="0"/>
    <d v="2020-07-24T00:00:00"/>
    <s v="-"/>
    <x v="2"/>
    <s v="-"/>
    <x v="1"/>
    <n v="38900"/>
    <n v="0"/>
    <n v="26"/>
    <n v="30"/>
    <s v="-"/>
    <n v="0"/>
    <n v="1"/>
    <n v="0"/>
    <n v="0"/>
    <x v="3"/>
    <n v="25"/>
    <s v="Referans"/>
    <m/>
    <n v="5"/>
    <s v="30-39"/>
    <s v="5-10 YIL"/>
    <x v="5"/>
  </r>
  <r>
    <s v="PER0525"/>
    <s v="Mehmet Kara"/>
    <x v="1"/>
    <d v="1999-04-13T00:00:00"/>
    <n v="27"/>
    <s v="Evli"/>
    <n v="0"/>
    <s v="Yüksek Lisans"/>
    <x v="0"/>
    <s v="Operatör"/>
    <s v="Junior"/>
    <x v="0"/>
    <s v="Üretim &amp; Operasyon Müdürü"/>
    <x v="0"/>
    <d v="2025-05-14T00:00:00"/>
    <s v="-"/>
    <x v="2"/>
    <s v="-"/>
    <x v="1"/>
    <n v="25700"/>
    <n v="0"/>
    <n v="25"/>
    <n v="30"/>
    <s v="-"/>
    <n v="0"/>
    <n v="2"/>
    <n v="0"/>
    <n v="0"/>
    <x v="1"/>
    <n v="3"/>
    <s v="Kariyer.net"/>
    <m/>
    <n v="1"/>
    <s v="20-29"/>
    <s v="1-3 YIL"/>
    <x v="0"/>
  </r>
  <r>
    <s v="PER0526"/>
    <s v="Selin Çetin"/>
    <x v="0"/>
    <d v="2003-02-19T00:00:00"/>
    <n v="23"/>
    <s v="Bekar"/>
    <n v="0"/>
    <s v="Yüksek Lisans"/>
    <x v="0"/>
    <s v="Operatör"/>
    <s v="Junior"/>
    <x v="0"/>
    <s v="Üretim &amp; Operasyon Müdürü"/>
    <x v="0"/>
    <d v="2023-03-23T00:00:00"/>
    <s v="-"/>
    <x v="2"/>
    <s v="-"/>
    <x v="1"/>
    <n v="26300"/>
    <n v="0"/>
    <n v="32"/>
    <n v="29"/>
    <s v="01-Istirahat"/>
    <n v="1"/>
    <n v="3"/>
    <n v="0"/>
    <n v="0"/>
    <x v="1"/>
    <n v="9"/>
    <s v="Şirket Web Sitesi"/>
    <m/>
    <n v="3"/>
    <s v="20-29"/>
    <s v="3-5 YIL"/>
    <x v="9"/>
  </r>
  <r>
    <s v="PER0527"/>
    <s v="Fatma Doğan"/>
    <x v="0"/>
    <d v="2003-12-18T00:00:00"/>
    <n v="23"/>
    <s v="Evli"/>
    <n v="2"/>
    <s v="Lisans"/>
    <x v="0"/>
    <s v="Operatör"/>
    <s v="Junior"/>
    <x v="0"/>
    <s v="Üretim &amp; Operasyon Müdürü"/>
    <x v="0"/>
    <d v="2024-01-11T00:00:00"/>
    <s v="-"/>
    <x v="2"/>
    <s v="-"/>
    <x v="1"/>
    <n v="28600"/>
    <n v="0"/>
    <n v="39"/>
    <n v="30"/>
    <s v="-"/>
    <n v="0"/>
    <n v="12"/>
    <n v="0"/>
    <n v="0"/>
    <x v="4"/>
    <n v="11"/>
    <s v="Referans"/>
    <m/>
    <n v="2"/>
    <s v="20-29"/>
    <s v="1-3 YIL"/>
    <x v="2"/>
  </r>
  <r>
    <s v="PER0528"/>
    <s v="Aslan Aslan"/>
    <x v="0"/>
    <d v="1999-10-04T00:00:00"/>
    <n v="27"/>
    <s v="Evli"/>
    <n v="0"/>
    <s v="Lisans"/>
    <x v="2"/>
    <s v="Muhasebe Elemanı"/>
    <s v="Junior"/>
    <x v="1"/>
    <s v="Finans &amp; Muhasebe Müdürü"/>
    <x v="0"/>
    <d v="2023-04-18T00:00:00"/>
    <s v="-"/>
    <x v="2"/>
    <s v="-"/>
    <x v="1"/>
    <n v="37900"/>
    <n v="0"/>
    <n v="0"/>
    <n v="27"/>
    <s v="01-Istirahat"/>
    <n v="3"/>
    <n v="10"/>
    <n v="0"/>
    <n v="0"/>
    <x v="3"/>
    <n v="26"/>
    <s v="Danışmanlık Firması"/>
    <m/>
    <n v="3"/>
    <s v="20-29"/>
    <s v="3-5 YIL"/>
    <x v="9"/>
  </r>
  <r>
    <s v="PER0529"/>
    <s v="Dilan Kılıç"/>
    <x v="0"/>
    <d v="2003-02-04T00:00:00"/>
    <n v="23"/>
    <s v="Evli"/>
    <n v="0"/>
    <s v="Önlisans"/>
    <x v="2"/>
    <s v="Muhasebe Elemanı"/>
    <s v="Junior"/>
    <x v="1"/>
    <s v="Finans &amp; Muhasebe Müdürü"/>
    <x v="1"/>
    <d v="2024-11-19T00:00:00"/>
    <s v="-"/>
    <x v="2"/>
    <s v="-"/>
    <x v="1"/>
    <n v="36900"/>
    <n v="0"/>
    <n v="9"/>
    <n v="27"/>
    <s v="01-Istirahat"/>
    <n v="3"/>
    <n v="11"/>
    <n v="0"/>
    <n v="0"/>
    <x v="4"/>
    <n v="18"/>
    <s v="Şirket Web Sitesi"/>
    <m/>
    <n v="1"/>
    <s v="20-29"/>
    <s v="1-3 YIL"/>
    <x v="2"/>
  </r>
  <r>
    <s v="PER0530"/>
    <s v="Ayşe Çelik"/>
    <x v="0"/>
    <d v="1995-09-21T00:00:00"/>
    <n v="31"/>
    <s v="Bekar"/>
    <n v="0"/>
    <s v="Lisans"/>
    <x v="1"/>
    <s v="Kıdemli Satış Uzmanı"/>
    <s v="Senior"/>
    <x v="1"/>
    <s v="Satış &amp; Pazarlama Müdürü"/>
    <x v="1"/>
    <d v="2017-07-16T00:00:00"/>
    <s v="-"/>
    <x v="2"/>
    <s v="-"/>
    <x v="1"/>
    <n v="56700"/>
    <n v="15400"/>
    <n v="2"/>
    <n v="30"/>
    <s v="-"/>
    <n v="0"/>
    <n v="5"/>
    <n v="0"/>
    <n v="0"/>
    <x v="1"/>
    <n v="9"/>
    <s v="Referans"/>
    <m/>
    <n v="8"/>
    <s v="30-39"/>
    <s v="5-10 YIL"/>
    <x v="4"/>
  </r>
  <r>
    <s v="PER0531"/>
    <s v="Furkan Öztürk"/>
    <x v="1"/>
    <d v="2001-10-19T00:00:00"/>
    <n v="25"/>
    <s v="Evli"/>
    <n v="3"/>
    <s v="Lisans"/>
    <x v="0"/>
    <s v="Operatör"/>
    <s v="Junior"/>
    <x v="0"/>
    <s v="Üretim &amp; Operasyon Müdürü"/>
    <x v="0"/>
    <d v="2026-01-25T00:00:00"/>
    <s v="-"/>
    <x v="2"/>
    <s v="-"/>
    <x v="1"/>
    <n v="24500"/>
    <n v="0"/>
    <n v="32"/>
    <n v="28"/>
    <s v="01-Istirahat"/>
    <n v="2"/>
    <n v="0"/>
    <n v="0"/>
    <n v="0"/>
    <x v="1"/>
    <n v="19"/>
    <s v="Kariyer.net"/>
    <m/>
    <n v="0"/>
    <s v="20-29"/>
    <s v="0-1 YIL"/>
    <x v="3"/>
  </r>
  <r>
    <s v="PER0532"/>
    <s v="Can Öztürk"/>
    <x v="1"/>
    <d v="2001-01-03T00:00:00"/>
    <n v="25"/>
    <s v="Evli"/>
    <n v="0"/>
    <s v="Yüksek Lisans"/>
    <x v="2"/>
    <s v="Muhasebe Elemanı"/>
    <s v="Junior"/>
    <x v="1"/>
    <s v="Finans &amp; Muhasebe Müdürü"/>
    <x v="0"/>
    <d v="2022-06-26T00:00:00"/>
    <s v="-"/>
    <x v="2"/>
    <s v="-"/>
    <x v="1"/>
    <n v="39100"/>
    <n v="0"/>
    <n v="6"/>
    <n v="30"/>
    <s v="-"/>
    <n v="0"/>
    <n v="6"/>
    <n v="0"/>
    <n v="0"/>
    <x v="0"/>
    <n v="13"/>
    <s v="LinkedIn"/>
    <m/>
    <n v="4"/>
    <s v="20-29"/>
    <s v="3-5 YIL"/>
    <x v="7"/>
  </r>
  <r>
    <s v="PER0533"/>
    <s v="Dilan Yıldız"/>
    <x v="0"/>
    <d v="1983-07-09T00:00:00"/>
    <n v="43"/>
    <s v="Bekar"/>
    <n v="0"/>
    <s v="Lisans"/>
    <x v="2"/>
    <s v="Finans Müdürü"/>
    <s v="Manager"/>
    <x v="1"/>
    <s v="Genel Müdür"/>
    <x v="0"/>
    <d v="2019-06-03T00:00:00"/>
    <s v="-"/>
    <x v="2"/>
    <s v="-"/>
    <x v="1"/>
    <n v="121500"/>
    <n v="0"/>
    <n v="0"/>
    <n v="28"/>
    <s v="01-Istirahat"/>
    <n v="2"/>
    <n v="9"/>
    <n v="0"/>
    <n v="0"/>
    <x v="1"/>
    <n v="5"/>
    <s v="Kariyer.net"/>
    <m/>
    <n v="7"/>
    <s v="40-49"/>
    <s v="5-10 YIL"/>
    <x v="11"/>
  </r>
  <r>
    <s v="PER0534"/>
    <s v="Elif Aydın"/>
    <x v="0"/>
    <d v="1981-05-21T00:00:00"/>
    <n v="45"/>
    <s v="Evli"/>
    <n v="0"/>
    <s v="Lisans"/>
    <x v="3"/>
    <s v="Kıdemli Yazılım Uzmanı"/>
    <s v="Senior"/>
    <x v="1"/>
    <s v="Bilgi Teknolojileri Müdürü"/>
    <x v="4"/>
    <d v="2014-06-09T00:00:00"/>
    <s v="-"/>
    <x v="2"/>
    <s v="-"/>
    <x v="1"/>
    <n v="79500"/>
    <n v="6800"/>
    <n v="1"/>
    <n v="30"/>
    <s v="-"/>
    <n v="0"/>
    <n v="3"/>
    <n v="0"/>
    <n v="0"/>
    <x v="0"/>
    <n v="10"/>
    <s v="Kariyer.net"/>
    <m/>
    <n v="12"/>
    <s v="40-49"/>
    <s v="10+"/>
    <x v="6"/>
  </r>
  <r>
    <s v="PER0535"/>
    <s v="Kübra Kılıç"/>
    <x v="0"/>
    <d v="2002-03-23T00:00:00"/>
    <n v="24"/>
    <s v="Evli"/>
    <n v="1"/>
    <s v="Lisans"/>
    <x v="0"/>
    <s v="Operatör"/>
    <s v="Junior"/>
    <x v="0"/>
    <s v="Üretim &amp; Operasyon Müdürü"/>
    <x v="0"/>
    <d v="2025-02-17T00:00:00"/>
    <s v="-"/>
    <x v="2"/>
    <s v="-"/>
    <x v="1"/>
    <n v="27500"/>
    <n v="0"/>
    <n v="21"/>
    <n v="30"/>
    <s v="-"/>
    <n v="0"/>
    <n v="2"/>
    <n v="0"/>
    <n v="0"/>
    <x v="2"/>
    <n v="25"/>
    <s v="Referans"/>
    <m/>
    <n v="1"/>
    <s v="20-29"/>
    <s v="1-3 YIL"/>
    <x v="0"/>
  </r>
  <r>
    <s v="PER0536"/>
    <s v="Hüseyin Çelik"/>
    <x v="1"/>
    <d v="2002-03-10T00:00:00"/>
    <n v="24"/>
    <s v="Evli"/>
    <n v="2"/>
    <s v="Lisans"/>
    <x v="1"/>
    <s v="Satış Temsilcisi"/>
    <s v="Junior"/>
    <x v="1"/>
    <s v="Satış &amp; Pazarlama Müdürü"/>
    <x v="0"/>
    <d v="2023-06-14T00:00:00"/>
    <s v="-"/>
    <x v="2"/>
    <s v="-"/>
    <x v="1"/>
    <n v="33400"/>
    <n v="10500"/>
    <n v="3"/>
    <n v="30"/>
    <s v="-"/>
    <n v="0"/>
    <n v="11"/>
    <n v="0"/>
    <n v="0"/>
    <x v="1"/>
    <n v="17"/>
    <s v="Referans"/>
    <m/>
    <n v="3"/>
    <s v="20-29"/>
    <s v="3-5 YIL"/>
    <x v="9"/>
  </r>
  <r>
    <s v="PER0537"/>
    <s v="Mustafa Şahin"/>
    <x v="1"/>
    <d v="1998-01-22T00:00:00"/>
    <n v="28"/>
    <s v="Evli"/>
    <n v="1"/>
    <s v="Lisans"/>
    <x v="1"/>
    <s v="Kıdemli Satış Uzmanı"/>
    <s v="Senior"/>
    <x v="1"/>
    <s v="Satış &amp; Pazarlama Müdürü"/>
    <x v="0"/>
    <d v="2017-08-15T00:00:00"/>
    <s v="-"/>
    <x v="2"/>
    <s v="-"/>
    <x v="1"/>
    <n v="55800"/>
    <n v="15100"/>
    <n v="3"/>
    <n v="30"/>
    <s v="-"/>
    <n v="0"/>
    <n v="9"/>
    <n v="0"/>
    <n v="0"/>
    <x v="1"/>
    <n v="11"/>
    <s v="Referans"/>
    <m/>
    <n v="8"/>
    <s v="20-29"/>
    <s v="5-10 YIL"/>
    <x v="4"/>
  </r>
  <r>
    <s v="PER0538"/>
    <s v="Hilal Yılmaz"/>
    <x v="0"/>
    <d v="1998-09-21T00:00:00"/>
    <n v="28"/>
    <s v="Evli"/>
    <n v="0"/>
    <s v="Lisans"/>
    <x v="0"/>
    <s v="Operatör"/>
    <s v="Junior"/>
    <x v="0"/>
    <s v="Üretim &amp; Operasyon Müdürü"/>
    <x v="0"/>
    <d v="2023-09-03T00:00:00"/>
    <s v="-"/>
    <x v="2"/>
    <s v="-"/>
    <x v="1"/>
    <n v="25600"/>
    <n v="0"/>
    <n v="28"/>
    <n v="28"/>
    <s v="01-Istirahat"/>
    <n v="2"/>
    <n v="10"/>
    <n v="0"/>
    <n v="0"/>
    <x v="0"/>
    <n v="5"/>
    <s v="Kariyer.net"/>
    <m/>
    <n v="2"/>
    <s v="20-29"/>
    <s v="1-3 YIL"/>
    <x v="9"/>
  </r>
  <r>
    <s v="PER0539"/>
    <s v="Kübra Çetin"/>
    <x v="0"/>
    <d v="2000-10-15T00:00:00"/>
    <n v="26"/>
    <s v="Bekar"/>
    <n v="0"/>
    <s v="Lisans"/>
    <x v="0"/>
    <s v="Operatör"/>
    <s v="Junior"/>
    <x v="0"/>
    <s v="Üretim &amp; Operasyon Müdürü"/>
    <x v="0"/>
    <d v="2024-03-28T00:00:00"/>
    <s v="-"/>
    <x v="2"/>
    <s v="-"/>
    <x v="1"/>
    <n v="28500"/>
    <n v="0"/>
    <n v="19"/>
    <n v="30"/>
    <s v="-"/>
    <n v="0"/>
    <n v="12"/>
    <n v="0"/>
    <n v="0"/>
    <x v="2"/>
    <n v="20"/>
    <s v="LinkedIn"/>
    <m/>
    <n v="2"/>
    <s v="20-29"/>
    <s v="1-3 YIL"/>
    <x v="2"/>
  </r>
  <r>
    <s v="PER0540"/>
    <s v="Furkan Çelik"/>
    <x v="1"/>
    <d v="1999-06-23T00:00:00"/>
    <n v="27"/>
    <s v="Bekar"/>
    <n v="0"/>
    <s v="Lisans"/>
    <x v="2"/>
    <s v="Muhasebe Elemanı"/>
    <s v="Junior"/>
    <x v="1"/>
    <s v="Finans &amp; Muhasebe Müdürü"/>
    <x v="2"/>
    <d v="2024-11-12T00:00:00"/>
    <s v="-"/>
    <x v="2"/>
    <s v="-"/>
    <x v="1"/>
    <n v="39100"/>
    <n v="0"/>
    <n v="7"/>
    <n v="30"/>
    <s v="-"/>
    <n v="0"/>
    <n v="3"/>
    <n v="0"/>
    <n v="0"/>
    <x v="1"/>
    <n v="6"/>
    <s v="Kariyer.net"/>
    <m/>
    <n v="1"/>
    <s v="20-29"/>
    <s v="1-3 YIL"/>
    <x v="2"/>
  </r>
  <r>
    <s v="PER0541"/>
    <s v="Mustafa Kılıç"/>
    <x v="1"/>
    <d v="1983-05-12T00:00:00"/>
    <n v="43"/>
    <s v="Evli"/>
    <n v="1"/>
    <s v="Lisans"/>
    <x v="2"/>
    <s v="Mali İşler Uzmanı"/>
    <s v="Senior"/>
    <x v="1"/>
    <s v="Finans &amp; Muhasebe Müdürü"/>
    <x v="3"/>
    <d v="2017-08-29T00:00:00"/>
    <s v="-"/>
    <x v="2"/>
    <s v="-"/>
    <x v="1"/>
    <n v="58300"/>
    <n v="0"/>
    <n v="0"/>
    <n v="30"/>
    <s v="-"/>
    <n v="0"/>
    <n v="7"/>
    <n v="0"/>
    <n v="0"/>
    <x v="3"/>
    <n v="14"/>
    <s v="LinkedIn"/>
    <m/>
    <n v="8"/>
    <s v="40-49"/>
    <s v="5-10 YIL"/>
    <x v="4"/>
  </r>
  <r>
    <s v="PER0542"/>
    <s v="Gamze Öztürk"/>
    <x v="0"/>
    <d v="1969-11-17T00:00:00"/>
    <n v="57"/>
    <s v="Bekar"/>
    <n v="0"/>
    <s v="Lisans"/>
    <x v="1"/>
    <s v="Satış Müdürü"/>
    <s v="Manager"/>
    <x v="1"/>
    <s v="Genel Müdür"/>
    <x v="0"/>
    <d v="2011-10-14T00:00:00"/>
    <s v="-"/>
    <x v="2"/>
    <s v="-"/>
    <x v="1"/>
    <n v="111500"/>
    <n v="12000"/>
    <n v="2"/>
    <n v="30"/>
    <s v="-"/>
    <n v="0"/>
    <n v="5"/>
    <n v="0"/>
    <n v="0"/>
    <x v="1"/>
    <n v="6"/>
    <s v="Kariyer.net"/>
    <m/>
    <n v="14"/>
    <s v="50+"/>
    <s v="10+"/>
    <x v="18"/>
  </r>
  <r>
    <s v="PER0543"/>
    <s v="Hilal Doğan"/>
    <x v="0"/>
    <d v="2002-09-21T00:00:00"/>
    <n v="24"/>
    <s v="Evli"/>
    <n v="1"/>
    <s v="Yüksek Lisans"/>
    <x v="0"/>
    <s v="Operatör"/>
    <s v="Junior"/>
    <x v="0"/>
    <s v="Üretim &amp; Operasyon Müdürü"/>
    <x v="0"/>
    <d v="2023-11-05T00:00:00"/>
    <d v="2026-03-22T00:00:00"/>
    <x v="3"/>
    <n v="17"/>
    <x v="0"/>
    <n v="26600"/>
    <n v="0"/>
    <n v="34"/>
    <n v="30"/>
    <s v="-"/>
    <n v="0"/>
    <n v="4"/>
    <n v="0"/>
    <n v="0"/>
    <x v="3"/>
    <n v="30"/>
    <s v="Kariyer.net"/>
    <m/>
    <n v="2"/>
    <s v="20-29"/>
    <s v="1-3 YIL"/>
    <x v="9"/>
  </r>
  <r>
    <s v="PER0544"/>
    <s v="Hüseyin Çelik"/>
    <x v="1"/>
    <d v="1998-10-16T00:00:00"/>
    <n v="28"/>
    <s v="Bekar"/>
    <n v="0"/>
    <s v="Lisans"/>
    <x v="2"/>
    <s v="Muhasebe Elemanı"/>
    <s v="Junior"/>
    <x v="1"/>
    <s v="Finans &amp; Muhasebe Müdürü"/>
    <x v="0"/>
    <d v="2025-12-11T00:00:00"/>
    <s v="-"/>
    <x v="2"/>
    <s v="-"/>
    <x v="1"/>
    <n v="39300"/>
    <n v="0"/>
    <n v="2"/>
    <n v="29"/>
    <s v="01-Istirahat"/>
    <n v="1"/>
    <n v="0"/>
    <n v="0"/>
    <n v="0"/>
    <x v="4"/>
    <n v="15"/>
    <s v="Danışmanlık Firması"/>
    <m/>
    <n v="0"/>
    <s v="20-29"/>
    <s v="0-1 YIL"/>
    <x v="0"/>
  </r>
  <r>
    <s v="PER0545"/>
    <s v="Ayşe Arslan"/>
    <x v="0"/>
    <d v="1997-05-11T00:00:00"/>
    <n v="29"/>
    <s v="Evli"/>
    <n v="1"/>
    <s v="Önlisans"/>
    <x v="0"/>
    <s v="Takım Lideri"/>
    <s v="Senior"/>
    <x v="0"/>
    <s v="Üretim &amp; Operasyon Müdürü"/>
    <x v="2"/>
    <d v="2015-06-29T00:00:00"/>
    <s v="-"/>
    <x v="2"/>
    <s v="-"/>
    <x v="1"/>
    <n v="38100"/>
    <n v="0"/>
    <n v="18"/>
    <n v="30"/>
    <s v="-"/>
    <n v="0"/>
    <n v="0"/>
    <n v="0"/>
    <n v="0"/>
    <x v="4"/>
    <n v="5"/>
    <s v="Kariyer.net"/>
    <m/>
    <n v="11"/>
    <s v="20-29"/>
    <s v="10+"/>
    <x v="8"/>
  </r>
  <r>
    <s v="PER0546"/>
    <s v="Dilan Çelik"/>
    <x v="0"/>
    <d v="1994-10-27T00:00:00"/>
    <n v="32"/>
    <s v="Evli"/>
    <n v="3"/>
    <s v="Doktora"/>
    <x v="1"/>
    <s v="Kıdemli Satış Uzmanı"/>
    <s v="Senior"/>
    <x v="1"/>
    <s v="Satış &amp; Pazarlama Müdürü"/>
    <x v="0"/>
    <d v="2016-02-18T00:00:00"/>
    <s v="-"/>
    <x v="2"/>
    <s v="-"/>
    <x v="1"/>
    <n v="60300"/>
    <n v="0"/>
    <n v="2"/>
    <n v="27"/>
    <s v="01-Istirahat"/>
    <n v="3"/>
    <n v="1"/>
    <n v="0"/>
    <n v="0"/>
    <x v="0"/>
    <n v="6"/>
    <s v="LinkedIn"/>
    <m/>
    <n v="10"/>
    <s v="30-39"/>
    <s v="5-10 YIL"/>
    <x v="13"/>
  </r>
  <r>
    <s v="PER0547"/>
    <s v="Ali Öztürk"/>
    <x v="1"/>
    <d v="2001-01-17T00:00:00"/>
    <n v="25"/>
    <s v="Evli"/>
    <n v="2"/>
    <s v="Önlisans"/>
    <x v="0"/>
    <s v="Operatör"/>
    <s v="Junior"/>
    <x v="0"/>
    <s v="Üretim &amp; Operasyon Müdürü"/>
    <x v="3"/>
    <d v="2025-12-27T00:00:00"/>
    <s v="-"/>
    <x v="2"/>
    <s v="-"/>
    <x v="1"/>
    <n v="24600"/>
    <n v="0"/>
    <n v="40"/>
    <n v="29"/>
    <s v="01-Istirahat"/>
    <n v="1"/>
    <n v="0"/>
    <n v="0"/>
    <n v="0"/>
    <x v="1"/>
    <n v="17"/>
    <s v="Şirket Web Sitesi"/>
    <m/>
    <n v="0"/>
    <s v="20-29"/>
    <s v="0-1 YIL"/>
    <x v="0"/>
  </r>
  <r>
    <s v="PER0548"/>
    <s v="Zeynep Doğan"/>
    <x v="0"/>
    <d v="2004-03-27T00:00:00"/>
    <n v="22"/>
    <s v="Bekar"/>
    <n v="0"/>
    <s v="Önlisans"/>
    <x v="4"/>
    <s v="İK Uzman Yardımcısı"/>
    <s v="Junior"/>
    <x v="1"/>
    <s v="İnsan Kaynakları Müdürü"/>
    <x v="0"/>
    <d v="2022-10-30T00:00:00"/>
    <s v="-"/>
    <x v="2"/>
    <s v="-"/>
    <x v="1"/>
    <n v="37400"/>
    <n v="0"/>
    <n v="6"/>
    <n v="30"/>
    <s v="-"/>
    <n v="0"/>
    <n v="10"/>
    <n v="0"/>
    <n v="0"/>
    <x v="1"/>
    <n v="16"/>
    <s v="Şirket Web Sitesi"/>
    <m/>
    <n v="3"/>
    <s v="20-29"/>
    <s v="3-5 YIL"/>
    <x v="7"/>
  </r>
  <r>
    <s v="PER0549"/>
    <s v="Dilan Yılmaz"/>
    <x v="0"/>
    <d v="1987-01-14T00:00:00"/>
    <n v="39"/>
    <s v="Evli"/>
    <n v="3"/>
    <s v="Yüksek Lisans"/>
    <x v="1"/>
    <s v="Kıdemli Satış Uzmanı"/>
    <s v="Senior"/>
    <x v="1"/>
    <s v="Satış &amp; Pazarlama Müdürü"/>
    <x v="0"/>
    <d v="2020-04-16T00:00:00"/>
    <d v="2024-11-22T00:00:00"/>
    <x v="0"/>
    <n v="3"/>
    <x v="0"/>
    <n v="56500"/>
    <n v="10100"/>
    <n v="5"/>
    <n v="29"/>
    <s v="01-Istirahat"/>
    <n v="1"/>
    <n v="7"/>
    <n v="0"/>
    <n v="0"/>
    <x v="1"/>
    <n v="5"/>
    <s v="Kariyer.net"/>
    <m/>
    <n v="6"/>
    <s v="30-39"/>
    <s v="5-10 YIL"/>
    <x v="5"/>
  </r>
  <r>
    <s v="PER0550"/>
    <s v="Mehmet Demir"/>
    <x v="1"/>
    <d v="1998-10-03T00:00:00"/>
    <n v="28"/>
    <s v="Bekar"/>
    <n v="0"/>
    <s v="Lisans"/>
    <x v="0"/>
    <s v="Operatör"/>
    <s v="Junior"/>
    <x v="0"/>
    <s v="Üretim &amp; Operasyon Müdürü"/>
    <x v="1"/>
    <d v="2023-06-24T00:00:00"/>
    <s v="-"/>
    <x v="2"/>
    <s v="-"/>
    <x v="1"/>
    <n v="26500"/>
    <n v="0"/>
    <n v="17"/>
    <n v="28"/>
    <s v="01-Istirahat"/>
    <n v="2"/>
    <n v="3"/>
    <n v="0"/>
    <n v="0"/>
    <x v="1"/>
    <n v="8"/>
    <s v="Kariyer.net"/>
    <m/>
    <n v="3"/>
    <s v="20-29"/>
    <s v="3-5 YIL"/>
    <x v="9"/>
  </r>
  <r>
    <s v="PER0551"/>
    <s v="Mustafa Arslan"/>
    <x v="1"/>
    <d v="1998-11-03T00:00:00"/>
    <n v="28"/>
    <s v="Evli"/>
    <n v="1"/>
    <s v="Önlisans"/>
    <x v="0"/>
    <s v="Operatör"/>
    <s v="Junior"/>
    <x v="0"/>
    <s v="Üretim &amp; Operasyon Müdürü"/>
    <x v="0"/>
    <d v="2025-09-06T00:00:00"/>
    <s v="-"/>
    <x v="2"/>
    <s v="-"/>
    <x v="1"/>
    <n v="25100"/>
    <n v="0"/>
    <n v="15"/>
    <n v="28"/>
    <s v="01-Istirahat"/>
    <n v="2"/>
    <n v="0"/>
    <n v="0"/>
    <n v="0"/>
    <x v="1"/>
    <n v="5"/>
    <s v="Kariyer.net"/>
    <m/>
    <n v="0"/>
    <s v="20-29"/>
    <s v="0-1 YIL"/>
    <x v="0"/>
  </r>
  <r>
    <s v="PER0552"/>
    <s v="Gökhan Çelik"/>
    <x v="1"/>
    <d v="1990-06-05T00:00:00"/>
    <n v="36"/>
    <s v="Bekar"/>
    <n v="0"/>
    <s v="Önlisans"/>
    <x v="1"/>
    <s v="Satış Müdürü"/>
    <s v="Manager"/>
    <x v="1"/>
    <s v="Genel Müdür"/>
    <x v="1"/>
    <d v="2018-03-29T00:00:00"/>
    <s v="-"/>
    <x v="2"/>
    <s v="-"/>
    <x v="1"/>
    <n v="111200"/>
    <n v="17300"/>
    <n v="5"/>
    <n v="30"/>
    <s v="-"/>
    <n v="0"/>
    <n v="6"/>
    <n v="0"/>
    <n v="0"/>
    <x v="1"/>
    <n v="4"/>
    <s v="Kariyer.net"/>
    <m/>
    <n v="8"/>
    <s v="30-39"/>
    <s v="5-10 YIL"/>
    <x v="1"/>
  </r>
  <r>
    <s v="PER0553"/>
    <s v="Oğuzhan Öztürk"/>
    <x v="1"/>
    <d v="2003-01-20T00:00:00"/>
    <n v="23"/>
    <s v="Evli"/>
    <n v="1"/>
    <s v="Doktora"/>
    <x v="0"/>
    <s v="Operatör"/>
    <s v="Junior"/>
    <x v="0"/>
    <s v="Üretim &amp; Operasyon Müdürü"/>
    <x v="0"/>
    <d v="2025-12-16T00:00:00"/>
    <s v="-"/>
    <x v="2"/>
    <s v="-"/>
    <x v="1"/>
    <n v="25400"/>
    <n v="0"/>
    <n v="40"/>
    <n v="30"/>
    <s v="-"/>
    <n v="0"/>
    <n v="0"/>
    <n v="0"/>
    <n v="0"/>
    <x v="1"/>
    <n v="17"/>
    <s v="Kariyer.net"/>
    <m/>
    <n v="0"/>
    <s v="20-29"/>
    <s v="0-1 YIL"/>
    <x v="0"/>
  </r>
  <r>
    <s v="PER0554"/>
    <s v="Gökhan Aslan"/>
    <x v="1"/>
    <d v="1986-12-17T00:00:00"/>
    <n v="40"/>
    <s v="Bekar"/>
    <n v="0"/>
    <s v="Lisans"/>
    <x v="0"/>
    <s v="Üretim Müdürü"/>
    <s v="Manager"/>
    <x v="1"/>
    <s v="Genel Müdür"/>
    <x v="0"/>
    <d v="2008-09-03T00:00:00"/>
    <s v="-"/>
    <x v="2"/>
    <s v="-"/>
    <x v="1"/>
    <n v="95200"/>
    <n v="0"/>
    <n v="4"/>
    <n v="30"/>
    <s v="-"/>
    <n v="0"/>
    <n v="2"/>
    <n v="0"/>
    <n v="0"/>
    <x v="1"/>
    <n v="11"/>
    <s v="Kariyer.net"/>
    <m/>
    <n v="17"/>
    <s v="40-49"/>
    <s v="10+"/>
    <x v="15"/>
  </r>
  <r>
    <s v="PER0555"/>
    <s v="Oğuzhan Şahin"/>
    <x v="1"/>
    <d v="1999-03-01T00:00:00"/>
    <n v="27"/>
    <s v="Bekar"/>
    <n v="0"/>
    <s v="Yüksek Lisans"/>
    <x v="0"/>
    <s v="Operatör"/>
    <s v="Junior"/>
    <x v="0"/>
    <s v="Üretim &amp; Operasyon Müdürü"/>
    <x v="4"/>
    <d v="2026-03-15T00:00:00"/>
    <s v="-"/>
    <x v="2"/>
    <s v="-"/>
    <x v="1"/>
    <n v="28700"/>
    <n v="0"/>
    <n v="24"/>
    <n v="30"/>
    <s v="-"/>
    <n v="0"/>
    <n v="0"/>
    <n v="0"/>
    <n v="0"/>
    <x v="3"/>
    <n v="12"/>
    <s v="Kariyer.net"/>
    <m/>
    <n v="0"/>
    <s v="20-29"/>
    <s v="0-1 YIL"/>
    <x v="3"/>
  </r>
  <r>
    <s v="PER0556"/>
    <s v="Emre Doğan"/>
    <x v="1"/>
    <d v="1998-07-05T00:00:00"/>
    <n v="28"/>
    <s v="Evli"/>
    <n v="3"/>
    <s v="Lisans"/>
    <x v="0"/>
    <s v="Operatör"/>
    <s v="Junior"/>
    <x v="0"/>
    <s v="Üretim &amp; Operasyon Müdürü"/>
    <x v="0"/>
    <d v="2023-02-09T00:00:00"/>
    <s v="-"/>
    <x v="2"/>
    <s v="-"/>
    <x v="1"/>
    <n v="27300"/>
    <n v="0"/>
    <n v="25"/>
    <n v="30"/>
    <s v="-"/>
    <n v="0"/>
    <n v="0"/>
    <n v="0"/>
    <n v="0"/>
    <x v="1"/>
    <n v="12"/>
    <s v="Referans"/>
    <m/>
    <n v="3"/>
    <s v="20-29"/>
    <s v="3-5 YIL"/>
    <x v="9"/>
  </r>
  <r>
    <s v="PER0557"/>
    <s v="Ahmet Yılmaz"/>
    <x v="1"/>
    <d v="1999-04-12T00:00:00"/>
    <n v="27"/>
    <s v="Bekar"/>
    <n v="0"/>
    <s v="Önlisans"/>
    <x v="0"/>
    <s v="Operatör"/>
    <s v="Junior"/>
    <x v="0"/>
    <s v="Üretim &amp; Operasyon Müdürü"/>
    <x v="3"/>
    <d v="2024-10-02T00:00:00"/>
    <s v="-"/>
    <x v="2"/>
    <s v="-"/>
    <x v="1"/>
    <n v="27500"/>
    <n v="0"/>
    <n v="35"/>
    <n v="30"/>
    <s v="-"/>
    <n v="0"/>
    <n v="9"/>
    <n v="0"/>
    <n v="0"/>
    <x v="1"/>
    <n v="19"/>
    <s v="Kariyer.net"/>
    <m/>
    <n v="1"/>
    <s v="20-29"/>
    <s v="1-3 YIL"/>
    <x v="2"/>
  </r>
  <r>
    <s v="PER0558"/>
    <s v="Aslan Yıldız"/>
    <x v="0"/>
    <d v="1983-09-15T00:00:00"/>
    <n v="43"/>
    <s v="Bekar"/>
    <n v="0"/>
    <s v="Lisans"/>
    <x v="4"/>
    <s v="İK Uzmanı"/>
    <s v="Senior"/>
    <x v="1"/>
    <s v="İnsan Kaynakları Müdürü"/>
    <x v="4"/>
    <d v="2017-04-25T00:00:00"/>
    <s v="-"/>
    <x v="2"/>
    <s v="-"/>
    <x v="1"/>
    <n v="57900"/>
    <n v="3600"/>
    <n v="8"/>
    <n v="30"/>
    <s v="-"/>
    <n v="0"/>
    <n v="14"/>
    <n v="0"/>
    <n v="0"/>
    <x v="1"/>
    <n v="5"/>
    <s v="LinkedIn"/>
    <m/>
    <n v="9"/>
    <s v="40-49"/>
    <s v="5-10 YIL"/>
    <x v="4"/>
  </r>
  <r>
    <s v="PER0559"/>
    <s v="Zeynep Kılıç"/>
    <x v="0"/>
    <d v="2001-03-26T00:00:00"/>
    <n v="25"/>
    <s v="Evli"/>
    <n v="2"/>
    <s v="Yüksek Lisans"/>
    <x v="1"/>
    <s v="Satış Temsilcisi"/>
    <s v="Junior"/>
    <x v="1"/>
    <s v="Satış &amp; Pazarlama Müdürü"/>
    <x v="0"/>
    <d v="2024-04-10T00:00:00"/>
    <s v="-"/>
    <x v="2"/>
    <s v="-"/>
    <x v="1"/>
    <n v="33600"/>
    <n v="0"/>
    <n v="4"/>
    <n v="30"/>
    <s v="-"/>
    <n v="0"/>
    <n v="3"/>
    <n v="0"/>
    <n v="0"/>
    <x v="1"/>
    <n v="5"/>
    <s v="Kariyer.net"/>
    <m/>
    <n v="2"/>
    <s v="20-29"/>
    <s v="1-3 YIL"/>
    <x v="2"/>
  </r>
  <r>
    <s v="PER0560"/>
    <s v="Can Aslan"/>
    <x v="1"/>
    <d v="1999-06-23T00:00:00"/>
    <n v="27"/>
    <s v="Evli"/>
    <n v="1"/>
    <s v="Yüksek Lisans"/>
    <x v="0"/>
    <s v="Operatör"/>
    <s v="Junior"/>
    <x v="0"/>
    <s v="Üretim &amp; Operasyon Müdürü"/>
    <x v="4"/>
    <d v="2024-05-16T00:00:00"/>
    <s v="-"/>
    <x v="2"/>
    <s v="-"/>
    <x v="1"/>
    <n v="25300"/>
    <n v="0"/>
    <n v="43"/>
    <n v="29"/>
    <s v="01-Istirahat"/>
    <n v="1"/>
    <n v="8"/>
    <n v="0"/>
    <n v="0"/>
    <x v="4"/>
    <n v="4"/>
    <s v="LinkedIn"/>
    <m/>
    <n v="2"/>
    <s v="20-29"/>
    <s v="1-3 YIL"/>
    <x v="2"/>
  </r>
  <r>
    <s v="PER0561"/>
    <s v="Gökhan Arslan"/>
    <x v="1"/>
    <d v="2003-07-08T00:00:00"/>
    <n v="23"/>
    <s v="Evli"/>
    <n v="3"/>
    <s v="Önlisans"/>
    <x v="0"/>
    <s v="Operatör"/>
    <s v="Junior"/>
    <x v="0"/>
    <s v="Üretim &amp; Operasyon Müdürü"/>
    <x v="4"/>
    <d v="2022-12-23T00:00:00"/>
    <s v="-"/>
    <x v="2"/>
    <s v="-"/>
    <x v="1"/>
    <n v="24100"/>
    <n v="0"/>
    <n v="40"/>
    <n v="30"/>
    <s v="-"/>
    <n v="0"/>
    <n v="9"/>
    <n v="0"/>
    <n v="0"/>
    <x v="1"/>
    <n v="5"/>
    <s v="Kariyer.net"/>
    <m/>
    <n v="3"/>
    <s v="20-29"/>
    <s v="3-5 YIL"/>
    <x v="7"/>
  </r>
  <r>
    <s v="PER0562"/>
    <s v="Ömer Arslan"/>
    <x v="1"/>
    <d v="1986-01-08T00:00:00"/>
    <n v="40"/>
    <s v="Evli"/>
    <n v="0"/>
    <s v="Lisans"/>
    <x v="4"/>
    <s v="İK Uzmanı"/>
    <s v="Senior"/>
    <x v="1"/>
    <s v="İnsan Kaynakları Müdürü"/>
    <x v="0"/>
    <d v="2023-02-04T00:00:00"/>
    <s v="-"/>
    <x v="2"/>
    <s v="-"/>
    <x v="1"/>
    <n v="58600"/>
    <n v="0"/>
    <n v="6"/>
    <n v="30"/>
    <s v="-"/>
    <n v="0"/>
    <n v="11"/>
    <n v="0"/>
    <n v="0"/>
    <x v="1"/>
    <n v="11"/>
    <s v="Kariyer.net"/>
    <m/>
    <n v="3"/>
    <s v="40-49"/>
    <s v="3-5 YIL"/>
    <x v="9"/>
  </r>
  <r>
    <s v="PER0563"/>
    <s v="Mehmet Aslan"/>
    <x v="1"/>
    <d v="1984-12-27T00:00:00"/>
    <n v="42"/>
    <s v="Bekar"/>
    <n v="0"/>
    <s v="Lisans"/>
    <x v="2"/>
    <s v="Mali İşler Uzmanı"/>
    <s v="Senior"/>
    <x v="1"/>
    <s v="Finans &amp; Muhasebe Müdürü"/>
    <x v="1"/>
    <d v="2018-07-23T00:00:00"/>
    <s v="-"/>
    <x v="2"/>
    <s v="-"/>
    <x v="1"/>
    <n v="64200"/>
    <n v="0"/>
    <n v="3"/>
    <n v="25"/>
    <s v="01-Istirahat"/>
    <n v="5"/>
    <n v="13"/>
    <n v="0"/>
    <n v="0"/>
    <x v="1"/>
    <n v="10"/>
    <s v="Kariyer.net"/>
    <m/>
    <n v="7"/>
    <s v="40-49"/>
    <s v="5-10 YIL"/>
    <x v="1"/>
  </r>
  <r>
    <s v="PER0564"/>
    <s v="Mehmet Kaya"/>
    <x v="1"/>
    <d v="2003-09-20T00:00:00"/>
    <n v="23"/>
    <s v="Evli"/>
    <n v="1"/>
    <s v="Lisans"/>
    <x v="0"/>
    <s v="Operatör"/>
    <s v="Junior"/>
    <x v="0"/>
    <s v="Üretim &amp; Operasyon Müdürü"/>
    <x v="0"/>
    <d v="2024-05-11T00:00:00"/>
    <d v="2025-06-02T00:00:00"/>
    <x v="1"/>
    <n v="4"/>
    <x v="0"/>
    <n v="27400"/>
    <n v="0"/>
    <n v="35"/>
    <n v="30"/>
    <s v="-"/>
    <n v="0"/>
    <n v="11"/>
    <n v="0"/>
    <n v="0"/>
    <x v="3"/>
    <n v="34"/>
    <s v="LinkedIn"/>
    <m/>
    <n v="2"/>
    <s v="20-29"/>
    <s v="1-3 YIL"/>
    <x v="2"/>
  </r>
  <r>
    <s v="PER0565"/>
    <s v="Mustafa Öztürk"/>
    <x v="1"/>
    <d v="1998-02-13T00:00:00"/>
    <n v="28"/>
    <s v="Bekar"/>
    <n v="0"/>
    <s v="Önlisans"/>
    <x v="0"/>
    <s v="Operatör"/>
    <s v="Junior"/>
    <x v="0"/>
    <s v="Üretim &amp; Operasyon Müdürü"/>
    <x v="0"/>
    <d v="2024-01-21T00:00:00"/>
    <d v="2025-04-01T00:00:00"/>
    <x v="1"/>
    <n v="4"/>
    <x v="0"/>
    <n v="24700"/>
    <n v="0"/>
    <n v="44"/>
    <n v="30"/>
    <s v="-"/>
    <n v="0"/>
    <n v="10"/>
    <n v="0"/>
    <n v="0"/>
    <x v="1"/>
    <n v="3"/>
    <s v="Kariyer.net"/>
    <m/>
    <n v="2"/>
    <s v="20-29"/>
    <s v="1-3 YIL"/>
    <x v="2"/>
  </r>
  <r>
    <s v="PER0566"/>
    <s v="Aslan Kılıç"/>
    <x v="0"/>
    <d v="2000-11-10T00:00:00"/>
    <n v="26"/>
    <s v="Evli"/>
    <n v="2"/>
    <s v="Lisans"/>
    <x v="0"/>
    <s v="Operatör"/>
    <s v="Junior"/>
    <x v="0"/>
    <s v="Üretim &amp; Operasyon Müdürü"/>
    <x v="2"/>
    <d v="2024-01-24T00:00:00"/>
    <s v="-"/>
    <x v="2"/>
    <s v="-"/>
    <x v="1"/>
    <n v="27300"/>
    <n v="0"/>
    <n v="29"/>
    <n v="30"/>
    <s v="-"/>
    <n v="0"/>
    <n v="1"/>
    <n v="0"/>
    <n v="0"/>
    <x v="1"/>
    <n v="19"/>
    <s v="Şirket Web Sitesi"/>
    <m/>
    <n v="2"/>
    <s v="20-29"/>
    <s v="1-3 YIL"/>
    <x v="2"/>
  </r>
  <r>
    <s v="PER0567"/>
    <s v="Volkan Çetin"/>
    <x v="1"/>
    <d v="2000-02-07T00:00:00"/>
    <n v="26"/>
    <s v="Evli"/>
    <n v="2"/>
    <s v="Lisans"/>
    <x v="2"/>
    <s v="Muhasebe Elemanı"/>
    <s v="Junior"/>
    <x v="1"/>
    <s v="Finans &amp; Muhasebe Müdürü"/>
    <x v="0"/>
    <d v="2024-08-01T00:00:00"/>
    <d v="2025-07-01T00:00:00"/>
    <x v="1"/>
    <n v="4"/>
    <x v="0"/>
    <n v="39300"/>
    <n v="0"/>
    <n v="6"/>
    <n v="27"/>
    <s v="01-Istirahat"/>
    <n v="3"/>
    <n v="5"/>
    <n v="0"/>
    <n v="0"/>
    <x v="3"/>
    <n v="17"/>
    <s v="Şirket Web Sitesi"/>
    <m/>
    <n v="1"/>
    <s v="20-29"/>
    <s v="1-3 YIL"/>
    <x v="2"/>
  </r>
  <r>
    <s v="PER0568"/>
    <s v="Emre Yıldız"/>
    <x v="1"/>
    <d v="2003-11-15T00:00:00"/>
    <n v="23"/>
    <s v="Bekar"/>
    <n v="0"/>
    <s v="Yüksek Lisans"/>
    <x v="0"/>
    <s v="Operatör"/>
    <s v="Junior"/>
    <x v="0"/>
    <s v="Üretim &amp; Operasyon Müdürü"/>
    <x v="2"/>
    <d v="2022-06-30T00:00:00"/>
    <s v="-"/>
    <x v="2"/>
    <s v="-"/>
    <x v="1"/>
    <n v="27700"/>
    <n v="0"/>
    <n v="43"/>
    <n v="27"/>
    <s v="02-Ucretsiz Izin"/>
    <n v="0"/>
    <n v="9"/>
    <n v="3"/>
    <n v="0"/>
    <x v="0"/>
    <n v="13"/>
    <s v="LinkedIn"/>
    <m/>
    <n v="4"/>
    <s v="20-29"/>
    <s v="3-5 YIL"/>
    <x v="7"/>
  </r>
  <r>
    <s v="PER0569"/>
    <s v="Zeynep Çelik"/>
    <x v="0"/>
    <d v="1983-01-17T00:00:00"/>
    <n v="43"/>
    <s v="Bekar"/>
    <n v="0"/>
    <s v="Lisans"/>
    <x v="1"/>
    <s v="Kıdemli Satış Uzmanı"/>
    <s v="Senior"/>
    <x v="1"/>
    <s v="Satış &amp; Pazarlama Müdürü"/>
    <x v="0"/>
    <d v="2014-06-11T00:00:00"/>
    <d v="2014-09-19T00:00:00"/>
    <x v="1"/>
    <n v="4"/>
    <x v="0"/>
    <n v="57200"/>
    <n v="0"/>
    <n v="1"/>
    <n v="30"/>
    <s v="-"/>
    <n v="0"/>
    <n v="0"/>
    <n v="0"/>
    <n v="0"/>
    <x v="1"/>
    <n v="9"/>
    <s v="Kariyer.net"/>
    <m/>
    <n v="12"/>
    <s v="40-49"/>
    <s v="10+"/>
    <x v="6"/>
  </r>
  <r>
    <s v="PER0570"/>
    <s v="Mustafa Yıldız"/>
    <x v="1"/>
    <d v="1985-04-08T00:00:00"/>
    <n v="41"/>
    <s v="Evli"/>
    <n v="2"/>
    <s v="Önlisans"/>
    <x v="3"/>
    <s v="BT Müdürü"/>
    <s v="Manager"/>
    <x v="1"/>
    <s v="Genel Müdür"/>
    <x v="0"/>
    <d v="2009-11-30T00:00:00"/>
    <s v="-"/>
    <x v="2"/>
    <s v="-"/>
    <x v="1"/>
    <n v="127700"/>
    <n v="0"/>
    <n v="3"/>
    <n v="30"/>
    <s v="-"/>
    <n v="0"/>
    <n v="10"/>
    <n v="0"/>
    <n v="0"/>
    <x v="1"/>
    <n v="14"/>
    <s v="LinkedIn"/>
    <m/>
    <n v="16"/>
    <s v="40-49"/>
    <s v="10+"/>
    <x v="17"/>
  </r>
  <r>
    <s v="PER0571"/>
    <s v="Fatma Çetin"/>
    <x v="0"/>
    <d v="1985-07-07T00:00:00"/>
    <n v="41"/>
    <s v="Evli"/>
    <n v="0"/>
    <s v="Lisans"/>
    <x v="1"/>
    <s v="Satış Müdürü"/>
    <s v="Manager"/>
    <x v="1"/>
    <s v="Genel Müdür"/>
    <x v="4"/>
    <d v="2011-11-17T00:00:00"/>
    <s v="-"/>
    <x v="2"/>
    <s v="-"/>
    <x v="1"/>
    <n v="101700"/>
    <n v="0"/>
    <n v="0"/>
    <n v="28"/>
    <s v="01-Istirahat"/>
    <n v="2"/>
    <n v="14"/>
    <n v="0"/>
    <n v="0"/>
    <x v="4"/>
    <n v="16"/>
    <s v="Referans"/>
    <m/>
    <n v="14"/>
    <s v="40-49"/>
    <s v="10+"/>
    <x v="18"/>
  </r>
  <r>
    <s v="PER0572"/>
    <s v="Kübra Aydın"/>
    <x v="0"/>
    <d v="1997-12-11T00:00:00"/>
    <n v="29"/>
    <s v="Evli"/>
    <n v="2"/>
    <s v="Yüksek Lisans"/>
    <x v="0"/>
    <s v="Operatör"/>
    <s v="Junior"/>
    <x v="0"/>
    <s v="Üretim &amp; Operasyon Müdürü"/>
    <x v="4"/>
    <d v="2025-03-23T00:00:00"/>
    <s v="-"/>
    <x v="2"/>
    <s v="-"/>
    <x v="1"/>
    <n v="26900"/>
    <n v="0"/>
    <n v="10"/>
    <n v="30"/>
    <s v="-"/>
    <n v="0"/>
    <n v="12"/>
    <n v="0"/>
    <n v="0"/>
    <x v="2"/>
    <n v="38"/>
    <s v="LinkedIn"/>
    <m/>
    <n v="1"/>
    <s v="20-29"/>
    <s v="1-3 YIL"/>
    <x v="0"/>
  </r>
  <r>
    <s v="PER0573"/>
    <s v="Elif Şahin"/>
    <x v="0"/>
    <d v="2004-12-27T00:00:00"/>
    <n v="22"/>
    <s v="Bekar"/>
    <n v="0"/>
    <s v="Doktora"/>
    <x v="0"/>
    <s v="Operatör"/>
    <s v="Junior"/>
    <x v="0"/>
    <s v="Üretim &amp; Operasyon Müdürü"/>
    <x v="0"/>
    <d v="2023-06-14T00:00:00"/>
    <s v="-"/>
    <x v="2"/>
    <s v="-"/>
    <x v="1"/>
    <n v="26900"/>
    <n v="0"/>
    <n v="26"/>
    <n v="30"/>
    <s v="-"/>
    <n v="0"/>
    <n v="3"/>
    <n v="0"/>
    <n v="0"/>
    <x v="0"/>
    <n v="10"/>
    <s v="LinkedIn"/>
    <m/>
    <n v="3"/>
    <s v="20-29"/>
    <s v="3-5 YIL"/>
    <x v="9"/>
  </r>
  <r>
    <s v="PER0574"/>
    <s v="Aslan Yılmaz"/>
    <x v="0"/>
    <d v="2004-12-13T00:00:00"/>
    <n v="22"/>
    <s v="Evli"/>
    <n v="1"/>
    <s v="Lisans"/>
    <x v="0"/>
    <s v="Operatör"/>
    <s v="Junior"/>
    <x v="0"/>
    <s v="Üretim &amp; Operasyon Müdürü"/>
    <x v="0"/>
    <d v="2026-01-21T00:00:00"/>
    <s v="-"/>
    <x v="2"/>
    <s v="-"/>
    <x v="1"/>
    <n v="27800"/>
    <n v="0"/>
    <n v="20"/>
    <n v="29"/>
    <s v="02-Ucretsiz Izin"/>
    <n v="0"/>
    <n v="0"/>
    <n v="1"/>
    <n v="0"/>
    <x v="1"/>
    <n v="8"/>
    <s v="Danışmanlık Firması"/>
    <m/>
    <n v="0"/>
    <s v="20-29"/>
    <s v="0-1 YIL"/>
    <x v="3"/>
  </r>
  <r>
    <s v="PER0575"/>
    <s v="Mustafa Yıldız"/>
    <x v="1"/>
    <d v="1974-11-27T00:00:00"/>
    <n v="52"/>
    <s v="Evli"/>
    <n v="0"/>
    <s v="Lisans"/>
    <x v="1"/>
    <s v="Satış Müdürü"/>
    <s v="Manager"/>
    <x v="1"/>
    <s v="Genel Müdür"/>
    <x v="3"/>
    <d v="2009-10-15T00:00:00"/>
    <d v="2010-08-08T00:00:00"/>
    <x v="5"/>
    <n v="8"/>
    <x v="0"/>
    <n v="104900"/>
    <n v="29700"/>
    <n v="4"/>
    <n v="29"/>
    <s v="02-Ucretsiz Izin"/>
    <n v="0"/>
    <n v="13"/>
    <n v="1"/>
    <n v="0"/>
    <x v="1"/>
    <n v="18"/>
    <s v="LinkedIn"/>
    <m/>
    <n v="16"/>
    <s v="50+"/>
    <s v="10+"/>
    <x v="17"/>
  </r>
  <r>
    <s v="PER0576"/>
    <s v="Emre Aydın"/>
    <x v="1"/>
    <d v="2000-10-10T00:00:00"/>
    <n v="26"/>
    <s v="Evli"/>
    <n v="2"/>
    <s v="Yüksek Lisans"/>
    <x v="0"/>
    <s v="Operatör"/>
    <s v="Junior"/>
    <x v="0"/>
    <s v="Üretim &amp; Operasyon Müdürü"/>
    <x v="2"/>
    <d v="2022-12-25T00:00:00"/>
    <d v="2025-10-01T00:00:00"/>
    <x v="1"/>
    <n v="4"/>
    <x v="0"/>
    <n v="24700"/>
    <n v="0"/>
    <n v="29"/>
    <n v="28"/>
    <s v="01-Istirahat"/>
    <n v="2"/>
    <n v="12"/>
    <n v="0"/>
    <n v="0"/>
    <x v="4"/>
    <n v="19"/>
    <s v="Kariyer.net"/>
    <m/>
    <n v="3"/>
    <s v="20-29"/>
    <s v="3-5 YIL"/>
    <x v="7"/>
  </r>
  <r>
    <s v="PER0577"/>
    <s v="Dilan Demir"/>
    <x v="0"/>
    <d v="1997-05-27T00:00:00"/>
    <n v="29"/>
    <s v="Bekar"/>
    <n v="0"/>
    <s v="Yüksek Lisans"/>
    <x v="3"/>
    <s v="Kıdemli Yazılım Uzmanı"/>
    <s v="Senior"/>
    <x v="1"/>
    <s v="Bilgi Teknolojileri Müdürü"/>
    <x v="0"/>
    <d v="2019-03-07T00:00:00"/>
    <s v="-"/>
    <x v="2"/>
    <s v="-"/>
    <x v="1"/>
    <n v="84700"/>
    <n v="0"/>
    <n v="7"/>
    <n v="30"/>
    <s v="-"/>
    <n v="0"/>
    <n v="0"/>
    <n v="0"/>
    <n v="0"/>
    <x v="1"/>
    <n v="5"/>
    <s v="Referans"/>
    <m/>
    <n v="7"/>
    <s v="20-29"/>
    <s v="5-10 YIL"/>
    <x v="11"/>
  </r>
  <r>
    <s v="PER0578"/>
    <s v="Mehmet Yıldız"/>
    <x v="1"/>
    <d v="2002-06-21T00:00:00"/>
    <n v="24"/>
    <s v="Evli"/>
    <n v="1"/>
    <s v="Yüksek Lisans"/>
    <x v="0"/>
    <s v="Operatör"/>
    <s v="Junior"/>
    <x v="0"/>
    <s v="Üretim &amp; Operasyon Müdürü"/>
    <x v="2"/>
    <d v="2023-04-02T00:00:00"/>
    <s v="-"/>
    <x v="2"/>
    <s v="-"/>
    <x v="1"/>
    <n v="25100"/>
    <n v="0"/>
    <n v="14"/>
    <n v="30"/>
    <s v="-"/>
    <n v="0"/>
    <n v="6"/>
    <n v="0"/>
    <n v="0"/>
    <x v="4"/>
    <n v="3"/>
    <s v="LinkedIn"/>
    <m/>
    <n v="3"/>
    <s v="20-29"/>
    <s v="3-5 YIL"/>
    <x v="9"/>
  </r>
  <r>
    <s v="PER0579"/>
    <s v="Ömer Yıldız"/>
    <x v="1"/>
    <d v="1998-05-01T00:00:00"/>
    <n v="28"/>
    <s v="Bekar"/>
    <n v="0"/>
    <s v="Lisans"/>
    <x v="0"/>
    <s v="Operatör"/>
    <s v="Junior"/>
    <x v="0"/>
    <s v="Üretim &amp; Operasyon Müdürü"/>
    <x v="1"/>
    <d v="2023-06-21T00:00:00"/>
    <s v="-"/>
    <x v="2"/>
    <s v="-"/>
    <x v="1"/>
    <n v="28400"/>
    <n v="0"/>
    <n v="43"/>
    <n v="29"/>
    <s v="10-Devamsizlik"/>
    <n v="0"/>
    <n v="12"/>
    <n v="0"/>
    <n v="1"/>
    <x v="1"/>
    <n v="16"/>
    <s v="LinkedIn"/>
    <m/>
    <n v="3"/>
    <s v="20-29"/>
    <s v="3-5 YIL"/>
    <x v="9"/>
  </r>
  <r>
    <s v="PER0580"/>
    <s v="Ahmet Doğan"/>
    <x v="1"/>
    <d v="1983-12-11T00:00:00"/>
    <n v="43"/>
    <s v="Evli"/>
    <n v="0"/>
    <s v="Yüksek Lisans"/>
    <x v="0"/>
    <s v="Takım Lideri"/>
    <s v="Senior"/>
    <x v="0"/>
    <s v="Üretim &amp; Operasyon Müdürü"/>
    <x v="3"/>
    <d v="2019-01-19T00:00:00"/>
    <s v="-"/>
    <x v="2"/>
    <s v="-"/>
    <x v="1"/>
    <n v="44000"/>
    <n v="0"/>
    <n v="41"/>
    <n v="30"/>
    <s v="-"/>
    <n v="0"/>
    <n v="1"/>
    <n v="0"/>
    <n v="0"/>
    <x v="1"/>
    <n v="2"/>
    <s v="Danışmanlık Firması"/>
    <m/>
    <n v="7"/>
    <s v="40-49"/>
    <s v="5-10 YIL"/>
    <x v="11"/>
  </r>
  <r>
    <s v="PER0581"/>
    <s v="Büşra Doğan"/>
    <x v="0"/>
    <d v="1997-11-14T00:00:00"/>
    <n v="29"/>
    <s v="Evli"/>
    <n v="2"/>
    <s v="Lisans"/>
    <x v="1"/>
    <s v="Satış Temsilcisi"/>
    <s v="Junior"/>
    <x v="1"/>
    <s v="Satış &amp; Pazarlama Müdürü"/>
    <x v="0"/>
    <d v="2024-04-19T00:00:00"/>
    <s v="-"/>
    <x v="2"/>
    <s v="-"/>
    <x v="1"/>
    <n v="36700"/>
    <n v="0"/>
    <n v="1"/>
    <n v="30"/>
    <s v="-"/>
    <n v="0"/>
    <n v="3"/>
    <n v="0"/>
    <n v="0"/>
    <x v="1"/>
    <n v="15"/>
    <s v="Referans"/>
    <m/>
    <n v="2"/>
    <s v="20-29"/>
    <s v="1-3 YIL"/>
    <x v="2"/>
  </r>
  <r>
    <s v="PER0582"/>
    <s v="Oğuzhan Doğan"/>
    <x v="1"/>
    <d v="1974-12-03T00:00:00"/>
    <n v="52"/>
    <s v="Evli"/>
    <n v="3"/>
    <s v="Lisans"/>
    <x v="1"/>
    <s v="Satış Müdürü"/>
    <s v="Manager"/>
    <x v="1"/>
    <s v="Genel Müdür"/>
    <x v="2"/>
    <d v="2010-11-04T00:00:00"/>
    <s v="-"/>
    <x v="2"/>
    <s v="-"/>
    <x v="1"/>
    <n v="113100"/>
    <n v="0"/>
    <n v="5"/>
    <n v="29"/>
    <s v="02-Ucretsiz Izin"/>
    <n v="0"/>
    <n v="2"/>
    <n v="1"/>
    <n v="0"/>
    <x v="3"/>
    <n v="31"/>
    <s v="LinkedIn"/>
    <m/>
    <n v="15"/>
    <s v="50+"/>
    <s v="10+"/>
    <x v="16"/>
  </r>
  <r>
    <s v="PER0583"/>
    <s v="Furkan Aslan"/>
    <x v="1"/>
    <d v="2003-12-19T00:00:00"/>
    <n v="23"/>
    <s v="Bekar"/>
    <n v="0"/>
    <s v="Lisans"/>
    <x v="3"/>
    <s v="Yazılım Uzman Yardımcısı"/>
    <s v="Junior"/>
    <x v="1"/>
    <s v="Bilgi Teknolojileri Müdürü"/>
    <x v="2"/>
    <d v="2023-12-23T00:00:00"/>
    <s v="-"/>
    <x v="2"/>
    <s v="-"/>
    <x v="1"/>
    <n v="48300"/>
    <n v="0"/>
    <n v="5"/>
    <n v="29"/>
    <s v="01-Istirahat"/>
    <n v="1"/>
    <n v="2"/>
    <n v="0"/>
    <n v="0"/>
    <x v="1"/>
    <n v="6"/>
    <s v="LinkedIn"/>
    <m/>
    <n v="2"/>
    <s v="20-29"/>
    <s v="1-3 YIL"/>
    <x v="9"/>
  </r>
  <r>
    <s v="PER0584"/>
    <s v="Mustafa Arslan"/>
    <x v="1"/>
    <d v="1980-04-01T00:00:00"/>
    <n v="46"/>
    <s v="Bekar"/>
    <n v="0"/>
    <s v="Lisans"/>
    <x v="2"/>
    <s v="Mali İşler Uzmanı"/>
    <s v="Senior"/>
    <x v="1"/>
    <s v="Finans &amp; Muhasebe Müdürü"/>
    <x v="0"/>
    <d v="2021-06-25T00:00:00"/>
    <d v="2024-04-11T00:00:00"/>
    <x v="1"/>
    <n v="4"/>
    <x v="0"/>
    <n v="63500"/>
    <n v="4900"/>
    <n v="8"/>
    <n v="30"/>
    <s v="-"/>
    <n v="0"/>
    <n v="7"/>
    <n v="0"/>
    <n v="0"/>
    <x v="3"/>
    <n v="25"/>
    <s v="Referans"/>
    <m/>
    <n v="5"/>
    <s v="40-49"/>
    <s v="5-10 YIL"/>
    <x v="14"/>
  </r>
  <r>
    <s v="PER0585"/>
    <s v="Serkan Yıldız"/>
    <x v="1"/>
    <d v="2002-03-21T00:00:00"/>
    <n v="24"/>
    <s v="Bekar"/>
    <n v="0"/>
    <s v="Lisans"/>
    <x v="0"/>
    <s v="Operatör"/>
    <s v="Junior"/>
    <x v="0"/>
    <s v="Üretim &amp; Operasyon Müdürü"/>
    <x v="0"/>
    <d v="2025-12-31T00:00:00"/>
    <s v="-"/>
    <x v="2"/>
    <s v="-"/>
    <x v="1"/>
    <n v="25100"/>
    <n v="0"/>
    <n v="19"/>
    <n v="30"/>
    <s v="-"/>
    <n v="0"/>
    <n v="0"/>
    <n v="0"/>
    <n v="0"/>
    <x v="1"/>
    <n v="11"/>
    <s v="Referans"/>
    <m/>
    <n v="0"/>
    <s v="20-29"/>
    <s v="0-1 YIL"/>
    <x v="0"/>
  </r>
  <r>
    <s v="PER0586"/>
    <s v="Furkan Şahin"/>
    <x v="1"/>
    <d v="1997-08-17T00:00:00"/>
    <n v="29"/>
    <s v="Evli"/>
    <n v="1"/>
    <s v="Lisans"/>
    <x v="0"/>
    <s v="Operatör"/>
    <s v="Junior"/>
    <x v="0"/>
    <s v="Üretim &amp; Operasyon Müdürü"/>
    <x v="0"/>
    <d v="2025-07-07T00:00:00"/>
    <s v="-"/>
    <x v="2"/>
    <s v="-"/>
    <x v="1"/>
    <n v="26200"/>
    <n v="0"/>
    <n v="16"/>
    <n v="30"/>
    <s v="-"/>
    <n v="0"/>
    <n v="0"/>
    <n v="0"/>
    <n v="0"/>
    <x v="1"/>
    <n v="3"/>
    <s v="LinkedIn"/>
    <m/>
    <n v="0"/>
    <s v="20-29"/>
    <s v="0-1 YIL"/>
    <x v="0"/>
  </r>
  <r>
    <s v="PER0587"/>
    <s v="Elif Arslan"/>
    <x v="0"/>
    <d v="1997-05-20T00:00:00"/>
    <n v="29"/>
    <s v="Evli"/>
    <n v="1"/>
    <s v="Lisans"/>
    <x v="0"/>
    <s v="Operatör"/>
    <s v="Junior"/>
    <x v="0"/>
    <s v="Üretim &amp; Operasyon Müdürü"/>
    <x v="0"/>
    <d v="2024-08-11T00:00:00"/>
    <s v="-"/>
    <x v="2"/>
    <s v="-"/>
    <x v="1"/>
    <n v="25600"/>
    <n v="0"/>
    <n v="35"/>
    <n v="30"/>
    <s v="-"/>
    <n v="0"/>
    <n v="9"/>
    <n v="0"/>
    <n v="0"/>
    <x v="1"/>
    <n v="9"/>
    <s v="Kariyer.net"/>
    <m/>
    <n v="1"/>
    <s v="20-29"/>
    <s v="1-3 YIL"/>
    <x v="2"/>
  </r>
  <r>
    <s v="PER0588"/>
    <s v="Burak Demir"/>
    <x v="1"/>
    <d v="1979-07-05T00:00:00"/>
    <n v="47"/>
    <s v="Bekar"/>
    <n v="0"/>
    <s v="Lisans"/>
    <x v="2"/>
    <s v="Mali İşler Uzmanı"/>
    <s v="Senior"/>
    <x v="1"/>
    <s v="Finans &amp; Muhasebe Müdürü"/>
    <x v="3"/>
    <d v="2014-07-10T00:00:00"/>
    <s v="-"/>
    <x v="2"/>
    <s v="-"/>
    <x v="1"/>
    <n v="58100"/>
    <n v="3200"/>
    <n v="3"/>
    <n v="30"/>
    <s v="-"/>
    <n v="0"/>
    <n v="14"/>
    <n v="0"/>
    <n v="0"/>
    <x v="1"/>
    <n v="14"/>
    <s v="Kariyer.net"/>
    <m/>
    <n v="11"/>
    <s v="40-49"/>
    <s v="10+"/>
    <x v="6"/>
  </r>
  <r>
    <s v="PER0589"/>
    <s v="Zeynep Aslan"/>
    <x v="0"/>
    <d v="1980-01-07T00:00:00"/>
    <n v="46"/>
    <s v="Evli"/>
    <n v="2"/>
    <s v="Önlisans"/>
    <x v="2"/>
    <s v="Mali İşler Uzmanı"/>
    <s v="Senior"/>
    <x v="1"/>
    <s v="Finans &amp; Muhasebe Müdürü"/>
    <x v="0"/>
    <d v="2020-05-29T00:00:00"/>
    <s v="-"/>
    <x v="2"/>
    <s v="-"/>
    <x v="1"/>
    <n v="65100"/>
    <n v="0"/>
    <n v="9"/>
    <n v="29"/>
    <s v="01-Istirahat"/>
    <n v="1"/>
    <n v="8"/>
    <n v="0"/>
    <n v="0"/>
    <x v="1"/>
    <n v="16"/>
    <s v="LinkedIn"/>
    <m/>
    <n v="6"/>
    <s v="40-49"/>
    <s v="5-10 YIL"/>
    <x v="5"/>
  </r>
  <r>
    <s v="PER0590"/>
    <s v="Dilan Aydın"/>
    <x v="0"/>
    <d v="1990-03-04T00:00:00"/>
    <n v="36"/>
    <s v="Bekar"/>
    <n v="0"/>
    <s v="Lisans"/>
    <x v="3"/>
    <s v="Kıdemli Yazılım Uzmanı"/>
    <s v="Senior"/>
    <x v="1"/>
    <s v="Bilgi Teknolojileri Müdürü"/>
    <x v="0"/>
    <d v="2014-06-22T00:00:00"/>
    <s v="-"/>
    <x v="2"/>
    <s v="-"/>
    <x v="1"/>
    <n v="85800"/>
    <n v="10900"/>
    <n v="0"/>
    <n v="29"/>
    <s v="01-Istirahat"/>
    <n v="1"/>
    <n v="6"/>
    <n v="0"/>
    <n v="0"/>
    <x v="4"/>
    <n v="15"/>
    <s v="Kariyer.net"/>
    <m/>
    <n v="12"/>
    <s v="30-39"/>
    <s v="10+"/>
    <x v="6"/>
  </r>
  <r>
    <s v="PER0591"/>
    <s v="Selin Kara"/>
    <x v="0"/>
    <d v="1998-05-13T00:00:00"/>
    <n v="28"/>
    <s v="Evli"/>
    <n v="0"/>
    <s v="Lisans"/>
    <x v="1"/>
    <s v="Kıdemli Satış Uzmanı"/>
    <s v="Senior"/>
    <x v="1"/>
    <s v="Satış &amp; Pazarlama Müdürü"/>
    <x v="0"/>
    <d v="2016-12-25T00:00:00"/>
    <s v="-"/>
    <x v="2"/>
    <s v="-"/>
    <x v="1"/>
    <n v="58800"/>
    <n v="10500"/>
    <n v="3"/>
    <n v="20"/>
    <s v="01-Istirahat"/>
    <n v="10"/>
    <n v="14"/>
    <n v="0"/>
    <n v="0"/>
    <x v="3"/>
    <n v="34"/>
    <s v="Kariyer.net"/>
    <m/>
    <n v="9"/>
    <s v="20-29"/>
    <s v="5-10 YIL"/>
    <x v="13"/>
  </r>
  <r>
    <s v="PER0592"/>
    <s v="Ahmet Yılmaz"/>
    <x v="1"/>
    <d v="1979-08-14T00:00:00"/>
    <n v="47"/>
    <s v="Evli"/>
    <n v="2"/>
    <s v="Lisans"/>
    <x v="0"/>
    <s v="Takım Lideri"/>
    <s v="Senior"/>
    <x v="0"/>
    <s v="Üretim &amp; Operasyon Müdürü"/>
    <x v="2"/>
    <d v="2017-12-22T00:00:00"/>
    <s v="-"/>
    <x v="2"/>
    <s v="-"/>
    <x v="1"/>
    <n v="42900"/>
    <n v="0"/>
    <n v="32"/>
    <n v="30"/>
    <s v="-"/>
    <n v="0"/>
    <n v="2"/>
    <n v="0"/>
    <n v="0"/>
    <x v="1"/>
    <n v="8"/>
    <s v="LinkedIn"/>
    <m/>
    <n v="8"/>
    <s v="40-49"/>
    <s v="5-10 YIL"/>
    <x v="4"/>
  </r>
  <r>
    <s v="PER0593"/>
    <s v="Burak Özdemir"/>
    <x v="1"/>
    <d v="1982-08-26T00:00:00"/>
    <n v="44"/>
    <s v="Evli"/>
    <n v="1"/>
    <s v="Yüksek Lisans"/>
    <x v="1"/>
    <s v="Satış Müdürü"/>
    <s v="Manager"/>
    <x v="1"/>
    <s v="Genel Müdür"/>
    <x v="0"/>
    <d v="2019-05-18T00:00:00"/>
    <s v="-"/>
    <x v="2"/>
    <s v="-"/>
    <x v="1"/>
    <n v="112300"/>
    <n v="13900"/>
    <n v="2"/>
    <n v="30"/>
    <s v="-"/>
    <n v="0"/>
    <n v="10"/>
    <n v="0"/>
    <n v="0"/>
    <x v="1"/>
    <n v="13"/>
    <s v="LinkedIn"/>
    <m/>
    <n v="7"/>
    <s v="40-49"/>
    <s v="5-10 YIL"/>
    <x v="11"/>
  </r>
  <r>
    <s v="PER0594"/>
    <s v="Furkan Çelik"/>
    <x v="1"/>
    <d v="1987-03-23T00:00:00"/>
    <n v="39"/>
    <s v="Bekar"/>
    <n v="0"/>
    <s v="Önlisans"/>
    <x v="4"/>
    <s v="İK Müdürü"/>
    <s v="Manager"/>
    <x v="1"/>
    <s v="Genel Müdür"/>
    <x v="3"/>
    <d v="2016-11-24T00:00:00"/>
    <s v="-"/>
    <x v="2"/>
    <s v="-"/>
    <x v="1"/>
    <n v="113100"/>
    <n v="15800"/>
    <n v="4"/>
    <n v="30"/>
    <s v="-"/>
    <n v="0"/>
    <n v="7"/>
    <n v="0"/>
    <n v="0"/>
    <x v="3"/>
    <n v="30"/>
    <s v="LinkedIn"/>
    <m/>
    <n v="9"/>
    <s v="30-39"/>
    <s v="5-10 YIL"/>
    <x v="13"/>
  </r>
  <r>
    <s v="PER0595"/>
    <s v="Can Aslan"/>
    <x v="1"/>
    <d v="1998-07-02T00:00:00"/>
    <n v="28"/>
    <s v="Bekar"/>
    <n v="0"/>
    <s v="Doktora"/>
    <x v="2"/>
    <s v="Mali İşler Uzmanı"/>
    <s v="Senior"/>
    <x v="1"/>
    <s v="Finans &amp; Muhasebe Müdürü"/>
    <x v="3"/>
    <d v="2016-05-13T00:00:00"/>
    <s v="-"/>
    <x v="2"/>
    <s v="-"/>
    <x v="1"/>
    <n v="62800"/>
    <n v="0"/>
    <n v="0"/>
    <n v="28"/>
    <s v="01-Istirahat"/>
    <n v="2"/>
    <n v="0"/>
    <n v="0"/>
    <n v="0"/>
    <x v="4"/>
    <n v="6"/>
    <s v="LinkedIn"/>
    <m/>
    <n v="10"/>
    <s v="20-29"/>
    <s v="5-10 YIL"/>
    <x v="13"/>
  </r>
  <r>
    <s v="PER0596"/>
    <s v="Fatma Doğan"/>
    <x v="0"/>
    <d v="2002-10-09T00:00:00"/>
    <n v="24"/>
    <s v="Bekar"/>
    <n v="0"/>
    <s v="Lisans"/>
    <x v="0"/>
    <s v="Operatör"/>
    <s v="Junior"/>
    <x v="0"/>
    <s v="Üretim &amp; Operasyon Müdürü"/>
    <x v="0"/>
    <d v="2024-10-26T00:00:00"/>
    <s v="-"/>
    <x v="2"/>
    <s v="-"/>
    <x v="1"/>
    <n v="25400"/>
    <n v="0"/>
    <n v="29"/>
    <n v="30"/>
    <s v="-"/>
    <n v="0"/>
    <n v="14"/>
    <n v="0"/>
    <n v="0"/>
    <x v="3"/>
    <n v="20"/>
    <s v="LinkedIn"/>
    <m/>
    <n v="1"/>
    <s v="20-29"/>
    <s v="1-3 YIL"/>
    <x v="2"/>
  </r>
  <r>
    <s v="PER0597"/>
    <s v="Can Şahin"/>
    <x v="1"/>
    <d v="2002-01-21T00:00:00"/>
    <n v="24"/>
    <s v="Evli"/>
    <n v="1"/>
    <s v="Lisans"/>
    <x v="1"/>
    <s v="Satış Temsilcisi"/>
    <s v="Junior"/>
    <x v="1"/>
    <s v="Satış &amp; Pazarlama Müdürü"/>
    <x v="3"/>
    <d v="2024-06-30T00:00:00"/>
    <s v="-"/>
    <x v="2"/>
    <s v="-"/>
    <x v="1"/>
    <n v="35200"/>
    <n v="4300"/>
    <n v="1"/>
    <n v="30"/>
    <s v="-"/>
    <n v="0"/>
    <n v="0"/>
    <n v="0"/>
    <n v="0"/>
    <x v="3"/>
    <n v="15"/>
    <s v="Danışmanlık Firması"/>
    <m/>
    <n v="2"/>
    <s v="20-29"/>
    <s v="1-3 YIL"/>
    <x v="2"/>
  </r>
  <r>
    <s v="PER0598"/>
    <s v="Gamze Demir"/>
    <x v="0"/>
    <d v="1998-01-05T00:00:00"/>
    <n v="28"/>
    <s v="Bekar"/>
    <n v="0"/>
    <s v="Lisans"/>
    <x v="4"/>
    <s v="İK Uzman Yardımcısı"/>
    <s v="Junior"/>
    <x v="1"/>
    <s v="İnsan Kaynakları Müdürü"/>
    <x v="3"/>
    <d v="2022-09-05T00:00:00"/>
    <s v="-"/>
    <x v="2"/>
    <s v="-"/>
    <x v="1"/>
    <n v="36300"/>
    <n v="0"/>
    <n v="1"/>
    <n v="30"/>
    <s v="-"/>
    <n v="0"/>
    <n v="2"/>
    <n v="0"/>
    <n v="0"/>
    <x v="0"/>
    <n v="6"/>
    <s v="Kariyer.net"/>
    <m/>
    <n v="3"/>
    <s v="20-29"/>
    <s v="3-5 YIL"/>
    <x v="7"/>
  </r>
  <r>
    <s v="PER0599"/>
    <s v="Aslan Kılıç"/>
    <x v="0"/>
    <d v="2003-01-17T00:00:00"/>
    <n v="23"/>
    <s v="Evli"/>
    <n v="0"/>
    <s v="Lisans"/>
    <x v="0"/>
    <s v="Operatör"/>
    <s v="Junior"/>
    <x v="0"/>
    <s v="Üretim &amp; Operasyon Müdürü"/>
    <x v="0"/>
    <d v="2023-01-07T00:00:00"/>
    <s v="-"/>
    <x v="2"/>
    <s v="-"/>
    <x v="1"/>
    <n v="28600"/>
    <n v="0"/>
    <n v="14"/>
    <n v="30"/>
    <s v="-"/>
    <n v="0"/>
    <n v="10"/>
    <n v="0"/>
    <n v="0"/>
    <x v="1"/>
    <n v="2"/>
    <s v="Kariyer.net"/>
    <m/>
    <n v="3"/>
    <s v="20-29"/>
    <s v="3-5 YIL"/>
    <x v="9"/>
  </r>
  <r>
    <s v="PER0600"/>
    <s v="Ömer Aydın"/>
    <x v="1"/>
    <d v="2001-08-18T00:00:00"/>
    <n v="25"/>
    <s v="Evli"/>
    <n v="0"/>
    <s v="Lisans"/>
    <x v="0"/>
    <s v="Operatör"/>
    <s v="Junior"/>
    <x v="0"/>
    <s v="Üretim &amp; Operasyon Müdürü"/>
    <x v="0"/>
    <d v="2022-11-24T00:00:00"/>
    <s v="-"/>
    <x v="2"/>
    <s v="-"/>
    <x v="1"/>
    <n v="27900"/>
    <n v="0"/>
    <n v="13"/>
    <n v="27"/>
    <s v="01-Istirahat"/>
    <n v="3"/>
    <n v="8"/>
    <n v="0"/>
    <n v="0"/>
    <x v="1"/>
    <n v="13"/>
    <s v="LinkedIn"/>
    <m/>
    <n v="3"/>
    <s v="20-29"/>
    <s v="3-5 YIL"/>
    <x v="7"/>
  </r>
  <r>
    <s v="PER0601"/>
    <s v="Aslan Kaya"/>
    <x v="0"/>
    <d v="1995-02-14T00:00:00"/>
    <n v="31"/>
    <s v="Bekar"/>
    <n v="0"/>
    <s v="Lisans"/>
    <x v="1"/>
    <s v="Kıdemli Satış Uzmanı"/>
    <s v="Senior"/>
    <x v="1"/>
    <s v="Satış &amp; Pazarlama Müdürü"/>
    <x v="2"/>
    <d v="2023-01-22T00:00:00"/>
    <d v="2026-04-12T00:00:00"/>
    <x v="3"/>
    <n v="17"/>
    <x v="0"/>
    <n v="60800"/>
    <n v="10600"/>
    <n v="5"/>
    <n v="30"/>
    <s v="-"/>
    <n v="0"/>
    <n v="11"/>
    <n v="0"/>
    <n v="0"/>
    <x v="1"/>
    <n v="19"/>
    <s v="Kariyer.net"/>
    <m/>
    <n v="3"/>
    <s v="30-39"/>
    <s v="3-5 YIL"/>
    <x v="9"/>
  </r>
  <r>
    <s v="PER0602"/>
    <s v="Ahmet Özdemir"/>
    <x v="1"/>
    <d v="2003-04-16T00:00:00"/>
    <n v="23"/>
    <s v="Evli"/>
    <n v="0"/>
    <s v="Lisans"/>
    <x v="0"/>
    <s v="Operatör"/>
    <s v="Junior"/>
    <x v="0"/>
    <s v="Üretim &amp; Operasyon Müdürü"/>
    <x v="4"/>
    <d v="2022-07-14T00:00:00"/>
    <s v="-"/>
    <x v="2"/>
    <s v="-"/>
    <x v="1"/>
    <n v="25700"/>
    <n v="0"/>
    <n v="44"/>
    <n v="28"/>
    <s v="01-Istirahat"/>
    <n v="2"/>
    <n v="1"/>
    <n v="0"/>
    <n v="0"/>
    <x v="1"/>
    <n v="3"/>
    <s v="LinkedIn"/>
    <m/>
    <n v="3"/>
    <s v="20-29"/>
    <s v="3-5 YIL"/>
    <x v="7"/>
  </r>
  <r>
    <s v="PER0603"/>
    <s v="Mustafa Kaya"/>
    <x v="1"/>
    <d v="2001-05-02T00:00:00"/>
    <n v="25"/>
    <s v="Evli"/>
    <n v="1"/>
    <s v="Yüksek Lisans"/>
    <x v="1"/>
    <s v="Satış Temsilcisi"/>
    <s v="Junior"/>
    <x v="1"/>
    <s v="Satış &amp; Pazarlama Müdürü"/>
    <x v="0"/>
    <d v="2023-05-17T00:00:00"/>
    <d v="2026-01-09T00:00:00"/>
    <x v="3"/>
    <n v="17"/>
    <x v="0"/>
    <n v="31700"/>
    <n v="10000"/>
    <n v="5"/>
    <n v="30"/>
    <s v="-"/>
    <n v="0"/>
    <n v="14"/>
    <n v="0"/>
    <n v="0"/>
    <x v="3"/>
    <n v="25"/>
    <s v="Referans"/>
    <m/>
    <n v="3"/>
    <s v="20-29"/>
    <s v="3-5 YIL"/>
    <x v="9"/>
  </r>
  <r>
    <s v="PER0604"/>
    <s v="Merve Öztürk"/>
    <x v="0"/>
    <d v="1995-12-23T00:00:00"/>
    <n v="31"/>
    <s v="Bekar"/>
    <n v="0"/>
    <s v="Yüksek Lisans"/>
    <x v="0"/>
    <s v="Takım Lideri"/>
    <s v="Senior"/>
    <x v="0"/>
    <s v="Üretim &amp; Operasyon Müdürü"/>
    <x v="0"/>
    <d v="2021-06-16T00:00:00"/>
    <s v="-"/>
    <x v="2"/>
    <s v="-"/>
    <x v="1"/>
    <n v="39900"/>
    <n v="0"/>
    <n v="13"/>
    <n v="25"/>
    <s v="01-Istirahat"/>
    <n v="5"/>
    <n v="10"/>
    <n v="0"/>
    <n v="0"/>
    <x v="4"/>
    <n v="14"/>
    <s v="Kariyer.net"/>
    <m/>
    <n v="5"/>
    <s v="30-39"/>
    <s v="5-10 YIL"/>
    <x v="14"/>
  </r>
  <r>
    <s v="PER0605"/>
    <s v="Hüseyin Çelik"/>
    <x v="1"/>
    <d v="2000-05-25T00:00:00"/>
    <n v="26"/>
    <s v="Evli"/>
    <n v="0"/>
    <s v="Lisans"/>
    <x v="0"/>
    <s v="Operatör"/>
    <s v="Junior"/>
    <x v="0"/>
    <s v="Üretim &amp; Operasyon Müdürü"/>
    <x v="1"/>
    <d v="2026-01-11T00:00:00"/>
    <s v="-"/>
    <x v="2"/>
    <s v="-"/>
    <x v="1"/>
    <n v="26200"/>
    <n v="0"/>
    <n v="18"/>
    <n v="28"/>
    <s v="10-Devamsizlik"/>
    <n v="0"/>
    <n v="0"/>
    <n v="0"/>
    <n v="2"/>
    <x v="1"/>
    <n v="11"/>
    <s v="Kariyer.net"/>
    <m/>
    <n v="0"/>
    <s v="20-29"/>
    <s v="0-1 YIL"/>
    <x v="3"/>
  </r>
  <r>
    <s v="PER0606"/>
    <s v="Serkan Doğan"/>
    <x v="1"/>
    <d v="1979-05-17T00:00:00"/>
    <n v="47"/>
    <s v="Evli"/>
    <n v="2"/>
    <s v="Lisans"/>
    <x v="2"/>
    <s v="Mali İşler Uzmanı"/>
    <s v="Senior"/>
    <x v="1"/>
    <s v="Finans &amp; Muhasebe Müdürü"/>
    <x v="2"/>
    <d v="2018-01-09T00:00:00"/>
    <s v="-"/>
    <x v="2"/>
    <s v="-"/>
    <x v="1"/>
    <n v="62800"/>
    <n v="0"/>
    <n v="7"/>
    <n v="30"/>
    <s v="-"/>
    <n v="0"/>
    <n v="8"/>
    <n v="0"/>
    <n v="0"/>
    <x v="1"/>
    <n v="14"/>
    <s v="Kariyer.net"/>
    <m/>
    <n v="8"/>
    <s v="40-49"/>
    <s v="5-10 YIL"/>
    <x v="1"/>
  </r>
  <r>
    <s v="PER0607"/>
    <s v="Merve Demir"/>
    <x v="0"/>
    <d v="1997-08-14T00:00:00"/>
    <n v="29"/>
    <s v="Bekar"/>
    <n v="0"/>
    <s v="Yüksek Lisans"/>
    <x v="4"/>
    <s v="İK Uzman Yardımcısı"/>
    <s v="Junior"/>
    <x v="1"/>
    <s v="İnsan Kaynakları Müdürü"/>
    <x v="4"/>
    <d v="2026-02-01T00:00:00"/>
    <s v="-"/>
    <x v="2"/>
    <s v="-"/>
    <x v="1"/>
    <n v="32900"/>
    <n v="0"/>
    <n v="9"/>
    <n v="30"/>
    <s v="-"/>
    <n v="0"/>
    <n v="0"/>
    <n v="0"/>
    <n v="0"/>
    <x v="1"/>
    <n v="7"/>
    <s v="Kariyer.net"/>
    <m/>
    <n v="0"/>
    <s v="20-29"/>
    <s v="0-1 YIL"/>
    <x v="3"/>
  </r>
  <r>
    <s v="PER0608"/>
    <s v="Gökhan Yılmaz"/>
    <x v="1"/>
    <d v="1982-01-20T00:00:00"/>
    <n v="44"/>
    <s v="Evli"/>
    <n v="1"/>
    <s v="Lisans"/>
    <x v="4"/>
    <s v="İK Uzmanı"/>
    <s v="Senior"/>
    <x v="1"/>
    <s v="İnsan Kaynakları Müdürü"/>
    <x v="0"/>
    <d v="2023-01-11T00:00:00"/>
    <s v="-"/>
    <x v="2"/>
    <s v="-"/>
    <x v="1"/>
    <n v="51000"/>
    <n v="0"/>
    <n v="5"/>
    <n v="30"/>
    <s v="-"/>
    <n v="0"/>
    <n v="12"/>
    <n v="0"/>
    <n v="0"/>
    <x v="1"/>
    <n v="2"/>
    <s v="LinkedIn"/>
    <m/>
    <n v="3"/>
    <s v="40-49"/>
    <s v="3-5 YIL"/>
    <x v="9"/>
  </r>
  <r>
    <s v="PER0609"/>
    <s v="Ecem Kılıç"/>
    <x v="0"/>
    <d v="1999-09-22T00:00:00"/>
    <n v="27"/>
    <s v="Bekar"/>
    <n v="0"/>
    <s v="Yüksek Lisans"/>
    <x v="0"/>
    <s v="Operatör"/>
    <s v="Junior"/>
    <x v="0"/>
    <s v="Üretim &amp; Operasyon Müdürü"/>
    <x v="1"/>
    <d v="2024-05-31T00:00:00"/>
    <s v="-"/>
    <x v="2"/>
    <s v="-"/>
    <x v="1"/>
    <n v="24100"/>
    <n v="0"/>
    <n v="28"/>
    <n v="30"/>
    <s v="-"/>
    <n v="0"/>
    <n v="12"/>
    <n v="0"/>
    <n v="0"/>
    <x v="4"/>
    <n v="6"/>
    <s v="LinkedIn"/>
    <m/>
    <n v="2"/>
    <s v="20-29"/>
    <s v="1-3 YIL"/>
    <x v="2"/>
  </r>
  <r>
    <s v="PER0610"/>
    <s v="Volkan Aydın"/>
    <x v="1"/>
    <d v="1975-05-24T00:00:00"/>
    <n v="51"/>
    <s v="Evli"/>
    <n v="2"/>
    <s v="Lisans"/>
    <x v="1"/>
    <s v="Satış Müdürü"/>
    <s v="Manager"/>
    <x v="1"/>
    <s v="Genel Müdür"/>
    <x v="2"/>
    <d v="2008-07-16T00:00:00"/>
    <d v="2023-01-28T00:00:00"/>
    <x v="1"/>
    <n v="4"/>
    <x v="0"/>
    <n v="100800"/>
    <n v="11600"/>
    <n v="1"/>
    <n v="30"/>
    <s v="-"/>
    <n v="0"/>
    <n v="12"/>
    <n v="0"/>
    <n v="0"/>
    <x v="1"/>
    <n v="16"/>
    <s v="Referans"/>
    <m/>
    <n v="17"/>
    <s v="50+"/>
    <s v="10+"/>
    <x v="15"/>
  </r>
  <r>
    <s v="PER0611"/>
    <s v="Dilan Öztürk"/>
    <x v="0"/>
    <d v="1982-01-21T00:00:00"/>
    <n v="44"/>
    <s v="Bekar"/>
    <n v="0"/>
    <s v="Lisans"/>
    <x v="0"/>
    <s v="Takım Lideri"/>
    <s v="Senior"/>
    <x v="0"/>
    <s v="Üretim &amp; Operasyon Müdürü"/>
    <x v="0"/>
    <d v="2015-12-22T00:00:00"/>
    <s v="-"/>
    <x v="2"/>
    <s v="-"/>
    <x v="1"/>
    <n v="42700"/>
    <n v="0"/>
    <n v="13"/>
    <n v="30"/>
    <s v="-"/>
    <n v="0"/>
    <n v="5"/>
    <n v="0"/>
    <n v="0"/>
    <x v="3"/>
    <n v="32"/>
    <s v="LinkedIn"/>
    <m/>
    <n v="10"/>
    <s v="40-49"/>
    <s v="5-10 YIL"/>
    <x v="8"/>
  </r>
  <r>
    <s v="PER0612"/>
    <s v="Hüseyin Öztürk"/>
    <x v="1"/>
    <d v="1985-06-10T00:00:00"/>
    <n v="41"/>
    <s v="Bekar"/>
    <n v="0"/>
    <s v="Lisans"/>
    <x v="4"/>
    <s v="İK Uzmanı"/>
    <s v="Senior"/>
    <x v="1"/>
    <s v="İnsan Kaynakları Müdürü"/>
    <x v="0"/>
    <d v="2020-10-14T00:00:00"/>
    <s v="-"/>
    <x v="2"/>
    <s v="-"/>
    <x v="1"/>
    <n v="56600"/>
    <n v="0"/>
    <n v="3"/>
    <n v="30"/>
    <s v="-"/>
    <n v="0"/>
    <n v="2"/>
    <n v="0"/>
    <n v="0"/>
    <x v="1"/>
    <n v="12"/>
    <s v="Referans"/>
    <m/>
    <n v="5"/>
    <s v="40-49"/>
    <s v="5-10 YIL"/>
    <x v="5"/>
  </r>
  <r>
    <s v="PER0613"/>
    <s v="Dilan Kaya"/>
    <x v="0"/>
    <d v="1993-10-15T00:00:00"/>
    <n v="33"/>
    <s v="Bekar"/>
    <n v="0"/>
    <s v="Lisans"/>
    <x v="3"/>
    <s v="Kıdemli Yazılım Uzmanı"/>
    <s v="Senior"/>
    <x v="1"/>
    <s v="Bilgi Teknolojileri Müdürü"/>
    <x v="0"/>
    <d v="2016-10-23T00:00:00"/>
    <s v="-"/>
    <x v="2"/>
    <s v="-"/>
    <x v="1"/>
    <n v="72900"/>
    <n v="0"/>
    <n v="9"/>
    <n v="28"/>
    <s v="01-Istirahat"/>
    <n v="2"/>
    <n v="4"/>
    <n v="0"/>
    <n v="0"/>
    <x v="3"/>
    <n v="27"/>
    <s v="LinkedIn"/>
    <m/>
    <n v="9"/>
    <s v="30-39"/>
    <s v="5-10 YIL"/>
    <x v="13"/>
  </r>
  <r>
    <s v="PER0614"/>
    <s v="Can Demir"/>
    <x v="1"/>
    <d v="1998-09-19T00:00:00"/>
    <n v="28"/>
    <s v="Evli"/>
    <n v="0"/>
    <s v="Lisans"/>
    <x v="0"/>
    <s v="Operatör"/>
    <s v="Junior"/>
    <x v="0"/>
    <s v="Üretim &amp; Operasyon Müdürü"/>
    <x v="0"/>
    <d v="2024-07-14T00:00:00"/>
    <s v="-"/>
    <x v="2"/>
    <s v="-"/>
    <x v="1"/>
    <n v="24900"/>
    <n v="0"/>
    <n v="30"/>
    <n v="27"/>
    <s v="01-Istirahat"/>
    <n v="3"/>
    <n v="7"/>
    <n v="0"/>
    <n v="0"/>
    <x v="1"/>
    <n v="2"/>
    <s v="LinkedIn"/>
    <m/>
    <n v="1"/>
    <s v="20-29"/>
    <s v="1-3 YIL"/>
    <x v="2"/>
  </r>
  <r>
    <s v="PER0615"/>
    <s v="Oğuzhan Çetin"/>
    <x v="1"/>
    <d v="2001-07-05T00:00:00"/>
    <n v="25"/>
    <s v="Evli"/>
    <n v="2"/>
    <s v="Lisans"/>
    <x v="3"/>
    <s v="Yazılım Uzman Yardımcısı"/>
    <s v="Junior"/>
    <x v="1"/>
    <s v="Bilgi Teknolojileri Müdürü"/>
    <x v="0"/>
    <d v="2023-10-17T00:00:00"/>
    <s v="-"/>
    <x v="2"/>
    <s v="-"/>
    <x v="1"/>
    <n v="46100"/>
    <n v="0"/>
    <n v="7"/>
    <n v="30"/>
    <s v="-"/>
    <n v="0"/>
    <n v="4"/>
    <n v="0"/>
    <n v="0"/>
    <x v="1"/>
    <n v="13"/>
    <s v="LinkedIn"/>
    <m/>
    <n v="2"/>
    <s v="20-29"/>
    <s v="1-3 YIL"/>
    <x v="9"/>
  </r>
  <r>
    <s v="PER0616"/>
    <s v="Kübra Kaya"/>
    <x v="0"/>
    <d v="2000-02-22T00:00:00"/>
    <n v="26"/>
    <s v="Bekar"/>
    <n v="0"/>
    <s v="Lisans"/>
    <x v="4"/>
    <s v="İK Uzman Yardımcısı"/>
    <s v="Junior"/>
    <x v="1"/>
    <s v="İnsan Kaynakları Müdürü"/>
    <x v="2"/>
    <d v="2024-10-10T00:00:00"/>
    <d v="2025-11-19T00:00:00"/>
    <x v="4"/>
    <n v="3"/>
    <x v="0"/>
    <n v="37300"/>
    <n v="0"/>
    <n v="4"/>
    <n v="30"/>
    <s v="-"/>
    <n v="0"/>
    <n v="14"/>
    <n v="0"/>
    <n v="0"/>
    <x v="2"/>
    <n v="30"/>
    <s v="Kariyer.net"/>
    <m/>
    <n v="1"/>
    <s v="20-29"/>
    <s v="1-3 YIL"/>
    <x v="2"/>
  </r>
  <r>
    <s v="PER0617"/>
    <s v="Volkan Yılmaz"/>
    <x v="1"/>
    <d v="2002-04-03T00:00:00"/>
    <n v="24"/>
    <s v="Evli"/>
    <n v="1"/>
    <s v="Lisans"/>
    <x v="1"/>
    <s v="Satış Temsilcisi"/>
    <s v="Junior"/>
    <x v="1"/>
    <s v="Satış &amp; Pazarlama Müdürü"/>
    <x v="0"/>
    <d v="2023-07-23T00:00:00"/>
    <s v="-"/>
    <x v="2"/>
    <s v="-"/>
    <x v="1"/>
    <n v="30800"/>
    <n v="0"/>
    <n v="5"/>
    <n v="28"/>
    <s v="01-Istirahat"/>
    <n v="2"/>
    <n v="5"/>
    <n v="0"/>
    <n v="0"/>
    <x v="4"/>
    <n v="7"/>
    <s v="Referans"/>
    <m/>
    <n v="2"/>
    <s v="20-29"/>
    <s v="1-3 YIL"/>
    <x v="9"/>
  </r>
  <r>
    <s v="PER0618"/>
    <s v="Emre Kara"/>
    <x v="1"/>
    <d v="1993-07-16T00:00:00"/>
    <n v="33"/>
    <s v="Evli"/>
    <n v="1"/>
    <s v="Doktora"/>
    <x v="2"/>
    <s v="Mali İşler Uzmanı"/>
    <s v="Senior"/>
    <x v="1"/>
    <s v="Finans &amp; Muhasebe Müdürü"/>
    <x v="0"/>
    <d v="2018-01-07T00:00:00"/>
    <s v="-"/>
    <x v="2"/>
    <s v="-"/>
    <x v="1"/>
    <n v="65000"/>
    <n v="0"/>
    <n v="5"/>
    <n v="30"/>
    <s v="-"/>
    <n v="0"/>
    <n v="14"/>
    <n v="0"/>
    <n v="0"/>
    <x v="4"/>
    <n v="13"/>
    <s v="LinkedIn"/>
    <m/>
    <n v="8"/>
    <s v="30-39"/>
    <s v="5-10 YIL"/>
    <x v="1"/>
  </r>
  <r>
    <s v="PER0619"/>
    <s v="Kübra Kılıç"/>
    <x v="0"/>
    <d v="2004-03-09T00:00:00"/>
    <n v="22"/>
    <s v="Evli"/>
    <n v="0"/>
    <s v="Lisans"/>
    <x v="0"/>
    <s v="Operatör"/>
    <s v="Junior"/>
    <x v="0"/>
    <s v="Üretim &amp; Operasyon Müdürü"/>
    <x v="1"/>
    <d v="2023-11-18T00:00:00"/>
    <s v="-"/>
    <x v="2"/>
    <s v="-"/>
    <x v="1"/>
    <n v="26000"/>
    <n v="0"/>
    <n v="10"/>
    <n v="30"/>
    <s v="-"/>
    <n v="0"/>
    <n v="11"/>
    <n v="0"/>
    <n v="0"/>
    <x v="1"/>
    <n v="16"/>
    <s v="Kariyer.net"/>
    <m/>
    <n v="2"/>
    <s v="20-29"/>
    <s v="1-3 YIL"/>
    <x v="9"/>
  </r>
  <r>
    <s v="PER0620"/>
    <s v="İrem Kara"/>
    <x v="0"/>
    <d v="1971-03-27T00:00:00"/>
    <n v="55"/>
    <s v="Evli"/>
    <n v="1"/>
    <s v="Lisans"/>
    <x v="1"/>
    <s v="Satış Müdürü"/>
    <s v="Manager"/>
    <x v="1"/>
    <s v="Genel Müdür"/>
    <x v="0"/>
    <d v="2012-04-22T00:00:00"/>
    <s v="-"/>
    <x v="2"/>
    <s v="-"/>
    <x v="1"/>
    <n v="108100"/>
    <n v="30500"/>
    <n v="2"/>
    <n v="29"/>
    <s v="01-Istirahat"/>
    <n v="1"/>
    <n v="0"/>
    <n v="0"/>
    <n v="0"/>
    <x v="4"/>
    <n v="13"/>
    <s v="Kariyer.net"/>
    <m/>
    <n v="14"/>
    <s v="50+"/>
    <s v="10+"/>
    <x v="12"/>
  </r>
  <r>
    <s v="PER0621"/>
    <s v="Mustafa Kılıç"/>
    <x v="1"/>
    <d v="1984-02-17T00:00:00"/>
    <n v="42"/>
    <s v="Bekar"/>
    <n v="0"/>
    <s v="Lisans"/>
    <x v="0"/>
    <s v="Takım Lideri"/>
    <s v="Senior"/>
    <x v="0"/>
    <s v="Üretim &amp; Operasyon Müdürü"/>
    <x v="0"/>
    <d v="2014-07-23T00:00:00"/>
    <s v="-"/>
    <x v="2"/>
    <s v="-"/>
    <x v="1"/>
    <n v="38600"/>
    <n v="0"/>
    <n v="11"/>
    <n v="25"/>
    <s v="01-Istirahat"/>
    <n v="5"/>
    <n v="10"/>
    <n v="0"/>
    <n v="0"/>
    <x v="1"/>
    <n v="7"/>
    <s v="Kariyer.net"/>
    <m/>
    <n v="11"/>
    <s v="40-49"/>
    <s v="10+"/>
    <x v="6"/>
  </r>
  <r>
    <s v="PER0622"/>
    <s v="Mustafa Kaya"/>
    <x v="1"/>
    <d v="1999-10-24T00:00:00"/>
    <n v="27"/>
    <s v="Bekar"/>
    <n v="0"/>
    <s v="Lisans"/>
    <x v="0"/>
    <s v="Operatör"/>
    <s v="Junior"/>
    <x v="0"/>
    <s v="Üretim &amp; Operasyon Müdürü"/>
    <x v="0"/>
    <d v="2024-01-16T00:00:00"/>
    <s v="-"/>
    <x v="2"/>
    <s v="-"/>
    <x v="1"/>
    <n v="26700"/>
    <n v="0"/>
    <n v="35"/>
    <n v="29"/>
    <s v="01-Istirahat"/>
    <n v="1"/>
    <n v="8"/>
    <n v="0"/>
    <n v="0"/>
    <x v="1"/>
    <n v="17"/>
    <s v="LinkedIn"/>
    <m/>
    <n v="2"/>
    <s v="20-29"/>
    <s v="1-3 YIL"/>
    <x v="2"/>
  </r>
  <r>
    <s v="PER0623"/>
    <s v="Ali Doğan"/>
    <x v="1"/>
    <d v="1999-02-23T00:00:00"/>
    <n v="27"/>
    <s v="Evli"/>
    <n v="1"/>
    <s v="Önlisans"/>
    <x v="4"/>
    <s v="İK Uzman Yardımcısı"/>
    <s v="Junior"/>
    <x v="1"/>
    <s v="İnsan Kaynakları Müdürü"/>
    <x v="0"/>
    <d v="2026-04-18T00:00:00"/>
    <s v="-"/>
    <x v="2"/>
    <s v="-"/>
    <x v="1"/>
    <n v="34800"/>
    <n v="3900"/>
    <n v="8"/>
    <n v="28"/>
    <s v="01-Istirahat"/>
    <n v="2"/>
    <n v="0"/>
    <n v="0"/>
    <n v="0"/>
    <x v="1"/>
    <n v="6"/>
    <s v="LinkedIn"/>
    <m/>
    <n v="0"/>
    <s v="20-29"/>
    <s v="0-1 YIL"/>
    <x v="3"/>
  </r>
  <r>
    <s v="PER0624"/>
    <s v="Selin Yıldız"/>
    <x v="0"/>
    <d v="2000-12-13T00:00:00"/>
    <n v="26"/>
    <s v="Evli"/>
    <n v="1"/>
    <s v="Önlisans"/>
    <x v="0"/>
    <s v="Operatör"/>
    <s v="Junior"/>
    <x v="0"/>
    <s v="Üretim &amp; Operasyon Müdürü"/>
    <x v="4"/>
    <d v="2025-03-16T00:00:00"/>
    <s v="-"/>
    <x v="2"/>
    <s v="-"/>
    <x v="1"/>
    <n v="26800"/>
    <n v="0"/>
    <n v="15"/>
    <n v="28"/>
    <s v="01-Istirahat"/>
    <n v="2"/>
    <n v="11"/>
    <n v="0"/>
    <n v="0"/>
    <x v="4"/>
    <n v="16"/>
    <s v="Danışmanlık Firması"/>
    <m/>
    <n v="1"/>
    <s v="20-29"/>
    <s v="1-3 YIL"/>
    <x v="0"/>
  </r>
  <r>
    <s v="PER0625"/>
    <s v="Mustafa Yıldız"/>
    <x v="1"/>
    <d v="1999-07-23T00:00:00"/>
    <n v="27"/>
    <s v="Bekar"/>
    <n v="0"/>
    <s v="Önlisans"/>
    <x v="4"/>
    <s v="İK Uzman Yardımcısı"/>
    <s v="Junior"/>
    <x v="1"/>
    <s v="İnsan Kaynakları Müdürü"/>
    <x v="0"/>
    <d v="2025-02-27T00:00:00"/>
    <s v="-"/>
    <x v="2"/>
    <s v="-"/>
    <x v="1"/>
    <n v="37800"/>
    <n v="5200"/>
    <n v="8"/>
    <n v="27"/>
    <s v="01-Istirahat"/>
    <n v="3"/>
    <n v="11"/>
    <n v="0"/>
    <n v="0"/>
    <x v="1"/>
    <n v="7"/>
    <s v="LinkedIn"/>
    <m/>
    <n v="1"/>
    <s v="20-29"/>
    <s v="1-3 YIL"/>
    <x v="0"/>
  </r>
  <r>
    <s v="PER0626"/>
    <s v="Mustafa Demir"/>
    <x v="1"/>
    <d v="1984-07-20T00:00:00"/>
    <n v="42"/>
    <s v="Evli"/>
    <n v="3"/>
    <s v="Lisans"/>
    <x v="0"/>
    <s v="Takım Lideri"/>
    <s v="Senior"/>
    <x v="0"/>
    <s v="Üretim &amp; Operasyon Müdürü"/>
    <x v="0"/>
    <d v="2017-11-19T00:00:00"/>
    <s v="-"/>
    <x v="2"/>
    <s v="-"/>
    <x v="1"/>
    <n v="41700"/>
    <n v="0"/>
    <n v="44"/>
    <n v="27"/>
    <s v="01-Istirahat"/>
    <n v="3"/>
    <n v="13"/>
    <n v="0"/>
    <n v="0"/>
    <x v="3"/>
    <n v="12"/>
    <s v="Şirket Web Sitesi"/>
    <m/>
    <n v="8"/>
    <s v="40-49"/>
    <s v="5-10 YIL"/>
    <x v="4"/>
  </r>
  <r>
    <s v="PER0627"/>
    <s v="Mustafa Çelik"/>
    <x v="1"/>
    <d v="1983-11-25T00:00:00"/>
    <n v="43"/>
    <s v="Evli"/>
    <n v="0"/>
    <s v="Doktora"/>
    <x v="2"/>
    <s v="Mali İşler Uzmanı"/>
    <s v="Senior"/>
    <x v="1"/>
    <s v="Finans &amp; Muhasebe Müdürü"/>
    <x v="0"/>
    <d v="2020-10-10T00:00:00"/>
    <d v="2023-07-05T00:00:00"/>
    <x v="1"/>
    <n v="4"/>
    <x v="0"/>
    <n v="62500"/>
    <n v="0"/>
    <n v="4"/>
    <n v="30"/>
    <s v="-"/>
    <n v="0"/>
    <n v="6"/>
    <n v="0"/>
    <n v="0"/>
    <x v="1"/>
    <n v="6"/>
    <s v="Kariyer.net"/>
    <m/>
    <n v="5"/>
    <s v="40-49"/>
    <s v="5-10 YIL"/>
    <x v="5"/>
  </r>
  <r>
    <s v="PER0628"/>
    <s v="Serkan Öztürk"/>
    <x v="1"/>
    <d v="2003-01-23T00:00:00"/>
    <n v="23"/>
    <s v="Bekar"/>
    <n v="0"/>
    <s v="Lisans"/>
    <x v="3"/>
    <s v="Yazılım Uzman Yardımcısı"/>
    <s v="Junior"/>
    <x v="1"/>
    <s v="Bilgi Teknolojileri Müdürü"/>
    <x v="0"/>
    <d v="2024-03-19T00:00:00"/>
    <s v="-"/>
    <x v="2"/>
    <s v="-"/>
    <x v="1"/>
    <n v="47000"/>
    <n v="0"/>
    <n v="6"/>
    <n v="29"/>
    <s v="01-Istirahat"/>
    <n v="1"/>
    <n v="3"/>
    <n v="0"/>
    <n v="0"/>
    <x v="1"/>
    <n v="2"/>
    <s v="Kariyer.net"/>
    <m/>
    <n v="2"/>
    <s v="20-29"/>
    <s v="1-3 YIL"/>
    <x v="2"/>
  </r>
  <r>
    <s v="PER0629"/>
    <s v="Furkan Çetin"/>
    <x v="1"/>
    <d v="2003-05-26T00:00:00"/>
    <n v="23"/>
    <s v="Bekar"/>
    <n v="0"/>
    <s v="Lisans"/>
    <x v="0"/>
    <s v="Operatör"/>
    <s v="Junior"/>
    <x v="0"/>
    <s v="Üretim &amp; Operasyon Müdürü"/>
    <x v="2"/>
    <d v="2023-04-02T00:00:00"/>
    <s v="-"/>
    <x v="2"/>
    <s v="-"/>
    <x v="1"/>
    <n v="28700"/>
    <n v="0"/>
    <n v="31"/>
    <n v="30"/>
    <s v="-"/>
    <n v="0"/>
    <n v="14"/>
    <n v="0"/>
    <n v="0"/>
    <x v="1"/>
    <n v="10"/>
    <s v="Kariyer.net"/>
    <m/>
    <n v="3"/>
    <s v="20-29"/>
    <s v="3-5 YIL"/>
    <x v="9"/>
  </r>
  <r>
    <s v="PER0630"/>
    <s v="Selin Çelik"/>
    <x v="0"/>
    <d v="1998-08-21T00:00:00"/>
    <n v="28"/>
    <s v="Bekar"/>
    <n v="0"/>
    <s v="Doktora"/>
    <x v="1"/>
    <s v="Satış Temsilcisi"/>
    <s v="Junior"/>
    <x v="1"/>
    <s v="Satış &amp; Pazarlama Müdürü"/>
    <x v="0"/>
    <d v="2022-10-04T00:00:00"/>
    <s v="-"/>
    <x v="2"/>
    <s v="-"/>
    <x v="1"/>
    <n v="33900"/>
    <n v="11400"/>
    <n v="1"/>
    <n v="30"/>
    <s v="-"/>
    <n v="0"/>
    <n v="7"/>
    <n v="0"/>
    <n v="0"/>
    <x v="3"/>
    <n v="23"/>
    <s v="LinkedIn"/>
    <m/>
    <n v="3"/>
    <s v="20-29"/>
    <s v="3-5 YIL"/>
    <x v="7"/>
  </r>
  <r>
    <s v="PER0631"/>
    <s v="Hasan Kara"/>
    <x v="1"/>
    <d v="1985-11-03T00:00:00"/>
    <n v="41"/>
    <s v="Evli"/>
    <n v="2"/>
    <s v="Lisans"/>
    <x v="1"/>
    <s v="Kıdemli Satış Uzmanı"/>
    <s v="Senior"/>
    <x v="1"/>
    <s v="Satış &amp; Pazarlama Müdürü"/>
    <x v="0"/>
    <d v="2019-12-11T00:00:00"/>
    <s v="-"/>
    <x v="2"/>
    <s v="-"/>
    <x v="1"/>
    <n v="60600"/>
    <n v="9300"/>
    <n v="4"/>
    <n v="30"/>
    <s v="-"/>
    <n v="0"/>
    <n v="1"/>
    <n v="0"/>
    <n v="0"/>
    <x v="3"/>
    <n v="32"/>
    <s v="Referans"/>
    <m/>
    <n v="6"/>
    <s v="40-49"/>
    <s v="5-10 YIL"/>
    <x v="11"/>
  </r>
  <r>
    <s v="PER0632"/>
    <s v="Oğuzhan Yılmaz"/>
    <x v="1"/>
    <d v="2002-08-01T00:00:00"/>
    <n v="24"/>
    <s v="Evli"/>
    <n v="3"/>
    <s v="Yüksek Lisans"/>
    <x v="0"/>
    <s v="Operatör"/>
    <s v="Junior"/>
    <x v="0"/>
    <s v="Üretim &amp; Operasyon Müdürü"/>
    <x v="0"/>
    <d v="2025-01-14T00:00:00"/>
    <s v="-"/>
    <x v="2"/>
    <s v="-"/>
    <x v="1"/>
    <n v="25400"/>
    <n v="0"/>
    <n v="19"/>
    <n v="25"/>
    <s v="01-Istirahat"/>
    <n v="5"/>
    <n v="14"/>
    <n v="0"/>
    <n v="0"/>
    <x v="1"/>
    <n v="16"/>
    <s v="Kariyer.net"/>
    <m/>
    <n v="1"/>
    <s v="20-29"/>
    <s v="1-3 YIL"/>
    <x v="0"/>
  </r>
  <r>
    <s v="PER0633"/>
    <s v="Fatma Çelik"/>
    <x v="0"/>
    <d v="1999-02-05T00:00:00"/>
    <n v="27"/>
    <s v="Evli"/>
    <n v="1"/>
    <s v="Lisans"/>
    <x v="1"/>
    <s v="Satış Temsilcisi"/>
    <s v="Junior"/>
    <x v="1"/>
    <s v="Satış &amp; Pazarlama Müdürü"/>
    <x v="0"/>
    <d v="2024-10-19T00:00:00"/>
    <d v="2026-02-14T00:00:00"/>
    <x v="1"/>
    <n v="4"/>
    <x v="0"/>
    <n v="35600"/>
    <n v="5700"/>
    <n v="4"/>
    <n v="30"/>
    <s v="-"/>
    <n v="0"/>
    <n v="13"/>
    <n v="0"/>
    <n v="0"/>
    <x v="1"/>
    <n v="3"/>
    <s v="Şirket Web Sitesi"/>
    <m/>
    <n v="1"/>
    <s v="20-29"/>
    <s v="1-3 YIL"/>
    <x v="2"/>
  </r>
  <r>
    <s v="PER0634"/>
    <s v="Emre Yılmaz"/>
    <x v="1"/>
    <d v="1999-11-10T00:00:00"/>
    <n v="27"/>
    <s v="Bekar"/>
    <n v="0"/>
    <s v="Yüksek Lisans"/>
    <x v="0"/>
    <s v="Operatör"/>
    <s v="Junior"/>
    <x v="0"/>
    <s v="Üretim &amp; Operasyon Müdürü"/>
    <x v="0"/>
    <d v="2024-09-26T00:00:00"/>
    <s v="-"/>
    <x v="2"/>
    <s v="-"/>
    <x v="1"/>
    <n v="27000"/>
    <n v="0"/>
    <n v="16"/>
    <n v="30"/>
    <s v="-"/>
    <n v="0"/>
    <n v="12"/>
    <n v="0"/>
    <n v="0"/>
    <x v="3"/>
    <n v="13"/>
    <s v="Kariyer.net"/>
    <m/>
    <n v="1"/>
    <s v="20-29"/>
    <s v="1-3 YIL"/>
    <x v="2"/>
  </r>
  <r>
    <s v="PER0635"/>
    <s v="Hasan Öztürk"/>
    <x v="1"/>
    <d v="1980-05-12T00:00:00"/>
    <n v="46"/>
    <s v="Evli"/>
    <n v="1"/>
    <s v="Yüksek Lisans"/>
    <x v="1"/>
    <s v="Kıdemli Satış Uzmanı"/>
    <s v="Senior"/>
    <x v="1"/>
    <s v="Satış &amp; Pazarlama Müdürü"/>
    <x v="0"/>
    <d v="2016-11-07T00:00:00"/>
    <s v="-"/>
    <x v="2"/>
    <s v="-"/>
    <x v="1"/>
    <n v="52800"/>
    <n v="0"/>
    <n v="4"/>
    <n v="30"/>
    <s v="-"/>
    <n v="0"/>
    <n v="0"/>
    <n v="0"/>
    <n v="0"/>
    <x v="3"/>
    <n v="17"/>
    <s v="Danışmanlık Firması"/>
    <m/>
    <n v="9"/>
    <s v="40-49"/>
    <s v="5-10 YIL"/>
    <x v="13"/>
  </r>
  <r>
    <s v="PER0636"/>
    <s v="Serkan Özdemir"/>
    <x v="1"/>
    <d v="1975-03-05T00:00:00"/>
    <n v="51"/>
    <s v="Evli"/>
    <n v="1"/>
    <s v="Yüksek Lisans"/>
    <x v="0"/>
    <s v="Üretim Müdürü"/>
    <s v="Manager"/>
    <x v="1"/>
    <s v="Genel Müdür"/>
    <x v="0"/>
    <d v="2018-11-05T00:00:00"/>
    <s v="-"/>
    <x v="2"/>
    <s v="-"/>
    <x v="1"/>
    <n v="99900"/>
    <n v="0"/>
    <n v="5"/>
    <n v="30"/>
    <s v="-"/>
    <n v="0"/>
    <n v="14"/>
    <n v="0"/>
    <n v="0"/>
    <x v="3"/>
    <n v="31"/>
    <s v="LinkedIn"/>
    <m/>
    <n v="7"/>
    <s v="50+"/>
    <s v="5-10 YIL"/>
    <x v="1"/>
  </r>
  <r>
    <s v="PER0637"/>
    <s v="Hasan Aslan"/>
    <x v="1"/>
    <d v="1979-03-06T00:00:00"/>
    <n v="47"/>
    <s v="Evli"/>
    <n v="0"/>
    <s v="Yüksek Lisans"/>
    <x v="3"/>
    <s v="Kıdemli Yazılım Uzmanı"/>
    <s v="Senior"/>
    <x v="1"/>
    <s v="Bilgi Teknolojileri Müdürü"/>
    <x v="2"/>
    <d v="2014-09-04T00:00:00"/>
    <s v="-"/>
    <x v="2"/>
    <s v="-"/>
    <x v="1"/>
    <n v="77700"/>
    <n v="0"/>
    <n v="9"/>
    <n v="30"/>
    <s v="-"/>
    <n v="0"/>
    <n v="0"/>
    <n v="0"/>
    <n v="0"/>
    <x v="1"/>
    <n v="4"/>
    <s v="LinkedIn"/>
    <m/>
    <n v="11"/>
    <s v="40-49"/>
    <s v="10+"/>
    <x v="6"/>
  </r>
  <r>
    <s v="PER0638"/>
    <s v="Aslan Yıldız"/>
    <x v="0"/>
    <d v="1997-01-04T00:00:00"/>
    <n v="29"/>
    <s v="Bekar"/>
    <n v="0"/>
    <s v="Önlisans"/>
    <x v="0"/>
    <s v="Operatör"/>
    <s v="Junior"/>
    <x v="0"/>
    <s v="Üretim &amp; Operasyon Müdürü"/>
    <x v="4"/>
    <d v="2025-07-30T00:00:00"/>
    <s v="-"/>
    <x v="2"/>
    <s v="-"/>
    <x v="1"/>
    <n v="26400"/>
    <n v="0"/>
    <n v="26"/>
    <n v="30"/>
    <s v="-"/>
    <n v="0"/>
    <n v="0"/>
    <n v="0"/>
    <n v="0"/>
    <x v="1"/>
    <n v="17"/>
    <s v="Kariyer.net"/>
    <m/>
    <n v="0"/>
    <s v="20-29"/>
    <s v="0-1 YIL"/>
    <x v="0"/>
  </r>
  <r>
    <s v="PER0639"/>
    <s v="Mustafa Aydın"/>
    <x v="1"/>
    <d v="1999-08-20T00:00:00"/>
    <n v="27"/>
    <s v="Evli"/>
    <n v="1"/>
    <s v="Lisans"/>
    <x v="0"/>
    <s v="Operatör"/>
    <s v="Junior"/>
    <x v="0"/>
    <s v="Üretim &amp; Operasyon Müdürü"/>
    <x v="0"/>
    <d v="2024-09-09T00:00:00"/>
    <s v="-"/>
    <x v="2"/>
    <s v="-"/>
    <x v="1"/>
    <n v="25400"/>
    <n v="0"/>
    <n v="17"/>
    <n v="29"/>
    <s v="10-Devamsizlik"/>
    <n v="0"/>
    <n v="5"/>
    <n v="0"/>
    <n v="1"/>
    <x v="0"/>
    <n v="11"/>
    <s v="Danışmanlık Firması"/>
    <m/>
    <n v="1"/>
    <s v="20-29"/>
    <s v="1-3 YIL"/>
    <x v="2"/>
  </r>
  <r>
    <s v="PER0640"/>
    <s v="Gökhan Kaya"/>
    <x v="1"/>
    <d v="2001-06-27T00:00:00"/>
    <n v="25"/>
    <s v="Evli"/>
    <n v="0"/>
    <s v="Lisans"/>
    <x v="0"/>
    <s v="Operatör"/>
    <s v="Junior"/>
    <x v="0"/>
    <s v="Üretim &amp; Operasyon Müdürü"/>
    <x v="4"/>
    <d v="2023-02-01T00:00:00"/>
    <s v="-"/>
    <x v="2"/>
    <s v="-"/>
    <x v="1"/>
    <n v="24900"/>
    <n v="0"/>
    <n v="23"/>
    <n v="28"/>
    <s v="01-Istirahat"/>
    <n v="2"/>
    <n v="12"/>
    <n v="0"/>
    <n v="0"/>
    <x v="1"/>
    <n v="3"/>
    <s v="Kariyer.net"/>
    <m/>
    <n v="3"/>
    <s v="20-29"/>
    <s v="3-5 YIL"/>
    <x v="9"/>
  </r>
  <r>
    <s v="PER0641"/>
    <s v="Fatma Arslan"/>
    <x v="0"/>
    <d v="2003-09-24T00:00:00"/>
    <n v="23"/>
    <s v="Evli"/>
    <n v="1"/>
    <s v="Yüksek Lisans"/>
    <x v="4"/>
    <s v="İK Uzman Yardımcısı"/>
    <s v="Junior"/>
    <x v="1"/>
    <s v="İnsan Kaynakları Müdürü"/>
    <x v="0"/>
    <d v="2025-08-11T00:00:00"/>
    <s v="-"/>
    <x v="2"/>
    <s v="-"/>
    <x v="1"/>
    <n v="35400"/>
    <n v="0"/>
    <n v="1"/>
    <n v="30"/>
    <s v="-"/>
    <n v="0"/>
    <n v="0"/>
    <n v="0"/>
    <n v="0"/>
    <x v="4"/>
    <n v="17"/>
    <s v="LinkedIn"/>
    <m/>
    <n v="0"/>
    <s v="20-29"/>
    <s v="0-1 YIL"/>
    <x v="0"/>
  </r>
  <r>
    <s v="PER0642"/>
    <s v="Gamze Aydın"/>
    <x v="0"/>
    <d v="2002-10-26T00:00:00"/>
    <n v="24"/>
    <s v="Evli"/>
    <n v="0"/>
    <s v="Lisans"/>
    <x v="1"/>
    <s v="Satış Temsilcisi"/>
    <s v="Junior"/>
    <x v="1"/>
    <s v="Satış &amp; Pazarlama Müdürü"/>
    <x v="4"/>
    <d v="2025-10-16T00:00:00"/>
    <s v="-"/>
    <x v="2"/>
    <s v="-"/>
    <x v="1"/>
    <n v="32000"/>
    <n v="8400"/>
    <n v="4"/>
    <n v="30"/>
    <s v="-"/>
    <n v="0"/>
    <n v="0"/>
    <n v="0"/>
    <n v="0"/>
    <x v="3"/>
    <n v="24"/>
    <s v="Şirket Web Sitesi"/>
    <m/>
    <n v="0"/>
    <s v="20-29"/>
    <s v="0-1 YIL"/>
    <x v="0"/>
  </r>
  <r>
    <s v="PER0643"/>
    <s v="Volkan Özdemir"/>
    <x v="1"/>
    <d v="2003-03-13T00:00:00"/>
    <n v="23"/>
    <s v="Evli"/>
    <n v="1"/>
    <s v="Yüksek Lisans"/>
    <x v="0"/>
    <s v="Operatör"/>
    <s v="Junior"/>
    <x v="0"/>
    <s v="Üretim &amp; Operasyon Müdürü"/>
    <x v="0"/>
    <d v="2023-05-14T00:00:00"/>
    <s v="-"/>
    <x v="2"/>
    <s v="-"/>
    <x v="1"/>
    <n v="24700"/>
    <n v="0"/>
    <n v="27"/>
    <n v="29"/>
    <s v="01-Istirahat"/>
    <n v="1"/>
    <n v="10"/>
    <n v="0"/>
    <n v="0"/>
    <x v="1"/>
    <n v="16"/>
    <s v="Kariyer.net"/>
    <m/>
    <n v="3"/>
    <s v="20-29"/>
    <s v="3-5 YIL"/>
    <x v="9"/>
  </r>
  <r>
    <s v="PER0644"/>
    <s v="Fatma Kaya"/>
    <x v="0"/>
    <d v="2003-04-13T00:00:00"/>
    <n v="23"/>
    <s v="Bekar"/>
    <n v="0"/>
    <s v="Lisans"/>
    <x v="0"/>
    <s v="Operatör"/>
    <s v="Junior"/>
    <x v="0"/>
    <s v="Üretim &amp; Operasyon Müdürü"/>
    <x v="0"/>
    <d v="2023-05-09T00:00:00"/>
    <s v="-"/>
    <x v="2"/>
    <s v="-"/>
    <x v="1"/>
    <n v="28000"/>
    <n v="0"/>
    <n v="38"/>
    <n v="30"/>
    <s v="-"/>
    <n v="0"/>
    <n v="8"/>
    <n v="0"/>
    <n v="0"/>
    <x v="1"/>
    <n v="16"/>
    <s v="Referans"/>
    <m/>
    <n v="3"/>
    <s v="20-29"/>
    <s v="3-5 YIL"/>
    <x v="9"/>
  </r>
  <r>
    <s v="PER0645"/>
    <s v="Büşra Aslan"/>
    <x v="0"/>
    <d v="2002-01-27T00:00:00"/>
    <n v="24"/>
    <s v="Bekar"/>
    <n v="0"/>
    <s v="Lisans"/>
    <x v="1"/>
    <s v="Satış Temsilcisi"/>
    <s v="Junior"/>
    <x v="1"/>
    <s v="Satış &amp; Pazarlama Müdürü"/>
    <x v="0"/>
    <d v="2023-01-12T00:00:00"/>
    <s v="-"/>
    <x v="2"/>
    <s v="-"/>
    <x v="1"/>
    <n v="31600"/>
    <n v="0"/>
    <n v="1"/>
    <n v="30"/>
    <s v="-"/>
    <n v="0"/>
    <n v="0"/>
    <n v="0"/>
    <n v="0"/>
    <x v="3"/>
    <n v="23"/>
    <s v="LinkedIn"/>
    <m/>
    <n v="3"/>
    <s v="20-29"/>
    <s v="3-5 YIL"/>
    <x v="9"/>
  </r>
  <r>
    <s v="PER0646"/>
    <s v="Mehmet Aydın"/>
    <x v="1"/>
    <d v="2003-09-02T00:00:00"/>
    <n v="23"/>
    <s v="Evli"/>
    <n v="0"/>
    <s v="Doktora"/>
    <x v="0"/>
    <s v="Operatör"/>
    <s v="Junior"/>
    <x v="0"/>
    <s v="Üretim &amp; Operasyon Müdürü"/>
    <x v="2"/>
    <d v="2022-08-03T00:00:00"/>
    <s v="-"/>
    <x v="2"/>
    <s v="-"/>
    <x v="1"/>
    <n v="28200"/>
    <n v="0"/>
    <n v="42"/>
    <n v="25"/>
    <s v="01-Istirahat"/>
    <n v="5"/>
    <n v="3"/>
    <n v="0"/>
    <n v="0"/>
    <x v="4"/>
    <n v="7"/>
    <s v="LinkedIn"/>
    <m/>
    <n v="3"/>
    <s v="20-29"/>
    <s v="3-5 YIL"/>
    <x v="7"/>
  </r>
  <r>
    <s v="PER0647"/>
    <s v="Serkan Doğan"/>
    <x v="1"/>
    <d v="1995-05-10T00:00:00"/>
    <n v="31"/>
    <s v="Bekar"/>
    <n v="0"/>
    <s v="Lisans"/>
    <x v="0"/>
    <s v="Takım Lideri"/>
    <s v="Senior"/>
    <x v="0"/>
    <s v="Üretim &amp; Operasyon Müdürü"/>
    <x v="0"/>
    <d v="2022-01-11T00:00:00"/>
    <s v="-"/>
    <x v="2"/>
    <s v="-"/>
    <x v="1"/>
    <n v="39600"/>
    <n v="0"/>
    <n v="19"/>
    <n v="29"/>
    <s v="02-Ucretsiz Izin"/>
    <n v="0"/>
    <n v="12"/>
    <n v="1"/>
    <n v="0"/>
    <x v="1"/>
    <n v="15"/>
    <s v="Danışmanlık Firması"/>
    <m/>
    <n v="4"/>
    <s v="30-39"/>
    <s v="3-5 YIL"/>
    <x v="7"/>
  </r>
  <r>
    <s v="PER0648"/>
    <s v="Elif Yıldız"/>
    <x v="0"/>
    <d v="1986-08-07T00:00:00"/>
    <n v="40"/>
    <s v="Bekar"/>
    <n v="0"/>
    <s v="Lisans"/>
    <x v="1"/>
    <s v="Satış Müdürü"/>
    <s v="Manager"/>
    <x v="1"/>
    <s v="Genel Müdür"/>
    <x v="0"/>
    <d v="2013-06-25T00:00:00"/>
    <s v="-"/>
    <x v="2"/>
    <s v="-"/>
    <x v="1"/>
    <n v="109300"/>
    <n v="32800"/>
    <n v="3"/>
    <n v="30"/>
    <s v="-"/>
    <n v="0"/>
    <n v="12"/>
    <n v="0"/>
    <n v="0"/>
    <x v="1"/>
    <n v="8"/>
    <s v="Kariyer.net"/>
    <m/>
    <n v="13"/>
    <s v="40-49"/>
    <s v="10+"/>
    <x v="10"/>
  </r>
  <r>
    <s v="PER0649"/>
    <s v="Ömer Çelik"/>
    <x v="1"/>
    <d v="1997-02-02T00:00:00"/>
    <n v="29"/>
    <s v="Evli"/>
    <n v="1"/>
    <s v="Önlisans"/>
    <x v="1"/>
    <s v="Satış Temsilcisi"/>
    <s v="Junior"/>
    <x v="1"/>
    <s v="Satış &amp; Pazarlama Müdürü"/>
    <x v="0"/>
    <d v="2026-01-12T00:00:00"/>
    <s v="-"/>
    <x v="2"/>
    <s v="-"/>
    <x v="1"/>
    <n v="33200"/>
    <n v="4600"/>
    <n v="3"/>
    <n v="30"/>
    <s v="-"/>
    <n v="0"/>
    <n v="0"/>
    <n v="0"/>
    <n v="0"/>
    <x v="1"/>
    <n v="5"/>
    <s v="Kariyer.net"/>
    <m/>
    <n v="0"/>
    <s v="20-29"/>
    <s v="0-1 YIL"/>
    <x v="3"/>
  </r>
  <r>
    <s v="PER0650"/>
    <s v="Dilan Aydın"/>
    <x v="0"/>
    <d v="1998-03-22T00:00:00"/>
    <n v="28"/>
    <s v="Evli"/>
    <n v="3"/>
    <s v="Yüksek Lisans"/>
    <x v="3"/>
    <s v="Yazılım Uzman Yardımcısı"/>
    <s v="Junior"/>
    <x v="1"/>
    <s v="Bilgi Teknolojileri Müdürü"/>
    <x v="2"/>
    <d v="2024-11-21T00:00:00"/>
    <s v="-"/>
    <x v="2"/>
    <s v="-"/>
    <x v="1"/>
    <n v="50500"/>
    <n v="0"/>
    <n v="4"/>
    <n v="28"/>
    <s v="01-Istirahat"/>
    <n v="2"/>
    <n v="0"/>
    <n v="0"/>
    <n v="0"/>
    <x v="3"/>
    <n v="29"/>
    <s v="Referans"/>
    <m/>
    <n v="1"/>
    <s v="20-29"/>
    <s v="1-3 YIL"/>
    <x v="2"/>
  </r>
  <r>
    <s v="PER0651"/>
    <s v="Ali Kaya"/>
    <x v="1"/>
    <d v="1999-12-22T00:00:00"/>
    <n v="27"/>
    <s v="Evli"/>
    <n v="1"/>
    <s v="Önlisans"/>
    <x v="0"/>
    <s v="Operatör"/>
    <s v="Junior"/>
    <x v="0"/>
    <s v="Üretim &amp; Operasyon Müdürü"/>
    <x v="2"/>
    <d v="2024-04-18T00:00:00"/>
    <s v="-"/>
    <x v="2"/>
    <s v="-"/>
    <x v="1"/>
    <n v="28000"/>
    <n v="0"/>
    <n v="36"/>
    <n v="29"/>
    <s v="01-Istirahat"/>
    <n v="1"/>
    <n v="13"/>
    <n v="0"/>
    <n v="0"/>
    <x v="4"/>
    <n v="9"/>
    <s v="Şirket Web Sitesi"/>
    <m/>
    <n v="2"/>
    <s v="20-29"/>
    <s v="1-3 YIL"/>
    <x v="2"/>
  </r>
  <r>
    <s v="PER0652"/>
    <s v="Aslan Kara"/>
    <x v="0"/>
    <d v="1980-03-19T00:00:00"/>
    <n v="46"/>
    <s v="Bekar"/>
    <n v="0"/>
    <s v="Doktora"/>
    <x v="1"/>
    <s v="Kıdemli Satış Uzmanı"/>
    <s v="Senior"/>
    <x v="1"/>
    <s v="Satış &amp; Pazarlama Müdürü"/>
    <x v="1"/>
    <d v="2019-07-05T00:00:00"/>
    <d v="2021-08-12T00:00:00"/>
    <x v="1"/>
    <n v="4"/>
    <x v="0"/>
    <n v="62900"/>
    <n v="0"/>
    <n v="0"/>
    <n v="30"/>
    <s v="-"/>
    <n v="0"/>
    <n v="5"/>
    <n v="0"/>
    <n v="0"/>
    <x v="1"/>
    <n v="7"/>
    <s v="Şirket Web Sitesi"/>
    <m/>
    <n v="6"/>
    <s v="40-49"/>
    <s v="5-10 YIL"/>
    <x v="11"/>
  </r>
  <r>
    <s v="PER0653"/>
    <s v="Zeynep Özdemir"/>
    <x v="0"/>
    <d v="1997-01-18T00:00:00"/>
    <n v="29"/>
    <s v="Evli"/>
    <n v="1"/>
    <s v="Lisans"/>
    <x v="4"/>
    <s v="İK Uzman Yardımcısı"/>
    <s v="Junior"/>
    <x v="1"/>
    <s v="İnsan Kaynakları Müdürü"/>
    <x v="2"/>
    <d v="2025-10-19T00:00:00"/>
    <s v="-"/>
    <x v="2"/>
    <s v="-"/>
    <x v="1"/>
    <n v="34000"/>
    <n v="0"/>
    <n v="7"/>
    <n v="30"/>
    <s v="-"/>
    <n v="0"/>
    <n v="0"/>
    <n v="0"/>
    <n v="0"/>
    <x v="1"/>
    <n v="13"/>
    <s v="Kariyer.net"/>
    <m/>
    <n v="0"/>
    <s v="20-29"/>
    <s v="0-1 YIL"/>
    <x v="0"/>
  </r>
  <r>
    <s v="PER0654"/>
    <s v="Mehmet Öztürk"/>
    <x v="1"/>
    <d v="1981-12-27T00:00:00"/>
    <n v="45"/>
    <s v="Evli"/>
    <n v="3"/>
    <s v="Yüksek Lisans"/>
    <x v="3"/>
    <s v="BT Müdürü"/>
    <s v="Manager"/>
    <x v="1"/>
    <s v="Genel Müdür"/>
    <x v="0"/>
    <d v="2014-07-05T00:00:00"/>
    <s v="-"/>
    <x v="2"/>
    <s v="-"/>
    <x v="1"/>
    <n v="125600"/>
    <n v="0"/>
    <n v="7"/>
    <n v="28"/>
    <s v="01-Istirahat"/>
    <n v="2"/>
    <n v="3"/>
    <n v="0"/>
    <n v="0"/>
    <x v="3"/>
    <n v="29"/>
    <s v="Kariyer.net"/>
    <m/>
    <n v="11"/>
    <s v="40-49"/>
    <s v="10+"/>
    <x v="6"/>
  </r>
  <r>
    <s v="PER0655"/>
    <s v="Ecem Özdemir"/>
    <x v="0"/>
    <d v="2004-04-22T00:00:00"/>
    <n v="22"/>
    <s v="Evli"/>
    <n v="0"/>
    <s v="Yüksek Lisans"/>
    <x v="2"/>
    <s v="Muhasebe Elemanı"/>
    <s v="Junior"/>
    <x v="1"/>
    <s v="Finans &amp; Muhasebe Müdürü"/>
    <x v="3"/>
    <d v="2026-05-26T00:00:00"/>
    <s v="-"/>
    <x v="2"/>
    <s v="-"/>
    <x v="1"/>
    <n v="33600"/>
    <n v="0"/>
    <n v="7"/>
    <n v="30"/>
    <s v="-"/>
    <n v="0"/>
    <n v="0"/>
    <n v="0"/>
    <n v="0"/>
    <x v="4"/>
    <n v="2"/>
    <s v="LinkedIn"/>
    <m/>
    <n v="0"/>
    <s v="20-29"/>
    <s v="0-1 YIL"/>
    <x v="3"/>
  </r>
  <r>
    <s v="PER0656"/>
    <s v="Defne Çetin"/>
    <x v="0"/>
    <d v="2001-12-01T00:00:00"/>
    <n v="25"/>
    <s v="Evli"/>
    <n v="1"/>
    <s v="Lisans"/>
    <x v="0"/>
    <s v="Operatör"/>
    <s v="Junior"/>
    <x v="0"/>
    <s v="Üretim &amp; Operasyon Müdürü"/>
    <x v="3"/>
    <d v="2025-11-01T00:00:00"/>
    <d v="2026-01-21T00:00:00"/>
    <x v="1"/>
    <n v="4"/>
    <x v="0"/>
    <n v="26200"/>
    <n v="0"/>
    <n v="31"/>
    <n v="28"/>
    <s v="01-Istirahat"/>
    <n v="2"/>
    <n v="0"/>
    <n v="0"/>
    <n v="0"/>
    <x v="1"/>
    <n v="9"/>
    <s v="Şirket Web Sitesi"/>
    <m/>
    <n v="0"/>
    <s v="20-29"/>
    <s v="0-1 YIL"/>
    <x v="0"/>
  </r>
  <r>
    <s v="PER0657"/>
    <s v="Burak Özdemir"/>
    <x v="1"/>
    <d v="1989-11-13T00:00:00"/>
    <n v="37"/>
    <s v="Evli"/>
    <n v="0"/>
    <s v="Lisans"/>
    <x v="4"/>
    <s v="İK Uzmanı"/>
    <s v="Senior"/>
    <x v="1"/>
    <s v="İnsan Kaynakları Müdürü"/>
    <x v="2"/>
    <d v="2018-07-02T00:00:00"/>
    <s v="-"/>
    <x v="2"/>
    <s v="-"/>
    <x v="1"/>
    <n v="54500"/>
    <n v="0"/>
    <n v="1"/>
    <n v="30"/>
    <s v="-"/>
    <n v="0"/>
    <n v="0"/>
    <n v="0"/>
    <n v="0"/>
    <x v="1"/>
    <n v="17"/>
    <s v="LinkedIn"/>
    <m/>
    <n v="7"/>
    <s v="30-39"/>
    <s v="5-10 YIL"/>
    <x v="1"/>
  </r>
  <r>
    <s v="PER0658"/>
    <s v="Selin Özdemir"/>
    <x v="0"/>
    <d v="1992-06-13T00:00:00"/>
    <n v="34"/>
    <s v="Evli"/>
    <n v="1"/>
    <s v="Lisans"/>
    <x v="0"/>
    <s v="Takım Lideri"/>
    <s v="Senior"/>
    <x v="0"/>
    <s v="Üretim &amp; Operasyon Müdürü"/>
    <x v="0"/>
    <d v="2022-07-13T00:00:00"/>
    <s v="-"/>
    <x v="2"/>
    <s v="-"/>
    <x v="1"/>
    <n v="41800"/>
    <n v="0"/>
    <n v="43"/>
    <n v="30"/>
    <s v="-"/>
    <n v="0"/>
    <n v="4"/>
    <n v="0"/>
    <n v="0"/>
    <x v="4"/>
    <n v="8"/>
    <s v="Şirket Web Sitesi"/>
    <m/>
    <n v="3"/>
    <s v="30-39"/>
    <s v="3-5 YIL"/>
    <x v="7"/>
  </r>
  <r>
    <s v="PER0659"/>
    <s v="Mehmet Kılıç"/>
    <x v="1"/>
    <d v="1990-01-02T00:00:00"/>
    <n v="36"/>
    <s v="Bekar"/>
    <n v="0"/>
    <s v="Önlisans"/>
    <x v="3"/>
    <s v="BT Müdürü"/>
    <s v="Manager"/>
    <x v="1"/>
    <s v="Genel Müdür"/>
    <x v="2"/>
    <d v="2011-01-06T00:00:00"/>
    <s v="-"/>
    <x v="2"/>
    <s v="-"/>
    <x v="1"/>
    <n v="121200"/>
    <n v="0"/>
    <n v="7"/>
    <n v="20"/>
    <s v="01-Istirahat"/>
    <n v="10"/>
    <n v="9"/>
    <n v="0"/>
    <n v="0"/>
    <x v="3"/>
    <n v="12"/>
    <s v="LinkedIn"/>
    <m/>
    <n v="15"/>
    <s v="30-39"/>
    <s v="10+"/>
    <x v="18"/>
  </r>
  <r>
    <s v="PER0660"/>
    <s v="Hasan Çetin"/>
    <x v="1"/>
    <d v="1998-04-11T00:00:00"/>
    <n v="28"/>
    <s v="Bekar"/>
    <n v="0"/>
    <s v="Önlisans"/>
    <x v="0"/>
    <s v="Operatör"/>
    <s v="Junior"/>
    <x v="0"/>
    <s v="Üretim &amp; Operasyon Müdürü"/>
    <x v="1"/>
    <d v="2023-11-17T00:00:00"/>
    <s v="-"/>
    <x v="2"/>
    <s v="-"/>
    <x v="1"/>
    <n v="25900"/>
    <n v="0"/>
    <n v="15"/>
    <n v="30"/>
    <s v="-"/>
    <n v="0"/>
    <n v="14"/>
    <n v="0"/>
    <n v="0"/>
    <x v="2"/>
    <n v="26"/>
    <s v="Referans"/>
    <m/>
    <n v="2"/>
    <s v="20-29"/>
    <s v="1-3 YIL"/>
    <x v="9"/>
  </r>
  <r>
    <s v="PER0661"/>
    <s v="Dilan Kara"/>
    <x v="0"/>
    <d v="2002-02-27T00:00:00"/>
    <n v="24"/>
    <s v="Bekar"/>
    <n v="0"/>
    <s v="Önlisans"/>
    <x v="0"/>
    <s v="Operatör"/>
    <s v="Junior"/>
    <x v="0"/>
    <s v="Üretim &amp; Operasyon Müdürü"/>
    <x v="0"/>
    <d v="2022-06-15T00:00:00"/>
    <s v="-"/>
    <x v="2"/>
    <s v="-"/>
    <x v="1"/>
    <n v="27500"/>
    <n v="0"/>
    <n v="30"/>
    <n v="22"/>
    <s v="01-Istirahat"/>
    <n v="5"/>
    <n v="13"/>
    <n v="3"/>
    <n v="0"/>
    <x v="1"/>
    <n v="15"/>
    <s v="Danışmanlık Firması"/>
    <m/>
    <n v="4"/>
    <s v="20-29"/>
    <s v="3-5 YIL"/>
    <x v="7"/>
  </r>
  <r>
    <s v="PER0662"/>
    <s v="Hasan Arslan"/>
    <x v="1"/>
    <d v="2000-05-13T00:00:00"/>
    <n v="26"/>
    <s v="Evli"/>
    <n v="3"/>
    <s v="Yüksek Lisans"/>
    <x v="4"/>
    <s v="İK Uzman Yardımcısı"/>
    <s v="Junior"/>
    <x v="1"/>
    <s v="İnsan Kaynakları Müdürü"/>
    <x v="0"/>
    <d v="2023-11-15T00:00:00"/>
    <s v="-"/>
    <x v="2"/>
    <s v="-"/>
    <x v="1"/>
    <n v="33500"/>
    <n v="0"/>
    <n v="7"/>
    <n v="30"/>
    <s v="-"/>
    <n v="0"/>
    <n v="1"/>
    <n v="0"/>
    <n v="0"/>
    <x v="1"/>
    <n v="7"/>
    <s v="LinkedIn"/>
    <m/>
    <n v="2"/>
    <s v="20-29"/>
    <s v="1-3 YIL"/>
    <x v="9"/>
  </r>
  <r>
    <s v="PER0663"/>
    <s v="Kübra Kaya"/>
    <x v="0"/>
    <d v="1990-01-25T00:00:00"/>
    <n v="36"/>
    <s v="Evli"/>
    <n v="2"/>
    <s v="Lisans"/>
    <x v="3"/>
    <s v="Kıdemli Yazılım Uzmanı"/>
    <s v="Senior"/>
    <x v="1"/>
    <s v="Bilgi Teknolojileri Müdürü"/>
    <x v="0"/>
    <d v="2021-09-26T00:00:00"/>
    <s v="-"/>
    <x v="2"/>
    <s v="-"/>
    <x v="1"/>
    <n v="84200"/>
    <n v="0"/>
    <n v="6"/>
    <n v="30"/>
    <s v="-"/>
    <n v="0"/>
    <n v="1"/>
    <n v="0"/>
    <n v="0"/>
    <x v="3"/>
    <n v="23"/>
    <s v="LinkedIn"/>
    <m/>
    <n v="4"/>
    <s v="30-39"/>
    <s v="3-5 YIL"/>
    <x v="14"/>
  </r>
  <r>
    <s v="PER0664"/>
    <s v="Selin Yılmaz"/>
    <x v="0"/>
    <d v="2003-07-01T00:00:00"/>
    <n v="23"/>
    <s v="Evli"/>
    <n v="1"/>
    <s v="Lisans"/>
    <x v="0"/>
    <s v="Operatör"/>
    <s v="Junior"/>
    <x v="0"/>
    <s v="Üretim &amp; Operasyon Müdürü"/>
    <x v="1"/>
    <d v="2025-03-04T00:00:00"/>
    <s v="-"/>
    <x v="2"/>
    <s v="-"/>
    <x v="1"/>
    <n v="27500"/>
    <n v="0"/>
    <n v="19"/>
    <n v="27"/>
    <s v="01-Istirahat"/>
    <n v="2"/>
    <n v="8"/>
    <n v="1"/>
    <n v="0"/>
    <x v="3"/>
    <n v="39"/>
    <s v="LinkedIn"/>
    <m/>
    <n v="1"/>
    <s v="20-29"/>
    <s v="1-3 YIL"/>
    <x v="0"/>
  </r>
  <r>
    <s v="PER0665"/>
    <s v="Büşra Çetin"/>
    <x v="0"/>
    <d v="2001-09-26T00:00:00"/>
    <n v="25"/>
    <s v="Bekar"/>
    <n v="0"/>
    <s v="Lisans"/>
    <x v="3"/>
    <s v="Yazılım Uzman Yardımcısı"/>
    <s v="Junior"/>
    <x v="1"/>
    <s v="Bilgi Teknolojileri Müdürü"/>
    <x v="3"/>
    <d v="2024-08-18T00:00:00"/>
    <s v="-"/>
    <x v="2"/>
    <s v="-"/>
    <x v="1"/>
    <n v="45200"/>
    <n v="0"/>
    <n v="7"/>
    <n v="27"/>
    <s v="01-Istirahat"/>
    <n v="3"/>
    <n v="2"/>
    <n v="0"/>
    <n v="0"/>
    <x v="4"/>
    <n v="17"/>
    <s v="LinkedIn"/>
    <m/>
    <n v="1"/>
    <s v="20-29"/>
    <s v="1-3 YIL"/>
    <x v="2"/>
  </r>
  <r>
    <s v="PER0666"/>
    <s v="Mustafa Arslan"/>
    <x v="1"/>
    <d v="1971-02-27T00:00:00"/>
    <n v="55"/>
    <s v="Evli"/>
    <n v="3"/>
    <s v="Yüksek Lisans"/>
    <x v="1"/>
    <s v="Satış Müdürü"/>
    <s v="Manager"/>
    <x v="1"/>
    <s v="Genel Müdür"/>
    <x v="0"/>
    <d v="2013-10-17T00:00:00"/>
    <s v="-"/>
    <x v="2"/>
    <s v="-"/>
    <x v="1"/>
    <n v="109600"/>
    <n v="0"/>
    <n v="3"/>
    <n v="30"/>
    <s v="-"/>
    <n v="0"/>
    <n v="0"/>
    <n v="0"/>
    <n v="0"/>
    <x v="1"/>
    <n v="17"/>
    <s v="LinkedIn"/>
    <m/>
    <n v="12"/>
    <s v="50+"/>
    <s v="10+"/>
    <x v="10"/>
  </r>
  <r>
    <s v="PER0667"/>
    <s v="Ömer Özdemir"/>
    <x v="1"/>
    <d v="1994-05-16T00:00:00"/>
    <n v="32"/>
    <s v="Evli"/>
    <n v="3"/>
    <s v="Doktora"/>
    <x v="3"/>
    <s v="Kıdemli Yazılım Uzmanı"/>
    <s v="Senior"/>
    <x v="1"/>
    <s v="Bilgi Teknolojileri Müdürü"/>
    <x v="0"/>
    <d v="2016-04-14T00:00:00"/>
    <s v="-"/>
    <x v="2"/>
    <s v="-"/>
    <x v="1"/>
    <n v="85100"/>
    <n v="0"/>
    <n v="8"/>
    <n v="30"/>
    <s v="-"/>
    <n v="0"/>
    <n v="0"/>
    <n v="0"/>
    <n v="0"/>
    <x v="1"/>
    <n v="9"/>
    <s v="Şirket Web Sitesi"/>
    <m/>
    <n v="10"/>
    <s v="30-39"/>
    <s v="5-10 YIL"/>
    <x v="13"/>
  </r>
  <r>
    <s v="PER0668"/>
    <s v="Serkan Demir"/>
    <x v="1"/>
    <d v="1994-08-15T00:00:00"/>
    <n v="32"/>
    <s v="Evli"/>
    <n v="0"/>
    <s v="Lisans"/>
    <x v="1"/>
    <s v="Kıdemli Satış Uzmanı"/>
    <s v="Senior"/>
    <x v="1"/>
    <s v="Satış &amp; Pazarlama Müdürü"/>
    <x v="3"/>
    <d v="2017-11-08T00:00:00"/>
    <s v="-"/>
    <x v="2"/>
    <s v="-"/>
    <x v="1"/>
    <n v="62000"/>
    <n v="0"/>
    <n v="0"/>
    <n v="27"/>
    <s v="01-Istirahat"/>
    <n v="3"/>
    <n v="7"/>
    <n v="0"/>
    <n v="0"/>
    <x v="2"/>
    <n v="39"/>
    <s v="LinkedIn"/>
    <m/>
    <n v="8"/>
    <s v="30-39"/>
    <s v="5-10 YIL"/>
    <x v="4"/>
  </r>
  <r>
    <s v="PER0669"/>
    <s v="Hüseyin Öztürk"/>
    <x v="1"/>
    <d v="2001-10-17T00:00:00"/>
    <n v="25"/>
    <s v="Bekar"/>
    <n v="0"/>
    <s v="Lisans"/>
    <x v="0"/>
    <s v="Operatör"/>
    <s v="Junior"/>
    <x v="0"/>
    <s v="Üretim &amp; Operasyon Müdürü"/>
    <x v="0"/>
    <d v="2024-06-19T00:00:00"/>
    <s v="-"/>
    <x v="2"/>
    <s v="-"/>
    <x v="1"/>
    <n v="28200"/>
    <n v="0"/>
    <n v="25"/>
    <n v="28"/>
    <s v="01-Istirahat"/>
    <n v="1"/>
    <n v="9"/>
    <n v="0"/>
    <n v="1"/>
    <x v="4"/>
    <n v="13"/>
    <s v="LinkedIn"/>
    <m/>
    <n v="2"/>
    <s v="20-29"/>
    <s v="1-3 YIL"/>
    <x v="2"/>
  </r>
  <r>
    <s v="PER0670"/>
    <s v="Ömer Aslan"/>
    <x v="1"/>
    <d v="2003-01-27T00:00:00"/>
    <n v="23"/>
    <s v="Bekar"/>
    <n v="0"/>
    <s v="Lisans"/>
    <x v="0"/>
    <s v="Operatör"/>
    <s v="Junior"/>
    <x v="0"/>
    <s v="Üretim &amp; Operasyon Müdürü"/>
    <x v="0"/>
    <d v="2023-12-11T00:00:00"/>
    <s v="-"/>
    <x v="2"/>
    <s v="-"/>
    <x v="1"/>
    <n v="28200"/>
    <n v="0"/>
    <n v="44"/>
    <n v="30"/>
    <s v="-"/>
    <n v="0"/>
    <n v="0"/>
    <n v="0"/>
    <n v="0"/>
    <x v="3"/>
    <n v="27"/>
    <s v="LinkedIn"/>
    <m/>
    <n v="2"/>
    <s v="20-29"/>
    <s v="1-3 YIL"/>
    <x v="9"/>
  </r>
  <r>
    <s v="PER0671"/>
    <s v="Elif Yılmaz"/>
    <x v="0"/>
    <d v="1987-10-23T00:00:00"/>
    <n v="39"/>
    <s v="Bekar"/>
    <n v="0"/>
    <s v="Lisans"/>
    <x v="2"/>
    <s v="Mali İşler Uzmanı"/>
    <s v="Senior"/>
    <x v="1"/>
    <s v="Finans &amp; Muhasebe Müdürü"/>
    <x v="0"/>
    <d v="2017-09-02T00:00:00"/>
    <s v="-"/>
    <x v="2"/>
    <s v="-"/>
    <x v="1"/>
    <n v="63200"/>
    <n v="5100"/>
    <n v="7"/>
    <n v="29"/>
    <s v="01-Istirahat"/>
    <n v="1"/>
    <n v="8"/>
    <n v="0"/>
    <n v="0"/>
    <x v="3"/>
    <n v="38"/>
    <s v="LinkedIn"/>
    <m/>
    <n v="8"/>
    <s v="30-39"/>
    <s v="5-10 YIL"/>
    <x v="4"/>
  </r>
  <r>
    <s v="PER0672"/>
    <s v="Ahmet Aslan"/>
    <x v="1"/>
    <d v="1979-11-19T00:00:00"/>
    <n v="47"/>
    <s v="Bekar"/>
    <n v="0"/>
    <s v="Lisans"/>
    <x v="2"/>
    <s v="Mali İşler Uzmanı"/>
    <s v="Senior"/>
    <x v="1"/>
    <s v="Finans &amp; Muhasebe Müdürü"/>
    <x v="0"/>
    <d v="2022-12-29T00:00:00"/>
    <d v="2023-06-03T00:00:00"/>
    <x v="3"/>
    <n v="17"/>
    <x v="0"/>
    <n v="63300"/>
    <n v="0"/>
    <n v="4"/>
    <n v="30"/>
    <s v="-"/>
    <n v="0"/>
    <n v="10"/>
    <n v="0"/>
    <n v="0"/>
    <x v="1"/>
    <n v="9"/>
    <s v="Kariyer.net"/>
    <m/>
    <n v="3"/>
    <s v="40-49"/>
    <s v="3-5 YIL"/>
    <x v="7"/>
  </r>
  <r>
    <s v="PER0673"/>
    <s v="Oğuzhan Çelik"/>
    <x v="1"/>
    <d v="1970-04-18T00:00:00"/>
    <n v="56"/>
    <s v="Bekar"/>
    <n v="0"/>
    <s v="Lisans"/>
    <x v="3"/>
    <s v="BT Müdürü"/>
    <s v="Manager"/>
    <x v="1"/>
    <s v="Genel Müdür"/>
    <x v="2"/>
    <d v="2019-10-12T00:00:00"/>
    <s v="-"/>
    <x v="2"/>
    <s v="-"/>
    <x v="1"/>
    <n v="123500"/>
    <n v="0"/>
    <n v="9"/>
    <n v="30"/>
    <s v="-"/>
    <n v="0"/>
    <n v="7"/>
    <n v="0"/>
    <n v="0"/>
    <x v="1"/>
    <n v="3"/>
    <s v="Kariyer.net"/>
    <m/>
    <n v="6"/>
    <s v="50+"/>
    <s v="5-10 YIL"/>
    <x v="11"/>
  </r>
  <r>
    <s v="PER0674"/>
    <s v="Emre Kara"/>
    <x v="1"/>
    <d v="2000-03-04T00:00:00"/>
    <n v="26"/>
    <s v="Evli"/>
    <n v="1"/>
    <s v="Lisans"/>
    <x v="0"/>
    <s v="Operatör"/>
    <s v="Junior"/>
    <x v="0"/>
    <s v="Üretim &amp; Operasyon Müdürü"/>
    <x v="0"/>
    <d v="2023-10-03T00:00:00"/>
    <s v="-"/>
    <x v="2"/>
    <s v="-"/>
    <x v="1"/>
    <n v="25700"/>
    <n v="0"/>
    <n v="21"/>
    <n v="27"/>
    <s v="01-Istirahat"/>
    <n v="3"/>
    <n v="2"/>
    <n v="0"/>
    <n v="0"/>
    <x v="1"/>
    <n v="2"/>
    <s v="Şirket Web Sitesi"/>
    <m/>
    <n v="2"/>
    <s v="20-29"/>
    <s v="1-3 YIL"/>
    <x v="9"/>
  </r>
  <r>
    <s v="PER0675"/>
    <s v="Kübra Aslan"/>
    <x v="0"/>
    <d v="1989-07-14T00:00:00"/>
    <n v="37"/>
    <s v="Evli"/>
    <n v="3"/>
    <s v="Yüksek Lisans"/>
    <x v="0"/>
    <s v="Takım Lideri"/>
    <s v="Senior"/>
    <x v="0"/>
    <s v="Üretim &amp; Operasyon Müdürü"/>
    <x v="3"/>
    <d v="2015-05-22T00:00:00"/>
    <s v="-"/>
    <x v="2"/>
    <s v="-"/>
    <x v="1"/>
    <n v="45700"/>
    <n v="0"/>
    <n v="39"/>
    <n v="29"/>
    <s v="01-Istirahat"/>
    <n v="1"/>
    <n v="4"/>
    <n v="0"/>
    <n v="0"/>
    <x v="1"/>
    <n v="11"/>
    <s v="Kariyer.net"/>
    <m/>
    <n v="11"/>
    <s v="30-39"/>
    <s v="10+"/>
    <x v="8"/>
  </r>
  <r>
    <s v="PER0676"/>
    <s v="Defne Kılıç"/>
    <x v="0"/>
    <d v="1999-12-05T00:00:00"/>
    <n v="27"/>
    <s v="Evli"/>
    <n v="1"/>
    <s v="Yüksek Lisans"/>
    <x v="0"/>
    <s v="Operatör"/>
    <s v="Junior"/>
    <x v="0"/>
    <s v="Üretim &amp; Operasyon Müdürü"/>
    <x v="3"/>
    <d v="2025-07-21T00:00:00"/>
    <d v="2025-11-24T00:00:00"/>
    <x v="1"/>
    <n v="4"/>
    <x v="0"/>
    <n v="24500"/>
    <n v="0"/>
    <n v="34"/>
    <n v="28"/>
    <s v="01-Istirahat"/>
    <n v="2"/>
    <n v="0"/>
    <n v="0"/>
    <n v="0"/>
    <x v="3"/>
    <n v="17"/>
    <s v="LinkedIn"/>
    <m/>
    <n v="0"/>
    <s v="20-29"/>
    <s v="0-1 YIL"/>
    <x v="0"/>
  </r>
  <r>
    <s v="PER0677"/>
    <s v="Hasan Kara"/>
    <x v="1"/>
    <d v="2000-05-25T00:00:00"/>
    <n v="26"/>
    <s v="Bekar"/>
    <n v="0"/>
    <s v="Lisans"/>
    <x v="0"/>
    <s v="Operatör"/>
    <s v="Junior"/>
    <x v="0"/>
    <s v="Üretim &amp; Operasyon Müdürü"/>
    <x v="2"/>
    <d v="2025-05-15T00:00:00"/>
    <s v="-"/>
    <x v="2"/>
    <s v="-"/>
    <x v="1"/>
    <n v="28000"/>
    <n v="0"/>
    <n v="28"/>
    <n v="30"/>
    <s v="-"/>
    <n v="0"/>
    <n v="10"/>
    <n v="0"/>
    <n v="0"/>
    <x v="4"/>
    <n v="2"/>
    <s v="LinkedIn"/>
    <m/>
    <n v="1"/>
    <s v="20-29"/>
    <s v="1-3 YIL"/>
    <x v="0"/>
  </r>
  <r>
    <s v="PER0678"/>
    <s v="Gökhan Kara"/>
    <x v="1"/>
    <d v="2002-04-08T00:00:00"/>
    <n v="24"/>
    <s v="Evli"/>
    <n v="3"/>
    <s v="Önlisans"/>
    <x v="0"/>
    <s v="Operatör"/>
    <s v="Junior"/>
    <x v="0"/>
    <s v="Üretim &amp; Operasyon Müdürü"/>
    <x v="2"/>
    <d v="2025-03-28T00:00:00"/>
    <s v="-"/>
    <x v="2"/>
    <s v="-"/>
    <x v="1"/>
    <n v="28600"/>
    <n v="0"/>
    <n v="39"/>
    <n v="29"/>
    <s v="01-Istirahat"/>
    <n v="1"/>
    <n v="5"/>
    <n v="0"/>
    <n v="0"/>
    <x v="1"/>
    <n v="18"/>
    <s v="LinkedIn"/>
    <m/>
    <n v="1"/>
    <s v="20-29"/>
    <s v="1-3 YIL"/>
    <x v="0"/>
  </r>
  <r>
    <s v="PER0679"/>
    <s v="Ayşe Yılmaz"/>
    <x v="0"/>
    <d v="1991-12-02T00:00:00"/>
    <n v="35"/>
    <s v="Evli"/>
    <n v="3"/>
    <s v="Lisans"/>
    <x v="0"/>
    <s v="Üretim Müdürü"/>
    <s v="Manager"/>
    <x v="1"/>
    <s v="Genel Müdür"/>
    <x v="4"/>
    <d v="2013-03-15T00:00:00"/>
    <s v="-"/>
    <x v="2"/>
    <s v="-"/>
    <x v="1"/>
    <n v="106000"/>
    <n v="0"/>
    <n v="9"/>
    <n v="29"/>
    <s v="01-Istirahat"/>
    <n v="1"/>
    <n v="4"/>
    <n v="0"/>
    <n v="0"/>
    <x v="1"/>
    <n v="11"/>
    <s v="Referans"/>
    <m/>
    <n v="13"/>
    <s v="30-39"/>
    <s v="10+"/>
    <x v="10"/>
  </r>
  <r>
    <s v="PER0680"/>
    <s v="Hilal Doğan"/>
    <x v="0"/>
    <d v="1999-11-06T00:00:00"/>
    <n v="27"/>
    <s v="Bekar"/>
    <n v="0"/>
    <s v="Lisans"/>
    <x v="0"/>
    <s v="Operatör"/>
    <s v="Junior"/>
    <x v="0"/>
    <s v="Üretim &amp; Operasyon Müdürü"/>
    <x v="0"/>
    <d v="2024-07-14T00:00:00"/>
    <s v="-"/>
    <x v="2"/>
    <s v="-"/>
    <x v="1"/>
    <n v="24400"/>
    <n v="0"/>
    <n v="44"/>
    <n v="29"/>
    <s v="10-Devamsizlik"/>
    <n v="0"/>
    <n v="6"/>
    <n v="0"/>
    <n v="1"/>
    <x v="1"/>
    <n v="18"/>
    <s v="LinkedIn"/>
    <m/>
    <n v="1"/>
    <s v="20-29"/>
    <s v="1-3 YIL"/>
    <x v="2"/>
  </r>
  <r>
    <s v="PER0681"/>
    <s v="Burak Yılmaz"/>
    <x v="1"/>
    <d v="1983-06-24T00:00:00"/>
    <n v="43"/>
    <s v="Evli"/>
    <n v="0"/>
    <s v="Lisans"/>
    <x v="3"/>
    <s v="Kıdemli Yazılım Uzmanı"/>
    <s v="Senior"/>
    <x v="1"/>
    <s v="Bilgi Teknolojileri Müdürü"/>
    <x v="4"/>
    <d v="2017-10-16T00:00:00"/>
    <d v="2019-10-23T00:00:00"/>
    <x v="4"/>
    <n v="3"/>
    <x v="0"/>
    <n v="79300"/>
    <n v="0"/>
    <n v="2"/>
    <n v="29"/>
    <s v="02-Ucretsiz Izin"/>
    <n v="0"/>
    <n v="7"/>
    <n v="1"/>
    <n v="0"/>
    <x v="4"/>
    <n v="10"/>
    <s v="Referans"/>
    <m/>
    <n v="8"/>
    <s v="40-49"/>
    <s v="5-10 YIL"/>
    <x v="4"/>
  </r>
  <r>
    <s v="PER0682"/>
    <s v="Ecem Demir"/>
    <x v="0"/>
    <d v="1997-01-18T00:00:00"/>
    <n v="29"/>
    <s v="Bekar"/>
    <n v="0"/>
    <s v="Lisans"/>
    <x v="1"/>
    <s v="Kıdemli Satış Uzmanı"/>
    <s v="Senior"/>
    <x v="1"/>
    <s v="Satış &amp; Pazarlama Müdürü"/>
    <x v="2"/>
    <d v="2021-03-12T00:00:00"/>
    <s v="-"/>
    <x v="2"/>
    <s v="-"/>
    <x v="1"/>
    <n v="62600"/>
    <n v="6500"/>
    <n v="4"/>
    <n v="30"/>
    <s v="-"/>
    <n v="0"/>
    <n v="14"/>
    <n v="0"/>
    <n v="0"/>
    <x v="1"/>
    <n v="10"/>
    <s v="Şirket Web Sitesi"/>
    <m/>
    <n v="5"/>
    <s v="20-29"/>
    <s v="5-10 YIL"/>
    <x v="14"/>
  </r>
  <r>
    <s v="PER0683"/>
    <s v="Volkan Özdemir"/>
    <x v="1"/>
    <d v="1989-07-04T00:00:00"/>
    <n v="37"/>
    <s v="Evli"/>
    <n v="0"/>
    <s v="Lisans"/>
    <x v="0"/>
    <s v="Takım Lideri"/>
    <s v="Senior"/>
    <x v="0"/>
    <s v="Üretim &amp; Operasyon Müdürü"/>
    <x v="0"/>
    <d v="2016-08-29T00:00:00"/>
    <s v="-"/>
    <x v="2"/>
    <s v="-"/>
    <x v="1"/>
    <n v="41400"/>
    <n v="0"/>
    <n v="35"/>
    <n v="30"/>
    <s v="-"/>
    <n v="0"/>
    <n v="2"/>
    <n v="0"/>
    <n v="0"/>
    <x v="1"/>
    <n v="5"/>
    <s v="Referans"/>
    <m/>
    <n v="9"/>
    <s v="30-39"/>
    <s v="5-10 YIL"/>
    <x v="13"/>
  </r>
  <r>
    <s v="PER0684"/>
    <s v="Volkan Aydın"/>
    <x v="1"/>
    <d v="1995-09-23T00:00:00"/>
    <n v="31"/>
    <s v="Evli"/>
    <n v="2"/>
    <s v="Lisans"/>
    <x v="1"/>
    <s v="Kıdemli Satış Uzmanı"/>
    <s v="Senior"/>
    <x v="1"/>
    <s v="Satış &amp; Pazarlama Müdürü"/>
    <x v="4"/>
    <d v="2020-06-28T00:00:00"/>
    <d v="2023-02-22T00:00:00"/>
    <x v="0"/>
    <n v="3"/>
    <x v="0"/>
    <n v="58000"/>
    <n v="7800"/>
    <n v="3"/>
    <n v="30"/>
    <s v="-"/>
    <n v="0"/>
    <n v="0"/>
    <n v="0"/>
    <n v="0"/>
    <x v="1"/>
    <n v="18"/>
    <s v="Danışmanlık Firması"/>
    <m/>
    <n v="6"/>
    <s v="30-39"/>
    <s v="5-10 YIL"/>
    <x v="5"/>
  </r>
  <r>
    <s v="PER0685"/>
    <s v="Emre Özdemir"/>
    <x v="1"/>
    <d v="1998-05-02T00:00:00"/>
    <n v="28"/>
    <s v="Evli"/>
    <n v="1"/>
    <s v="Lisans"/>
    <x v="0"/>
    <s v="Operatör"/>
    <s v="Junior"/>
    <x v="0"/>
    <s v="Üretim &amp; Operasyon Müdürü"/>
    <x v="4"/>
    <d v="2023-12-02T00:00:00"/>
    <d v="2024-12-04T00:00:00"/>
    <x v="1"/>
    <n v="4"/>
    <x v="0"/>
    <n v="24500"/>
    <n v="0"/>
    <n v="16"/>
    <n v="29"/>
    <s v="02-Ucretsiz Izin"/>
    <n v="0"/>
    <n v="5"/>
    <n v="1"/>
    <n v="0"/>
    <x v="3"/>
    <n v="18"/>
    <s v="Kariyer.net"/>
    <m/>
    <n v="2"/>
    <s v="20-29"/>
    <s v="1-3 YIL"/>
    <x v="9"/>
  </r>
  <r>
    <s v="PER0686"/>
    <s v="Hasan Öztürk"/>
    <x v="1"/>
    <d v="1977-12-20T00:00:00"/>
    <n v="49"/>
    <s v="Evli"/>
    <n v="1"/>
    <s v="Yüksek Lisans"/>
    <x v="0"/>
    <s v="Üretim Müdürü"/>
    <s v="Manager"/>
    <x v="1"/>
    <s v="Genel Müdür"/>
    <x v="0"/>
    <d v="2013-07-10T00:00:00"/>
    <d v="2017-04-15T00:00:00"/>
    <x v="0"/>
    <n v="3"/>
    <x v="0"/>
    <n v="92100"/>
    <n v="0"/>
    <n v="7"/>
    <n v="28"/>
    <s v="01-Istirahat"/>
    <n v="2"/>
    <n v="3"/>
    <n v="0"/>
    <n v="0"/>
    <x v="1"/>
    <n v="12"/>
    <s v="Referans"/>
    <m/>
    <n v="12"/>
    <s v="40-49"/>
    <s v="10+"/>
    <x v="10"/>
  </r>
  <r>
    <s v="PER0687"/>
    <s v="Zeynep Arslan"/>
    <x v="0"/>
    <d v="2002-11-24T00:00:00"/>
    <n v="24"/>
    <s v="Evli"/>
    <n v="1"/>
    <s v="Lisans"/>
    <x v="0"/>
    <s v="Operatör"/>
    <s v="Junior"/>
    <x v="0"/>
    <s v="Üretim &amp; Operasyon Müdürü"/>
    <x v="0"/>
    <d v="2023-08-09T00:00:00"/>
    <s v="-"/>
    <x v="2"/>
    <s v="-"/>
    <x v="1"/>
    <n v="28500"/>
    <n v="0"/>
    <n v="10"/>
    <n v="30"/>
    <s v="-"/>
    <n v="0"/>
    <n v="1"/>
    <n v="0"/>
    <n v="0"/>
    <x v="4"/>
    <n v="18"/>
    <s v="Danışmanlık Firması"/>
    <m/>
    <n v="2"/>
    <s v="20-29"/>
    <s v="1-3 YIL"/>
    <x v="9"/>
  </r>
  <r>
    <s v="PER0688"/>
    <s v="Hüseyin Demir"/>
    <x v="1"/>
    <d v="2004-03-17T00:00:00"/>
    <n v="22"/>
    <s v="Evli"/>
    <n v="0"/>
    <s v="Lisans"/>
    <x v="3"/>
    <s v="Yazılım Uzman Yardımcısı"/>
    <s v="Junior"/>
    <x v="1"/>
    <s v="Bilgi Teknolojileri Müdürü"/>
    <x v="0"/>
    <d v="2026-04-12T00:00:00"/>
    <d v="2026-05-29T00:00:00"/>
    <x v="1"/>
    <n v="4"/>
    <x v="0"/>
    <n v="47000"/>
    <n v="0"/>
    <n v="7"/>
    <n v="30"/>
    <s v="-"/>
    <n v="0"/>
    <n v="0"/>
    <n v="0"/>
    <n v="0"/>
    <x v="1"/>
    <n v="10"/>
    <s v="Kariyer.net"/>
    <m/>
    <n v="0"/>
    <s v="20-29"/>
    <s v="0-1 YIL"/>
    <x v="3"/>
  </r>
  <r>
    <s v="PER0689"/>
    <s v="Hasan Aydın"/>
    <x v="1"/>
    <d v="1979-02-04T00:00:00"/>
    <n v="47"/>
    <s v="Evli"/>
    <n v="1"/>
    <s v="Yüksek Lisans"/>
    <x v="3"/>
    <s v="Kıdemli Yazılım Uzmanı"/>
    <s v="Senior"/>
    <x v="1"/>
    <s v="Bilgi Teknolojileri Müdürü"/>
    <x v="4"/>
    <d v="2019-03-23T00:00:00"/>
    <d v="2019-08-25T00:00:00"/>
    <x v="1"/>
    <n v="4"/>
    <x v="0"/>
    <n v="83900"/>
    <n v="0"/>
    <n v="9"/>
    <n v="30"/>
    <s v="-"/>
    <n v="0"/>
    <n v="6"/>
    <n v="0"/>
    <n v="0"/>
    <x v="1"/>
    <n v="2"/>
    <s v="LinkedIn"/>
    <m/>
    <n v="7"/>
    <s v="40-49"/>
    <s v="5-10 YIL"/>
    <x v="11"/>
  </r>
  <r>
    <s v="PER0690"/>
    <s v="Emre Yıldız"/>
    <x v="1"/>
    <d v="1997-03-24T00:00:00"/>
    <n v="29"/>
    <s v="Bekar"/>
    <n v="0"/>
    <s v="Lisans"/>
    <x v="0"/>
    <s v="Operatör"/>
    <s v="Junior"/>
    <x v="0"/>
    <s v="Üretim &amp; Operasyon Müdürü"/>
    <x v="0"/>
    <d v="2023-10-17T00:00:00"/>
    <s v="-"/>
    <x v="2"/>
    <s v="-"/>
    <x v="1"/>
    <n v="24500"/>
    <n v="0"/>
    <n v="43"/>
    <n v="30"/>
    <s v="-"/>
    <n v="0"/>
    <n v="14"/>
    <n v="0"/>
    <n v="0"/>
    <x v="3"/>
    <n v="22"/>
    <s v="LinkedIn"/>
    <m/>
    <n v="2"/>
    <s v="20-29"/>
    <s v="1-3 YIL"/>
    <x v="9"/>
  </r>
  <r>
    <s v="PER0691"/>
    <s v="Ali Şahin"/>
    <x v="1"/>
    <d v="1995-09-19T00:00:00"/>
    <n v="31"/>
    <s v="Evli"/>
    <n v="1"/>
    <s v="Önlisans"/>
    <x v="4"/>
    <s v="İK Uzmanı"/>
    <s v="Senior"/>
    <x v="1"/>
    <s v="İnsan Kaynakları Müdürü"/>
    <x v="0"/>
    <d v="2017-09-19T00:00:00"/>
    <s v="-"/>
    <x v="2"/>
    <s v="-"/>
    <x v="1"/>
    <n v="59400"/>
    <n v="7600"/>
    <n v="7"/>
    <n v="30"/>
    <s v="-"/>
    <n v="0"/>
    <n v="9"/>
    <n v="0"/>
    <n v="0"/>
    <x v="3"/>
    <n v="13"/>
    <s v="Referans"/>
    <m/>
    <n v="8"/>
    <s v="30-39"/>
    <s v="5-10 YIL"/>
    <x v="4"/>
  </r>
  <r>
    <s v="PER0692"/>
    <s v="Can Özdemir"/>
    <x v="1"/>
    <d v="1998-09-17T00:00:00"/>
    <n v="28"/>
    <s v="Evli"/>
    <n v="1"/>
    <s v="Lisans"/>
    <x v="0"/>
    <s v="Operatör"/>
    <s v="Junior"/>
    <x v="0"/>
    <s v="Üretim &amp; Operasyon Müdürü"/>
    <x v="0"/>
    <d v="2023-08-09T00:00:00"/>
    <s v="-"/>
    <x v="2"/>
    <s v="-"/>
    <x v="1"/>
    <n v="27600"/>
    <n v="0"/>
    <n v="29"/>
    <n v="28"/>
    <s v="01-Istirahat"/>
    <n v="2"/>
    <n v="6"/>
    <n v="0"/>
    <n v="0"/>
    <x v="4"/>
    <n v="13"/>
    <s v="Şirket Web Sitesi"/>
    <m/>
    <n v="2"/>
    <s v="20-29"/>
    <s v="1-3 YIL"/>
    <x v="9"/>
  </r>
  <r>
    <s v="PER0693"/>
    <s v="Fatma Çelik"/>
    <x v="0"/>
    <d v="2002-11-18T00:00:00"/>
    <n v="24"/>
    <s v="Bekar"/>
    <n v="0"/>
    <s v="Lisans"/>
    <x v="0"/>
    <s v="Operatör"/>
    <s v="Junior"/>
    <x v="0"/>
    <s v="Üretim &amp; Operasyon Müdürü"/>
    <x v="3"/>
    <d v="2025-08-09T00:00:00"/>
    <s v="-"/>
    <x v="2"/>
    <s v="-"/>
    <x v="1"/>
    <n v="25900"/>
    <n v="0"/>
    <n v="21"/>
    <n v="30"/>
    <s v="-"/>
    <n v="0"/>
    <n v="0"/>
    <n v="0"/>
    <n v="0"/>
    <x v="4"/>
    <n v="17"/>
    <s v="Kariyer.net"/>
    <m/>
    <n v="0"/>
    <s v="20-29"/>
    <s v="0-1 YIL"/>
    <x v="0"/>
  </r>
  <r>
    <s v="PER0694"/>
    <s v="Burak Demir"/>
    <x v="1"/>
    <d v="1987-06-12T00:00:00"/>
    <n v="39"/>
    <s v="Evli"/>
    <n v="3"/>
    <s v="Lisans"/>
    <x v="3"/>
    <s v="Kıdemli Yazılım Uzmanı"/>
    <s v="Senior"/>
    <x v="1"/>
    <s v="Bilgi Teknolojileri Müdürü"/>
    <x v="2"/>
    <d v="2020-10-28T00:00:00"/>
    <s v="-"/>
    <x v="2"/>
    <s v="-"/>
    <x v="1"/>
    <n v="86200"/>
    <n v="0"/>
    <n v="2"/>
    <n v="30"/>
    <s v="-"/>
    <n v="0"/>
    <n v="10"/>
    <n v="0"/>
    <n v="0"/>
    <x v="1"/>
    <n v="12"/>
    <s v="Kariyer.net"/>
    <m/>
    <n v="5"/>
    <s v="30-39"/>
    <s v="5-10 YIL"/>
    <x v="5"/>
  </r>
  <r>
    <s v="PER0695"/>
    <s v="Elif Demir"/>
    <x v="0"/>
    <d v="1991-07-19T00:00:00"/>
    <n v="35"/>
    <s v="Evli"/>
    <n v="0"/>
    <s v="Yüksek Lisans"/>
    <x v="0"/>
    <s v="Takım Lideri"/>
    <s v="Senior"/>
    <x v="0"/>
    <s v="Üretim &amp; Operasyon Müdürü"/>
    <x v="0"/>
    <d v="2016-04-30T00:00:00"/>
    <s v="-"/>
    <x v="2"/>
    <s v="-"/>
    <x v="1"/>
    <n v="43100"/>
    <n v="0"/>
    <n v="36"/>
    <n v="25"/>
    <s v="01-Istirahat"/>
    <n v="5"/>
    <n v="4"/>
    <n v="0"/>
    <n v="0"/>
    <x v="1"/>
    <n v="15"/>
    <s v="LinkedIn"/>
    <m/>
    <n v="10"/>
    <s v="30-39"/>
    <s v="5-10 YIL"/>
    <x v="13"/>
  </r>
  <r>
    <s v="PER0696"/>
    <s v="Ömer Kaya"/>
    <x v="1"/>
    <d v="1994-09-19T00:00:00"/>
    <n v="32"/>
    <s v="Evli"/>
    <n v="2"/>
    <s v="Doktora"/>
    <x v="4"/>
    <s v="İK Uzmanı"/>
    <s v="Senior"/>
    <x v="1"/>
    <s v="İnsan Kaynakları Müdürü"/>
    <x v="4"/>
    <d v="2017-10-10T00:00:00"/>
    <s v="-"/>
    <x v="2"/>
    <s v="-"/>
    <x v="1"/>
    <n v="54800"/>
    <n v="0"/>
    <n v="1"/>
    <n v="25"/>
    <s v="01-Istirahat"/>
    <n v="5"/>
    <n v="4"/>
    <n v="0"/>
    <n v="0"/>
    <x v="4"/>
    <n v="3"/>
    <s v="Kariyer.net"/>
    <m/>
    <n v="8"/>
    <s v="30-39"/>
    <s v="5-10 YIL"/>
    <x v="4"/>
  </r>
  <r>
    <s v="PER0697"/>
    <s v="Fatma Demir"/>
    <x v="0"/>
    <d v="2000-12-16T00:00:00"/>
    <n v="26"/>
    <s v="Bekar"/>
    <n v="0"/>
    <s v="Yüksek Lisans"/>
    <x v="3"/>
    <s v="Yazılım Uzman Yardımcısı"/>
    <s v="Junior"/>
    <x v="1"/>
    <s v="Bilgi Teknolojileri Müdürü"/>
    <x v="4"/>
    <d v="2024-06-08T00:00:00"/>
    <s v="-"/>
    <x v="2"/>
    <s v="-"/>
    <x v="1"/>
    <n v="43400"/>
    <n v="0"/>
    <n v="9"/>
    <n v="27"/>
    <s v="01-Istirahat"/>
    <n v="3"/>
    <n v="6"/>
    <n v="0"/>
    <n v="0"/>
    <x v="1"/>
    <n v="2"/>
    <s v="Kariyer.net"/>
    <m/>
    <n v="2"/>
    <s v="20-29"/>
    <s v="1-3 YIL"/>
    <x v="2"/>
  </r>
  <r>
    <s v="PER0698"/>
    <s v="Ayşe Yılmaz"/>
    <x v="0"/>
    <d v="1981-09-18T00:00:00"/>
    <n v="45"/>
    <s v="Bekar"/>
    <n v="0"/>
    <s v="Lisans"/>
    <x v="1"/>
    <s v="Satış Müdürü"/>
    <s v="Manager"/>
    <x v="1"/>
    <s v="Genel Müdür"/>
    <x v="1"/>
    <d v="2015-12-04T00:00:00"/>
    <s v="-"/>
    <x v="2"/>
    <s v="-"/>
    <x v="1"/>
    <n v="103300"/>
    <n v="23100"/>
    <n v="4"/>
    <n v="27"/>
    <s v="01-Istirahat"/>
    <n v="3"/>
    <n v="5"/>
    <n v="0"/>
    <n v="0"/>
    <x v="3"/>
    <n v="22"/>
    <s v="Kariyer.net"/>
    <m/>
    <n v="10"/>
    <s v="40-49"/>
    <s v="5-10 YIL"/>
    <x v="8"/>
  </r>
  <r>
    <s v="PER0699"/>
    <s v="Volkan Yıldız"/>
    <x v="1"/>
    <d v="1982-11-13T00:00:00"/>
    <n v="44"/>
    <s v="Evli"/>
    <n v="1"/>
    <s v="Lisans"/>
    <x v="1"/>
    <s v="Kıdemli Satış Uzmanı"/>
    <s v="Senior"/>
    <x v="1"/>
    <s v="Satış &amp; Pazarlama Müdürü"/>
    <x v="4"/>
    <d v="2023-01-16T00:00:00"/>
    <s v="-"/>
    <x v="2"/>
    <s v="-"/>
    <x v="1"/>
    <n v="61800"/>
    <n v="11200"/>
    <n v="5"/>
    <n v="30"/>
    <s v="-"/>
    <n v="0"/>
    <n v="14"/>
    <n v="0"/>
    <n v="0"/>
    <x v="1"/>
    <n v="17"/>
    <s v="Kariyer.net"/>
    <m/>
    <n v="3"/>
    <s v="40-49"/>
    <s v="3-5 YIL"/>
    <x v="9"/>
  </r>
  <r>
    <s v="PER0700"/>
    <s v="Serkan Yıldız"/>
    <x v="1"/>
    <d v="1982-12-22T00:00:00"/>
    <n v="44"/>
    <s v="Evli"/>
    <n v="1"/>
    <s v="Yüksek Lisans"/>
    <x v="1"/>
    <s v="Satış Müdürü"/>
    <s v="Manager"/>
    <x v="1"/>
    <s v="Genel Müdür"/>
    <x v="1"/>
    <d v="2019-09-13T00:00:00"/>
    <s v="-"/>
    <x v="2"/>
    <s v="-"/>
    <x v="1"/>
    <n v="109400"/>
    <n v="34100"/>
    <n v="1"/>
    <n v="28"/>
    <s v="01-Istirahat"/>
    <n v="2"/>
    <n v="1"/>
    <n v="0"/>
    <n v="0"/>
    <x v="1"/>
    <n v="4"/>
    <s v="Şirket Web Sitesi"/>
    <m/>
    <n v="6"/>
    <s v="40-49"/>
    <s v="5-10 YIL"/>
    <x v="11"/>
  </r>
  <r>
    <s v="PER0701"/>
    <s v="Burak Yılmaz"/>
    <x v="1"/>
    <d v="1997-01-13T00:00:00"/>
    <n v="29"/>
    <s v="Evli"/>
    <n v="3"/>
    <s v="Lisans"/>
    <x v="0"/>
    <s v="Operatör"/>
    <s v="Junior"/>
    <x v="0"/>
    <s v="Üretim &amp; Operasyon Müdürü"/>
    <x v="3"/>
    <d v="2023-09-01T00:00:00"/>
    <s v="-"/>
    <x v="2"/>
    <s v="-"/>
    <x v="1"/>
    <n v="24000"/>
    <n v="0"/>
    <n v="20"/>
    <n v="27"/>
    <s v="02-Ucretsiz Izin"/>
    <n v="0"/>
    <n v="3"/>
    <n v="3"/>
    <n v="0"/>
    <x v="2"/>
    <n v="21"/>
    <s v="Referans"/>
    <m/>
    <n v="2"/>
    <s v="20-29"/>
    <s v="1-3 YIL"/>
    <x v="9"/>
  </r>
  <r>
    <s v="PER0702"/>
    <s v="Ecem Çelik"/>
    <x v="0"/>
    <d v="2002-01-24T00:00:00"/>
    <n v="24"/>
    <s v="Evli"/>
    <n v="3"/>
    <s v="Yüksek Lisans"/>
    <x v="1"/>
    <s v="Satış Temsilcisi"/>
    <s v="Junior"/>
    <x v="1"/>
    <s v="Satış &amp; Pazarlama Müdürü"/>
    <x v="2"/>
    <d v="2025-12-25T00:00:00"/>
    <s v="-"/>
    <x v="2"/>
    <s v="-"/>
    <x v="1"/>
    <n v="35900"/>
    <n v="3700"/>
    <n v="5"/>
    <n v="25"/>
    <s v="01-Istirahat"/>
    <n v="5"/>
    <n v="0"/>
    <n v="0"/>
    <n v="0"/>
    <x v="1"/>
    <n v="11"/>
    <s v="Referans"/>
    <m/>
    <n v="0"/>
    <s v="20-29"/>
    <s v="0-1 YIL"/>
    <x v="0"/>
  </r>
  <r>
    <s v="PER0703"/>
    <s v="Gökhan Kılıç"/>
    <x v="1"/>
    <d v="1996-02-01T00:00:00"/>
    <n v="30"/>
    <s v="Evli"/>
    <n v="2"/>
    <s v="Lisans"/>
    <x v="1"/>
    <s v="Kıdemli Satış Uzmanı"/>
    <s v="Senior"/>
    <x v="1"/>
    <s v="Satış &amp; Pazarlama Müdürü"/>
    <x v="0"/>
    <d v="2020-11-23T00:00:00"/>
    <s v="-"/>
    <x v="2"/>
    <s v="-"/>
    <x v="1"/>
    <n v="52700"/>
    <n v="13900"/>
    <n v="5"/>
    <n v="29"/>
    <s v="01-Istirahat"/>
    <n v="1"/>
    <n v="12"/>
    <n v="0"/>
    <n v="0"/>
    <x v="1"/>
    <n v="13"/>
    <s v="LinkedIn"/>
    <m/>
    <n v="5"/>
    <s v="30-39"/>
    <s v="5-10 YIL"/>
    <x v="5"/>
  </r>
  <r>
    <s v="PER0704"/>
    <s v="Elif Çetin"/>
    <x v="0"/>
    <d v="1983-10-22T00:00:00"/>
    <n v="43"/>
    <s v="Bekar"/>
    <n v="0"/>
    <s v="Lisans"/>
    <x v="1"/>
    <s v="Kıdemli Satış Uzmanı"/>
    <s v="Senior"/>
    <x v="1"/>
    <s v="Satış &amp; Pazarlama Müdürü"/>
    <x v="0"/>
    <d v="2017-11-13T00:00:00"/>
    <s v="-"/>
    <x v="2"/>
    <s v="-"/>
    <x v="1"/>
    <n v="57700"/>
    <n v="15000"/>
    <n v="4"/>
    <n v="30"/>
    <s v="-"/>
    <n v="0"/>
    <n v="5"/>
    <n v="0"/>
    <n v="0"/>
    <x v="1"/>
    <n v="13"/>
    <s v="Kariyer.net"/>
    <m/>
    <n v="8"/>
    <s v="40-49"/>
    <s v="5-10 YIL"/>
    <x v="4"/>
  </r>
  <r>
    <s v="PER0705"/>
    <s v="Serkan Çelik"/>
    <x v="1"/>
    <d v="1998-10-10T00:00:00"/>
    <n v="28"/>
    <s v="Evli"/>
    <n v="1"/>
    <s v="Lisans"/>
    <x v="2"/>
    <s v="Muhasebe Elemanı"/>
    <s v="Junior"/>
    <x v="1"/>
    <s v="Finans &amp; Muhasebe Müdürü"/>
    <x v="0"/>
    <d v="2024-06-30T00:00:00"/>
    <d v="2024-10-20T00:00:00"/>
    <x v="1"/>
    <n v="4"/>
    <x v="0"/>
    <n v="36700"/>
    <n v="0"/>
    <n v="0"/>
    <n v="30"/>
    <s v="-"/>
    <n v="0"/>
    <n v="12"/>
    <n v="0"/>
    <n v="0"/>
    <x v="4"/>
    <n v="3"/>
    <s v="Referans"/>
    <m/>
    <n v="2"/>
    <s v="20-29"/>
    <s v="1-3 YIL"/>
    <x v="2"/>
  </r>
  <r>
    <s v="PER0706"/>
    <s v="Fatma Arslan"/>
    <x v="0"/>
    <d v="1995-02-07T00:00:00"/>
    <n v="31"/>
    <s v="Evli"/>
    <n v="1"/>
    <s v="Lisans"/>
    <x v="2"/>
    <s v="Mali İşler Uzmanı"/>
    <s v="Senior"/>
    <x v="1"/>
    <s v="Finans &amp; Muhasebe Müdürü"/>
    <x v="2"/>
    <d v="2015-12-05T00:00:00"/>
    <s v="-"/>
    <x v="2"/>
    <s v="-"/>
    <x v="1"/>
    <n v="59600"/>
    <n v="8000"/>
    <n v="4"/>
    <n v="30"/>
    <s v="-"/>
    <n v="0"/>
    <n v="6"/>
    <n v="0"/>
    <n v="0"/>
    <x v="4"/>
    <n v="15"/>
    <s v="Kariyer.net"/>
    <m/>
    <n v="10"/>
    <s v="30-39"/>
    <s v="5-10 YIL"/>
    <x v="8"/>
  </r>
  <r>
    <s v="PER0707"/>
    <s v="Oğuzhan Kara"/>
    <x v="1"/>
    <d v="2003-03-06T00:00:00"/>
    <n v="23"/>
    <s v="Evli"/>
    <n v="1"/>
    <s v="Yüksek Lisans"/>
    <x v="0"/>
    <s v="Operatör"/>
    <s v="Junior"/>
    <x v="0"/>
    <s v="Üretim &amp; Operasyon Müdürü"/>
    <x v="0"/>
    <d v="2023-04-01T00:00:00"/>
    <s v="-"/>
    <x v="2"/>
    <s v="-"/>
    <x v="1"/>
    <n v="27700"/>
    <n v="0"/>
    <n v="17"/>
    <n v="30"/>
    <s v="-"/>
    <n v="0"/>
    <n v="13"/>
    <n v="0"/>
    <n v="0"/>
    <x v="4"/>
    <n v="12"/>
    <s v="LinkedIn"/>
    <m/>
    <n v="3"/>
    <s v="20-29"/>
    <s v="3-5 YIL"/>
    <x v="9"/>
  </r>
  <r>
    <s v="PER0708"/>
    <s v="Kübra Aslan"/>
    <x v="0"/>
    <d v="1989-02-03T00:00:00"/>
    <n v="37"/>
    <s v="Evli"/>
    <n v="1"/>
    <s v="Lisans"/>
    <x v="4"/>
    <s v="İK Uzmanı"/>
    <s v="Senior"/>
    <x v="1"/>
    <s v="İnsan Kaynakları Müdürü"/>
    <x v="3"/>
    <d v="2017-02-27T00:00:00"/>
    <s v="-"/>
    <x v="2"/>
    <s v="-"/>
    <x v="1"/>
    <n v="50500"/>
    <n v="0"/>
    <n v="8"/>
    <n v="30"/>
    <s v="-"/>
    <n v="0"/>
    <n v="7"/>
    <n v="0"/>
    <n v="0"/>
    <x v="1"/>
    <n v="19"/>
    <s v="LinkedIn"/>
    <m/>
    <n v="9"/>
    <s v="30-39"/>
    <s v="5-10 YIL"/>
    <x v="4"/>
  </r>
  <r>
    <s v="PER0709"/>
    <s v="Furkan Aslan"/>
    <x v="1"/>
    <d v="1969-08-08T00:00:00"/>
    <n v="57"/>
    <s v="Bekar"/>
    <n v="0"/>
    <s v="Yüksek Lisans"/>
    <x v="4"/>
    <s v="İK Müdürü"/>
    <s v="Manager"/>
    <x v="1"/>
    <s v="Genel Müdür"/>
    <x v="0"/>
    <d v="2019-04-12T00:00:00"/>
    <s v="-"/>
    <x v="2"/>
    <s v="-"/>
    <x v="1"/>
    <n v="104800"/>
    <n v="0"/>
    <n v="3"/>
    <n v="29"/>
    <s v="01-Istirahat"/>
    <n v="1"/>
    <n v="9"/>
    <n v="0"/>
    <n v="0"/>
    <x v="1"/>
    <n v="14"/>
    <s v="Kariyer.net"/>
    <m/>
    <n v="7"/>
    <s v="50+"/>
    <s v="5-10 YIL"/>
    <x v="11"/>
  </r>
  <r>
    <s v="PER0710"/>
    <s v="Burak Doğan"/>
    <x v="1"/>
    <d v="1999-07-05T00:00:00"/>
    <n v="27"/>
    <s v="Evli"/>
    <n v="3"/>
    <s v="Lisans"/>
    <x v="2"/>
    <s v="Muhasebe Elemanı"/>
    <s v="Junior"/>
    <x v="1"/>
    <s v="Finans &amp; Muhasebe Müdürü"/>
    <x v="0"/>
    <d v="2023-01-11T00:00:00"/>
    <d v="2025-04-15T00:00:00"/>
    <x v="0"/>
    <n v="3"/>
    <x v="0"/>
    <n v="38400"/>
    <n v="0"/>
    <n v="3"/>
    <n v="28"/>
    <s v="01-Istirahat"/>
    <n v="2"/>
    <n v="2"/>
    <n v="0"/>
    <n v="0"/>
    <x v="1"/>
    <n v="10"/>
    <s v="Kariyer.net"/>
    <m/>
    <n v="3"/>
    <s v="20-29"/>
    <s v="3-5 YIL"/>
    <x v="9"/>
  </r>
  <r>
    <s v="PER0711"/>
    <s v="Ahmet Kılıç"/>
    <x v="1"/>
    <d v="1986-07-11T00:00:00"/>
    <n v="40"/>
    <s v="Bekar"/>
    <n v="0"/>
    <s v="Lisans"/>
    <x v="2"/>
    <s v="Mali İşler Uzmanı"/>
    <s v="Senior"/>
    <x v="1"/>
    <s v="Finans &amp; Muhasebe Müdürü"/>
    <x v="0"/>
    <d v="2020-05-11T00:00:00"/>
    <s v="-"/>
    <x v="2"/>
    <s v="-"/>
    <x v="1"/>
    <n v="57300"/>
    <n v="0"/>
    <n v="8"/>
    <n v="30"/>
    <s v="-"/>
    <n v="0"/>
    <n v="10"/>
    <n v="0"/>
    <n v="0"/>
    <x v="4"/>
    <n v="19"/>
    <s v="LinkedIn"/>
    <m/>
    <n v="6"/>
    <s v="40-49"/>
    <s v="5-10 YIL"/>
    <x v="5"/>
  </r>
  <r>
    <s v="PER0712"/>
    <s v="Fatma Şahin"/>
    <x v="0"/>
    <d v="2001-07-12T00:00:00"/>
    <n v="25"/>
    <s v="Evli"/>
    <n v="1"/>
    <s v="Lisans"/>
    <x v="0"/>
    <s v="Operatör"/>
    <s v="Junior"/>
    <x v="0"/>
    <s v="Üretim &amp; Operasyon Müdürü"/>
    <x v="0"/>
    <d v="2023-05-05T00:00:00"/>
    <s v="-"/>
    <x v="2"/>
    <s v="-"/>
    <x v="1"/>
    <n v="27500"/>
    <n v="0"/>
    <n v="37"/>
    <n v="30"/>
    <s v="-"/>
    <n v="0"/>
    <n v="11"/>
    <n v="0"/>
    <n v="0"/>
    <x v="1"/>
    <n v="5"/>
    <s v="LinkedIn"/>
    <m/>
    <n v="3"/>
    <s v="20-29"/>
    <s v="3-5 YIL"/>
    <x v="9"/>
  </r>
  <r>
    <s v="PER0713"/>
    <s v="Ömer Arslan"/>
    <x v="1"/>
    <d v="1998-04-13T00:00:00"/>
    <n v="28"/>
    <s v="Bekar"/>
    <n v="0"/>
    <s v="Lisans"/>
    <x v="0"/>
    <s v="Operatör"/>
    <s v="Junior"/>
    <x v="0"/>
    <s v="Üretim &amp; Operasyon Müdürü"/>
    <x v="1"/>
    <d v="2024-03-18T00:00:00"/>
    <d v="2024-10-28T00:00:00"/>
    <x v="1"/>
    <n v="4"/>
    <x v="0"/>
    <n v="25400"/>
    <n v="0"/>
    <n v="24"/>
    <n v="30"/>
    <s v="-"/>
    <n v="0"/>
    <n v="4"/>
    <n v="0"/>
    <n v="0"/>
    <x v="3"/>
    <n v="24"/>
    <s v="LinkedIn"/>
    <m/>
    <n v="2"/>
    <s v="20-29"/>
    <s v="1-3 YIL"/>
    <x v="2"/>
  </r>
  <r>
    <s v="PER0714"/>
    <s v="İrem Kara"/>
    <x v="0"/>
    <d v="1994-05-14T00:00:00"/>
    <n v="32"/>
    <s v="Evli"/>
    <n v="2"/>
    <s v="Lisans"/>
    <x v="2"/>
    <s v="Mali İşler Uzmanı"/>
    <s v="Senior"/>
    <x v="1"/>
    <s v="Finans &amp; Muhasebe Müdürü"/>
    <x v="0"/>
    <d v="2022-10-14T00:00:00"/>
    <s v="-"/>
    <x v="2"/>
    <s v="-"/>
    <x v="1"/>
    <n v="64900"/>
    <n v="0"/>
    <n v="4"/>
    <n v="29"/>
    <s v="01-Istirahat"/>
    <n v="1"/>
    <n v="11"/>
    <n v="0"/>
    <n v="0"/>
    <x v="3"/>
    <n v="28"/>
    <s v="Kariyer.net"/>
    <m/>
    <n v="3"/>
    <s v="30-39"/>
    <s v="3-5 YIL"/>
    <x v="7"/>
  </r>
  <r>
    <s v="PER0715"/>
    <s v="Hilal Öztürk"/>
    <x v="0"/>
    <d v="1979-10-12T00:00:00"/>
    <n v="47"/>
    <s v="Evli"/>
    <n v="1"/>
    <s v="Lisans"/>
    <x v="1"/>
    <s v="Kıdemli Satış Uzmanı"/>
    <s v="Senior"/>
    <x v="1"/>
    <s v="Satış &amp; Pazarlama Müdürü"/>
    <x v="4"/>
    <d v="2020-02-02T00:00:00"/>
    <s v="-"/>
    <x v="2"/>
    <s v="-"/>
    <x v="1"/>
    <n v="56000"/>
    <n v="0"/>
    <n v="1"/>
    <n v="28"/>
    <s v="01-Istirahat"/>
    <n v="2"/>
    <n v="11"/>
    <n v="0"/>
    <n v="0"/>
    <x v="3"/>
    <n v="20"/>
    <s v="Kariyer.net"/>
    <m/>
    <n v="6"/>
    <s v="40-49"/>
    <s v="5-10 YIL"/>
    <x v="5"/>
  </r>
  <r>
    <s v="PER0716"/>
    <s v="Hilal Yılmaz"/>
    <x v="0"/>
    <d v="1997-12-22T00:00:00"/>
    <n v="29"/>
    <s v="Bekar"/>
    <n v="0"/>
    <s v="Lisans"/>
    <x v="0"/>
    <s v="Operatör"/>
    <s v="Junior"/>
    <x v="0"/>
    <s v="Üretim &amp; Operasyon Müdürü"/>
    <x v="0"/>
    <d v="2025-02-21T00:00:00"/>
    <s v="-"/>
    <x v="2"/>
    <s v="-"/>
    <x v="1"/>
    <n v="27000"/>
    <n v="0"/>
    <n v="43"/>
    <n v="30"/>
    <s v="-"/>
    <n v="0"/>
    <n v="5"/>
    <n v="0"/>
    <n v="0"/>
    <x v="4"/>
    <n v="16"/>
    <s v="LinkedIn"/>
    <m/>
    <n v="1"/>
    <s v="20-29"/>
    <s v="1-3 YIL"/>
    <x v="0"/>
  </r>
  <r>
    <s v="PER0717"/>
    <s v="Emre Kaya"/>
    <x v="1"/>
    <d v="2001-06-15T00:00:00"/>
    <n v="25"/>
    <s v="Bekar"/>
    <n v="0"/>
    <s v="Lisans"/>
    <x v="0"/>
    <s v="Operatör"/>
    <s v="Junior"/>
    <x v="0"/>
    <s v="Üretim &amp; Operasyon Müdürü"/>
    <x v="2"/>
    <d v="2022-08-13T00:00:00"/>
    <s v="-"/>
    <x v="2"/>
    <s v="-"/>
    <x v="1"/>
    <n v="25000"/>
    <n v="0"/>
    <n v="13"/>
    <n v="29"/>
    <s v="02-Ucretsiz Izin"/>
    <n v="0"/>
    <n v="5"/>
    <n v="1"/>
    <n v="0"/>
    <x v="1"/>
    <n v="12"/>
    <s v="LinkedIn"/>
    <m/>
    <n v="3"/>
    <s v="20-29"/>
    <s v="3-5 YIL"/>
    <x v="7"/>
  </r>
  <r>
    <s v="PER0718"/>
    <s v="Hasan Çetin"/>
    <x v="1"/>
    <d v="2001-03-23T00:00:00"/>
    <n v="25"/>
    <s v="Evli"/>
    <n v="0"/>
    <s v="Yüksek Lisans"/>
    <x v="4"/>
    <s v="İK Uzman Yardımcısı"/>
    <s v="Junior"/>
    <x v="1"/>
    <s v="İnsan Kaynakları Müdürü"/>
    <x v="4"/>
    <d v="2022-09-04T00:00:00"/>
    <d v="2023-01-23T00:00:00"/>
    <x v="1"/>
    <n v="4"/>
    <x v="0"/>
    <n v="32300"/>
    <n v="0"/>
    <n v="4"/>
    <n v="30"/>
    <s v="-"/>
    <n v="0"/>
    <n v="3"/>
    <n v="0"/>
    <n v="0"/>
    <x v="0"/>
    <n v="5"/>
    <s v="Referans"/>
    <m/>
    <n v="3"/>
    <s v="20-29"/>
    <s v="3-5 YIL"/>
    <x v="7"/>
  </r>
  <r>
    <s v="PER0719"/>
    <s v="Merve Yıldız"/>
    <x v="0"/>
    <d v="2001-08-24T00:00:00"/>
    <n v="25"/>
    <s v="Bekar"/>
    <n v="0"/>
    <s v="Yüksek Lisans"/>
    <x v="0"/>
    <s v="Operatör"/>
    <s v="Junior"/>
    <x v="0"/>
    <s v="Üretim &amp; Operasyon Müdürü"/>
    <x v="3"/>
    <d v="2022-09-04T00:00:00"/>
    <d v="2023-03-21T00:00:00"/>
    <x v="1"/>
    <n v="4"/>
    <x v="0"/>
    <n v="26300"/>
    <n v="0"/>
    <n v="12"/>
    <n v="30"/>
    <s v="-"/>
    <n v="0"/>
    <n v="4"/>
    <n v="0"/>
    <n v="0"/>
    <x v="3"/>
    <n v="28"/>
    <s v="LinkedIn"/>
    <m/>
    <n v="3"/>
    <s v="20-29"/>
    <s v="3-5 YIL"/>
    <x v="7"/>
  </r>
  <r>
    <s v="PER0720"/>
    <s v="Gamze Kılıç"/>
    <x v="0"/>
    <d v="2000-11-04T00:00:00"/>
    <n v="26"/>
    <s v="Evli"/>
    <n v="1"/>
    <s v="Lisans"/>
    <x v="1"/>
    <s v="Satış Temsilcisi"/>
    <s v="Junior"/>
    <x v="1"/>
    <s v="Satış &amp; Pazarlama Müdürü"/>
    <x v="2"/>
    <d v="2025-03-17T00:00:00"/>
    <s v="-"/>
    <x v="2"/>
    <s v="-"/>
    <x v="1"/>
    <n v="32400"/>
    <n v="10400"/>
    <n v="0"/>
    <n v="27"/>
    <s v="01-Istirahat"/>
    <n v="3"/>
    <n v="10"/>
    <n v="0"/>
    <n v="0"/>
    <x v="4"/>
    <n v="2"/>
    <s v="Referans"/>
    <m/>
    <n v="1"/>
    <s v="20-29"/>
    <s v="1-3 YIL"/>
    <x v="0"/>
  </r>
  <r>
    <s v="PER0721"/>
    <s v="Ali Arslan"/>
    <x v="1"/>
    <d v="1995-03-27T00:00:00"/>
    <n v="31"/>
    <s v="Evli"/>
    <n v="1"/>
    <s v="Lisans"/>
    <x v="1"/>
    <s v="Kıdemli Satış Uzmanı"/>
    <s v="Senior"/>
    <x v="1"/>
    <s v="Satış &amp; Pazarlama Müdürü"/>
    <x v="0"/>
    <d v="2016-11-02T00:00:00"/>
    <s v="-"/>
    <x v="2"/>
    <s v="-"/>
    <x v="1"/>
    <n v="62800"/>
    <n v="18400"/>
    <n v="3"/>
    <n v="20"/>
    <s v="01-Istirahat"/>
    <n v="10"/>
    <n v="3"/>
    <n v="0"/>
    <n v="0"/>
    <x v="0"/>
    <n v="18"/>
    <s v="Kariyer.net"/>
    <m/>
    <n v="9"/>
    <s v="30-39"/>
    <s v="5-10 YIL"/>
    <x v="13"/>
  </r>
  <r>
    <s v="PER0722"/>
    <s v="Ecem Çetin"/>
    <x v="0"/>
    <d v="1977-04-10T00:00:00"/>
    <n v="49"/>
    <s v="Evli"/>
    <n v="2"/>
    <s v="Önlisans"/>
    <x v="3"/>
    <s v="BT Müdürü"/>
    <s v="Manager"/>
    <x v="1"/>
    <s v="Genel Müdür"/>
    <x v="4"/>
    <d v="2011-10-10T00:00:00"/>
    <d v="2017-01-11T00:00:00"/>
    <x v="4"/>
    <n v="3"/>
    <x v="0"/>
    <n v="130400"/>
    <n v="0"/>
    <n v="0"/>
    <n v="30"/>
    <s v="-"/>
    <n v="0"/>
    <n v="10"/>
    <n v="0"/>
    <n v="0"/>
    <x v="2"/>
    <n v="34"/>
    <s v="LinkedIn"/>
    <m/>
    <n v="14"/>
    <s v="40-49"/>
    <s v="10+"/>
    <x v="18"/>
  </r>
  <r>
    <s v="PER0723"/>
    <s v="Selin Demir"/>
    <x v="0"/>
    <d v="1998-07-04T00:00:00"/>
    <n v="28"/>
    <s v="Bekar"/>
    <n v="0"/>
    <s v="Lisans"/>
    <x v="0"/>
    <s v="Operatör"/>
    <s v="Junior"/>
    <x v="0"/>
    <s v="Üretim &amp; Operasyon Müdürü"/>
    <x v="0"/>
    <d v="2024-10-01T00:00:00"/>
    <s v="-"/>
    <x v="2"/>
    <s v="-"/>
    <x v="1"/>
    <n v="24000"/>
    <n v="0"/>
    <n v="44"/>
    <n v="30"/>
    <s v="-"/>
    <n v="0"/>
    <n v="10"/>
    <n v="0"/>
    <n v="0"/>
    <x v="3"/>
    <n v="13"/>
    <s v="Kariyer.net"/>
    <m/>
    <n v="1"/>
    <s v="20-29"/>
    <s v="1-3 YIL"/>
    <x v="2"/>
  </r>
  <r>
    <s v="PER0724"/>
    <s v="Defne Öztürk"/>
    <x v="0"/>
    <d v="1982-01-07T00:00:00"/>
    <n v="44"/>
    <s v="Evli"/>
    <n v="0"/>
    <s v="Önlisans"/>
    <x v="3"/>
    <s v="Kıdemli Yazılım Uzmanı"/>
    <s v="Senior"/>
    <x v="1"/>
    <s v="Bilgi Teknolojileri Müdürü"/>
    <x v="2"/>
    <d v="2022-11-18T00:00:00"/>
    <s v="-"/>
    <x v="2"/>
    <s v="-"/>
    <x v="1"/>
    <n v="72400"/>
    <n v="0"/>
    <n v="9"/>
    <n v="30"/>
    <s v="-"/>
    <n v="0"/>
    <n v="7"/>
    <n v="0"/>
    <n v="0"/>
    <x v="3"/>
    <n v="20"/>
    <s v="Kariyer.net"/>
    <m/>
    <n v="3"/>
    <s v="40-49"/>
    <s v="3-5 YIL"/>
    <x v="7"/>
  </r>
  <r>
    <s v="PER0725"/>
    <s v="Hasan Aydın"/>
    <x v="1"/>
    <d v="2003-08-18T00:00:00"/>
    <n v="23"/>
    <s v="Evli"/>
    <n v="0"/>
    <s v="Lisans"/>
    <x v="1"/>
    <s v="Satış Temsilcisi"/>
    <s v="Junior"/>
    <x v="1"/>
    <s v="Satış &amp; Pazarlama Müdürü"/>
    <x v="0"/>
    <d v="2024-04-06T00:00:00"/>
    <s v="-"/>
    <x v="2"/>
    <s v="-"/>
    <x v="1"/>
    <n v="30900"/>
    <n v="8200"/>
    <n v="2"/>
    <n v="30"/>
    <s v="-"/>
    <n v="0"/>
    <n v="6"/>
    <n v="0"/>
    <n v="0"/>
    <x v="0"/>
    <n v="16"/>
    <s v="LinkedIn"/>
    <m/>
    <n v="2"/>
    <s v="20-29"/>
    <s v="1-3 YIL"/>
    <x v="2"/>
  </r>
  <r>
    <s v="PER0726"/>
    <s v="Gamze Öztürk"/>
    <x v="0"/>
    <d v="1999-06-22T00:00:00"/>
    <n v="27"/>
    <s v="Bekar"/>
    <n v="0"/>
    <s v="Yüksek Lisans"/>
    <x v="0"/>
    <s v="Operatör"/>
    <s v="Junior"/>
    <x v="0"/>
    <s v="Üretim &amp; Operasyon Müdürü"/>
    <x v="0"/>
    <d v="2023-11-05T00:00:00"/>
    <d v="2025-07-24T00:00:00"/>
    <x v="3"/>
    <n v="17"/>
    <x v="0"/>
    <n v="25800"/>
    <n v="0"/>
    <n v="14"/>
    <n v="28"/>
    <s v="01-Istirahat"/>
    <n v="2"/>
    <n v="13"/>
    <n v="0"/>
    <n v="0"/>
    <x v="1"/>
    <n v="12"/>
    <s v="Kariyer.net"/>
    <m/>
    <n v="2"/>
    <s v="20-29"/>
    <s v="1-3 YIL"/>
    <x v="9"/>
  </r>
  <r>
    <s v="PER0727"/>
    <s v="Hüseyin Yılmaz"/>
    <x v="1"/>
    <d v="1998-02-08T00:00:00"/>
    <n v="28"/>
    <s v="Bekar"/>
    <n v="0"/>
    <s v="Yüksek Lisans"/>
    <x v="1"/>
    <s v="Kıdemli Satış Uzmanı"/>
    <s v="Senior"/>
    <x v="1"/>
    <s v="Satış &amp; Pazarlama Müdürü"/>
    <x v="0"/>
    <d v="2015-10-02T00:00:00"/>
    <s v="-"/>
    <x v="2"/>
    <s v="-"/>
    <x v="1"/>
    <n v="53500"/>
    <n v="5700"/>
    <n v="1"/>
    <n v="27"/>
    <s v="01-Istirahat"/>
    <n v="3"/>
    <n v="12"/>
    <n v="0"/>
    <n v="0"/>
    <x v="2"/>
    <n v="28"/>
    <s v="Şirket Web Sitesi"/>
    <m/>
    <n v="10"/>
    <s v="20-29"/>
    <s v="5-10 YIL"/>
    <x v="8"/>
  </r>
  <r>
    <s v="PER0728"/>
    <s v="Ayşe Aydın"/>
    <x v="0"/>
    <d v="1989-10-19T00:00:00"/>
    <n v="37"/>
    <s v="Evli"/>
    <n v="0"/>
    <s v="Önlisans"/>
    <x v="3"/>
    <s v="Kıdemli Yazılım Uzmanı"/>
    <s v="Senior"/>
    <x v="1"/>
    <s v="Bilgi Teknolojileri Müdürü"/>
    <x v="0"/>
    <d v="2022-08-09T00:00:00"/>
    <s v="-"/>
    <x v="2"/>
    <s v="-"/>
    <x v="1"/>
    <n v="75000"/>
    <n v="0"/>
    <n v="5"/>
    <n v="29"/>
    <s v="01-Istirahat"/>
    <n v="1"/>
    <n v="13"/>
    <n v="0"/>
    <n v="0"/>
    <x v="1"/>
    <n v="3"/>
    <s v="LinkedIn"/>
    <m/>
    <n v="3"/>
    <s v="30-39"/>
    <s v="3-5 YIL"/>
    <x v="7"/>
  </r>
  <r>
    <s v="PER0729"/>
    <s v="Ali Aslan"/>
    <x v="1"/>
    <d v="1992-10-23T00:00:00"/>
    <n v="34"/>
    <s v="Evli"/>
    <n v="2"/>
    <s v="Lisans"/>
    <x v="2"/>
    <s v="Mali İşler Uzmanı"/>
    <s v="Senior"/>
    <x v="1"/>
    <s v="Finans &amp; Muhasebe Müdürü"/>
    <x v="0"/>
    <d v="2016-11-27T00:00:00"/>
    <s v="-"/>
    <x v="2"/>
    <s v="-"/>
    <x v="1"/>
    <n v="58500"/>
    <n v="0"/>
    <n v="7"/>
    <n v="30"/>
    <s v="-"/>
    <n v="0"/>
    <n v="6"/>
    <n v="0"/>
    <n v="0"/>
    <x v="1"/>
    <n v="10"/>
    <s v="LinkedIn"/>
    <m/>
    <n v="9"/>
    <s v="30-39"/>
    <s v="5-10 YIL"/>
    <x v="13"/>
  </r>
  <r>
    <s v="PER0730"/>
    <s v="Kübra Aslan"/>
    <x v="0"/>
    <d v="2002-09-25T00:00:00"/>
    <n v="24"/>
    <s v="Bekar"/>
    <n v="0"/>
    <s v="Lisans"/>
    <x v="0"/>
    <s v="Operatör"/>
    <s v="Junior"/>
    <x v="0"/>
    <s v="Üretim &amp; Operasyon Müdürü"/>
    <x v="0"/>
    <d v="2024-12-25T00:00:00"/>
    <s v="-"/>
    <x v="2"/>
    <s v="-"/>
    <x v="1"/>
    <n v="25500"/>
    <n v="0"/>
    <n v="32"/>
    <n v="30"/>
    <s v="-"/>
    <n v="0"/>
    <n v="3"/>
    <n v="0"/>
    <n v="0"/>
    <x v="1"/>
    <n v="5"/>
    <s v="Kariyer.net"/>
    <m/>
    <n v="1"/>
    <s v="20-29"/>
    <s v="1-3 YIL"/>
    <x v="2"/>
  </r>
  <r>
    <s v="PER0731"/>
    <s v="Can Demir"/>
    <x v="1"/>
    <d v="2000-08-10T00:00:00"/>
    <n v="26"/>
    <s v="Evli"/>
    <n v="0"/>
    <s v="Yüksek Lisans"/>
    <x v="4"/>
    <s v="İK Uzman Yardımcısı"/>
    <s v="Junior"/>
    <x v="1"/>
    <s v="İnsan Kaynakları Müdürü"/>
    <x v="0"/>
    <d v="2025-05-01T00:00:00"/>
    <s v="-"/>
    <x v="2"/>
    <s v="-"/>
    <x v="1"/>
    <n v="33100"/>
    <n v="0"/>
    <n v="8"/>
    <n v="19"/>
    <s v="01-Istirahat"/>
    <n v="10"/>
    <n v="7"/>
    <n v="1"/>
    <n v="0"/>
    <x v="2"/>
    <n v="31"/>
    <s v="LinkedIn"/>
    <m/>
    <n v="1"/>
    <s v="20-29"/>
    <s v="1-3 YIL"/>
    <x v="0"/>
  </r>
  <r>
    <s v="PER0732"/>
    <s v="Selin Demir"/>
    <x v="0"/>
    <d v="1989-09-06T00:00:00"/>
    <n v="37"/>
    <s v="Evli"/>
    <n v="1"/>
    <s v="Lisans"/>
    <x v="2"/>
    <s v="Finans Müdürü"/>
    <s v="Manager"/>
    <x v="1"/>
    <s v="Genel Müdür"/>
    <x v="0"/>
    <d v="2012-05-16T00:00:00"/>
    <s v="-"/>
    <x v="2"/>
    <s v="-"/>
    <x v="1"/>
    <n v="126400"/>
    <n v="0"/>
    <n v="6"/>
    <n v="30"/>
    <s v="-"/>
    <n v="0"/>
    <n v="9"/>
    <n v="0"/>
    <n v="0"/>
    <x v="2"/>
    <n v="22"/>
    <s v="LinkedIn"/>
    <m/>
    <n v="14"/>
    <s v="30-39"/>
    <s v="10+"/>
    <x v="12"/>
  </r>
  <r>
    <s v="PER0733"/>
    <s v="Büşra Şahin"/>
    <x v="0"/>
    <d v="2004-03-04T00:00:00"/>
    <n v="22"/>
    <s v="Evli"/>
    <n v="2"/>
    <s v="Lisans"/>
    <x v="1"/>
    <s v="Satış Temsilcisi"/>
    <s v="Junior"/>
    <x v="1"/>
    <s v="Satış &amp; Pazarlama Müdürü"/>
    <x v="1"/>
    <d v="2025-04-15T00:00:00"/>
    <s v="-"/>
    <x v="2"/>
    <s v="-"/>
    <x v="1"/>
    <n v="34600"/>
    <n v="10700"/>
    <n v="0"/>
    <n v="30"/>
    <s v="-"/>
    <n v="0"/>
    <n v="5"/>
    <n v="0"/>
    <n v="0"/>
    <x v="1"/>
    <n v="7"/>
    <s v="LinkedIn"/>
    <m/>
    <n v="1"/>
    <s v="20-29"/>
    <s v="1-3 YIL"/>
    <x v="0"/>
  </r>
  <r>
    <s v="PER0734"/>
    <s v="Hüseyin Doğan"/>
    <x v="1"/>
    <d v="1998-10-21T00:00:00"/>
    <n v="28"/>
    <s v="Bekar"/>
    <n v="0"/>
    <s v="Lisans"/>
    <x v="0"/>
    <s v="Operatör"/>
    <s v="Junior"/>
    <x v="0"/>
    <s v="Üretim &amp; Operasyon Müdürü"/>
    <x v="0"/>
    <d v="2026-04-04T00:00:00"/>
    <s v="-"/>
    <x v="2"/>
    <s v="-"/>
    <x v="1"/>
    <n v="25700"/>
    <n v="0"/>
    <n v="42"/>
    <n v="30"/>
    <s v="-"/>
    <n v="0"/>
    <n v="0"/>
    <n v="0"/>
    <n v="0"/>
    <x v="3"/>
    <n v="34"/>
    <s v="Danışmanlık Firması"/>
    <m/>
    <n v="0"/>
    <s v="20-29"/>
    <s v="0-1 YIL"/>
    <x v="3"/>
  </r>
  <r>
    <s v="PER0735"/>
    <s v="Merve Yıldız"/>
    <x v="0"/>
    <d v="2000-11-25T00:00:00"/>
    <n v="26"/>
    <s v="Evli"/>
    <n v="2"/>
    <s v="Yüksek Lisans"/>
    <x v="1"/>
    <s v="Satış Temsilcisi"/>
    <s v="Junior"/>
    <x v="1"/>
    <s v="Satış &amp; Pazarlama Müdürü"/>
    <x v="0"/>
    <d v="2025-06-10T00:00:00"/>
    <s v="-"/>
    <x v="2"/>
    <s v="-"/>
    <x v="1"/>
    <n v="34600"/>
    <n v="4100"/>
    <n v="1"/>
    <n v="30"/>
    <s v="-"/>
    <n v="0"/>
    <n v="0"/>
    <n v="0"/>
    <n v="0"/>
    <x v="1"/>
    <n v="2"/>
    <s v="Kariyer.net"/>
    <m/>
    <n v="1"/>
    <s v="20-29"/>
    <s v="1-3 YIL"/>
    <x v="0"/>
  </r>
  <r>
    <s v="PER0736"/>
    <s v="İrem Arslan"/>
    <x v="0"/>
    <d v="1992-04-10T00:00:00"/>
    <n v="34"/>
    <s v="Evli"/>
    <n v="2"/>
    <s v="Önlisans"/>
    <x v="1"/>
    <s v="Kıdemli Satış Uzmanı"/>
    <s v="Senior"/>
    <x v="1"/>
    <s v="Satış &amp; Pazarlama Müdürü"/>
    <x v="0"/>
    <d v="2023-02-09T00:00:00"/>
    <s v="-"/>
    <x v="2"/>
    <s v="-"/>
    <x v="1"/>
    <n v="62000"/>
    <n v="0"/>
    <n v="5"/>
    <n v="29"/>
    <s v="02-Ucretsiz Izin"/>
    <n v="0"/>
    <n v="14"/>
    <n v="1"/>
    <n v="0"/>
    <x v="1"/>
    <n v="18"/>
    <s v="LinkedIn"/>
    <m/>
    <n v="3"/>
    <s v="30-39"/>
    <s v="3-5 YIL"/>
    <x v="9"/>
  </r>
  <r>
    <s v="PER0737"/>
    <s v="Burak Çetin"/>
    <x v="1"/>
    <d v="2003-03-23T00:00:00"/>
    <n v="23"/>
    <s v="Evli"/>
    <n v="2"/>
    <s v="Önlisans"/>
    <x v="0"/>
    <s v="Operatör"/>
    <s v="Junior"/>
    <x v="0"/>
    <s v="Üretim &amp; Operasyon Müdürü"/>
    <x v="0"/>
    <d v="2025-01-10T00:00:00"/>
    <d v="2026-04-15T00:00:00"/>
    <x v="1"/>
    <n v="4"/>
    <x v="0"/>
    <n v="26600"/>
    <n v="0"/>
    <n v="28"/>
    <n v="30"/>
    <s v="-"/>
    <n v="0"/>
    <n v="5"/>
    <n v="0"/>
    <n v="0"/>
    <x v="4"/>
    <n v="7"/>
    <s v="Kariyer.net"/>
    <m/>
    <n v="1"/>
    <s v="20-29"/>
    <s v="1-3 YIL"/>
    <x v="0"/>
  </r>
  <r>
    <s v="PER0738"/>
    <s v="Fatma Arslan"/>
    <x v="0"/>
    <d v="1989-02-15T00:00:00"/>
    <n v="37"/>
    <s v="Evli"/>
    <n v="1"/>
    <s v="Lisans"/>
    <x v="0"/>
    <s v="Üretim Müdürü"/>
    <s v="Manager"/>
    <x v="1"/>
    <s v="Genel Müdür"/>
    <x v="2"/>
    <d v="2020-07-10T00:00:00"/>
    <s v="-"/>
    <x v="2"/>
    <s v="-"/>
    <x v="1"/>
    <n v="105100"/>
    <n v="0"/>
    <n v="7"/>
    <n v="30"/>
    <s v="-"/>
    <n v="0"/>
    <n v="13"/>
    <n v="0"/>
    <n v="0"/>
    <x v="1"/>
    <n v="16"/>
    <s v="Kariyer.net"/>
    <m/>
    <n v="5"/>
    <s v="30-39"/>
    <s v="5-10 YIL"/>
    <x v="5"/>
  </r>
  <r>
    <s v="PER0739"/>
    <s v="Defne Şahin"/>
    <x v="0"/>
    <d v="1976-11-06T00:00:00"/>
    <n v="50"/>
    <s v="Bekar"/>
    <n v="0"/>
    <s v="Lisans"/>
    <x v="1"/>
    <s v="Satış Müdürü"/>
    <s v="Manager"/>
    <x v="1"/>
    <s v="Genel Müdür"/>
    <x v="2"/>
    <d v="2012-07-31T00:00:00"/>
    <s v="-"/>
    <x v="2"/>
    <s v="-"/>
    <x v="1"/>
    <n v="105000"/>
    <n v="22700"/>
    <n v="0"/>
    <n v="30"/>
    <s v="-"/>
    <n v="0"/>
    <n v="7"/>
    <n v="0"/>
    <n v="0"/>
    <x v="3"/>
    <n v="26"/>
    <s v="LinkedIn"/>
    <m/>
    <n v="13"/>
    <s v="50+"/>
    <s v="10+"/>
    <x v="12"/>
  </r>
  <r>
    <s v="PER0740"/>
    <s v="Gamze Özdemir"/>
    <x v="0"/>
    <d v="1998-01-26T00:00:00"/>
    <n v="28"/>
    <s v="Evli"/>
    <n v="1"/>
    <s v="Lisans"/>
    <x v="4"/>
    <s v="İK Uzman Yardımcısı"/>
    <s v="Junior"/>
    <x v="1"/>
    <s v="İnsan Kaynakları Müdürü"/>
    <x v="0"/>
    <d v="2023-01-10T00:00:00"/>
    <s v="-"/>
    <x v="2"/>
    <s v="-"/>
    <x v="1"/>
    <n v="33400"/>
    <n v="0"/>
    <n v="0"/>
    <n v="30"/>
    <s v="-"/>
    <n v="0"/>
    <n v="13"/>
    <n v="0"/>
    <n v="0"/>
    <x v="1"/>
    <n v="4"/>
    <s v="LinkedIn"/>
    <m/>
    <n v="3"/>
    <s v="20-29"/>
    <s v="3-5 YIL"/>
    <x v="9"/>
  </r>
  <r>
    <s v="PER0741"/>
    <s v="Ecem Arslan"/>
    <x v="0"/>
    <d v="1990-12-12T00:00:00"/>
    <n v="36"/>
    <s v="Evli"/>
    <n v="1"/>
    <s v="Lisans"/>
    <x v="1"/>
    <s v="Satış Müdürü"/>
    <s v="Manager"/>
    <x v="1"/>
    <s v="Genel Müdür"/>
    <x v="0"/>
    <d v="2010-10-29T00:00:00"/>
    <s v="-"/>
    <x v="2"/>
    <s v="-"/>
    <x v="1"/>
    <n v="118900"/>
    <n v="0"/>
    <n v="5"/>
    <n v="30"/>
    <s v="-"/>
    <n v="0"/>
    <n v="8"/>
    <n v="0"/>
    <n v="0"/>
    <x v="1"/>
    <n v="17"/>
    <s v="Referans"/>
    <m/>
    <n v="15"/>
    <s v="30-39"/>
    <s v="10+"/>
    <x v="16"/>
  </r>
  <r>
    <s v="PER0742"/>
    <s v="Ayşe Özdemir"/>
    <x v="0"/>
    <d v="2003-11-03T00:00:00"/>
    <n v="23"/>
    <s v="Evli"/>
    <n v="1"/>
    <s v="Lisans"/>
    <x v="4"/>
    <s v="İK Uzman Yardımcısı"/>
    <s v="Junior"/>
    <x v="1"/>
    <s v="İnsan Kaynakları Müdürü"/>
    <x v="2"/>
    <d v="2024-07-06T00:00:00"/>
    <s v="-"/>
    <x v="2"/>
    <s v="-"/>
    <x v="1"/>
    <n v="32700"/>
    <n v="0"/>
    <n v="9"/>
    <n v="30"/>
    <s v="-"/>
    <n v="0"/>
    <n v="14"/>
    <n v="0"/>
    <n v="0"/>
    <x v="1"/>
    <n v="9"/>
    <s v="LinkedIn"/>
    <m/>
    <n v="1"/>
    <s v="20-29"/>
    <s v="1-3 YIL"/>
    <x v="2"/>
  </r>
  <r>
    <s v="PER0743"/>
    <s v="Mustafa Çelik"/>
    <x v="1"/>
    <d v="1981-01-16T00:00:00"/>
    <n v="45"/>
    <s v="Evli"/>
    <n v="2"/>
    <s v="Lisans"/>
    <x v="4"/>
    <s v="İK Uzmanı"/>
    <s v="Senior"/>
    <x v="1"/>
    <s v="İnsan Kaynakları Müdürü"/>
    <x v="0"/>
    <d v="2022-12-19T00:00:00"/>
    <s v="-"/>
    <x v="2"/>
    <s v="-"/>
    <x v="1"/>
    <n v="57500"/>
    <n v="0"/>
    <n v="5"/>
    <n v="30"/>
    <s v="-"/>
    <n v="0"/>
    <n v="5"/>
    <n v="0"/>
    <n v="0"/>
    <x v="1"/>
    <n v="14"/>
    <s v="LinkedIn"/>
    <m/>
    <n v="3"/>
    <s v="40-49"/>
    <s v="3-5 YIL"/>
    <x v="7"/>
  </r>
  <r>
    <s v="PER0744"/>
    <s v="Furkan Kaya"/>
    <x v="1"/>
    <d v="1974-03-03T00:00:00"/>
    <n v="52"/>
    <s v="Bekar"/>
    <n v="0"/>
    <s v="Lisans"/>
    <x v="1"/>
    <s v="Satış Müdürü"/>
    <s v="Manager"/>
    <x v="1"/>
    <s v="Genel Müdür"/>
    <x v="4"/>
    <d v="2013-09-05T00:00:00"/>
    <s v="-"/>
    <x v="2"/>
    <s v="-"/>
    <x v="1"/>
    <n v="111400"/>
    <n v="22500"/>
    <n v="4"/>
    <n v="30"/>
    <s v="-"/>
    <n v="0"/>
    <n v="14"/>
    <n v="0"/>
    <n v="0"/>
    <x v="3"/>
    <n v="26"/>
    <s v="Kariyer.net"/>
    <m/>
    <n v="12"/>
    <s v="50+"/>
    <s v="10+"/>
    <x v="10"/>
  </r>
  <r>
    <s v="PER0745"/>
    <s v="Dilan Çetin"/>
    <x v="0"/>
    <d v="2004-08-24T00:00:00"/>
    <n v="22"/>
    <s v="Bekar"/>
    <n v="0"/>
    <s v="Yüksek Lisans"/>
    <x v="0"/>
    <s v="Operatör"/>
    <s v="Junior"/>
    <x v="0"/>
    <s v="Üretim &amp; Operasyon Müdürü"/>
    <x v="4"/>
    <d v="2025-03-04T00:00:00"/>
    <s v="-"/>
    <x v="2"/>
    <s v="-"/>
    <x v="1"/>
    <n v="26900"/>
    <n v="0"/>
    <n v="21"/>
    <n v="30"/>
    <s v="-"/>
    <n v="0"/>
    <n v="7"/>
    <n v="0"/>
    <n v="0"/>
    <x v="3"/>
    <n v="29"/>
    <s v="Danışmanlık Firması"/>
    <m/>
    <n v="1"/>
    <s v="20-29"/>
    <s v="1-3 YIL"/>
    <x v="0"/>
  </r>
  <r>
    <s v="PER0746"/>
    <s v="Ömer Demir"/>
    <x v="1"/>
    <d v="2001-06-15T00:00:00"/>
    <n v="25"/>
    <s v="Evli"/>
    <n v="3"/>
    <s v="Lisans"/>
    <x v="0"/>
    <s v="Operatör"/>
    <s v="Junior"/>
    <x v="0"/>
    <s v="Üretim &amp; Operasyon Müdürü"/>
    <x v="0"/>
    <d v="2024-11-14T00:00:00"/>
    <s v="-"/>
    <x v="2"/>
    <s v="-"/>
    <x v="1"/>
    <n v="28300"/>
    <n v="0"/>
    <n v="20"/>
    <n v="30"/>
    <s v="-"/>
    <n v="0"/>
    <n v="3"/>
    <n v="0"/>
    <n v="0"/>
    <x v="3"/>
    <n v="35"/>
    <s v="Kariyer.net"/>
    <m/>
    <n v="1"/>
    <s v="20-29"/>
    <s v="1-3 YIL"/>
    <x v="2"/>
  </r>
  <r>
    <s v="PER0747"/>
    <s v="Selin Çetin"/>
    <x v="0"/>
    <d v="2003-08-26T00:00:00"/>
    <n v="23"/>
    <s v="Evli"/>
    <n v="2"/>
    <s v="Lisans"/>
    <x v="1"/>
    <s v="Satış Temsilcisi"/>
    <s v="Junior"/>
    <x v="1"/>
    <s v="Satış &amp; Pazarlama Müdürü"/>
    <x v="2"/>
    <d v="2022-07-11T00:00:00"/>
    <s v="-"/>
    <x v="2"/>
    <s v="-"/>
    <x v="1"/>
    <n v="35300"/>
    <n v="11800"/>
    <n v="3"/>
    <n v="28"/>
    <s v="01-Istirahat"/>
    <n v="2"/>
    <n v="3"/>
    <n v="0"/>
    <n v="0"/>
    <x v="1"/>
    <n v="8"/>
    <s v="Şirket Web Sitesi"/>
    <m/>
    <n v="3"/>
    <s v="20-29"/>
    <s v="3-5 YIL"/>
    <x v="7"/>
  </r>
  <r>
    <s v="PER0748"/>
    <s v="Burak Kaya"/>
    <x v="1"/>
    <d v="2004-11-14T00:00:00"/>
    <n v="22"/>
    <s v="Bekar"/>
    <n v="0"/>
    <s v="Lisans"/>
    <x v="0"/>
    <s v="Operatör"/>
    <s v="Junior"/>
    <x v="0"/>
    <s v="Üretim &amp; Operasyon Müdürü"/>
    <x v="0"/>
    <d v="2024-04-01T00:00:00"/>
    <s v="-"/>
    <x v="2"/>
    <s v="-"/>
    <x v="1"/>
    <n v="24100"/>
    <n v="0"/>
    <n v="12"/>
    <n v="30"/>
    <s v="-"/>
    <n v="0"/>
    <n v="0"/>
    <n v="0"/>
    <n v="0"/>
    <x v="1"/>
    <n v="15"/>
    <s v="Kariyer.net"/>
    <m/>
    <n v="2"/>
    <s v="20-29"/>
    <s v="1-3 YIL"/>
    <x v="2"/>
  </r>
  <r>
    <s v="PER0749"/>
    <s v="Ecem Yıldız"/>
    <x v="0"/>
    <d v="2001-10-23T00:00:00"/>
    <n v="25"/>
    <s v="Evli"/>
    <n v="1"/>
    <s v="Yüksek Lisans"/>
    <x v="0"/>
    <s v="Operatör"/>
    <s v="Junior"/>
    <x v="0"/>
    <s v="Üretim &amp; Operasyon Müdürü"/>
    <x v="1"/>
    <d v="2026-04-18T00:00:00"/>
    <s v="-"/>
    <x v="2"/>
    <s v="-"/>
    <x v="1"/>
    <n v="27300"/>
    <n v="0"/>
    <n v="11"/>
    <n v="30"/>
    <s v="-"/>
    <n v="0"/>
    <n v="0"/>
    <n v="0"/>
    <n v="0"/>
    <x v="1"/>
    <n v="3"/>
    <s v="Kariyer.net"/>
    <m/>
    <n v="0"/>
    <s v="20-29"/>
    <s v="0-1 YIL"/>
    <x v="3"/>
  </r>
  <r>
    <s v="PER0750"/>
    <s v="Ali Arslan"/>
    <x v="1"/>
    <d v="2002-12-21T00:00:00"/>
    <n v="24"/>
    <s v="Evli"/>
    <n v="0"/>
    <s v="Lisans"/>
    <x v="0"/>
    <s v="Operatör"/>
    <s v="Junior"/>
    <x v="0"/>
    <s v="Üretim &amp; Operasyon Müdürü"/>
    <x v="4"/>
    <d v="2024-04-05T00:00:00"/>
    <s v="-"/>
    <x v="2"/>
    <s v="-"/>
    <x v="1"/>
    <n v="25500"/>
    <n v="0"/>
    <n v="15"/>
    <n v="20"/>
    <s v="01-Istirahat"/>
    <n v="10"/>
    <n v="10"/>
    <n v="0"/>
    <n v="0"/>
    <x v="2"/>
    <n v="30"/>
    <s v="Kariyer.net"/>
    <m/>
    <n v="2"/>
    <s v="20-29"/>
    <s v="1-3 YIL"/>
    <x v="2"/>
  </r>
  <r>
    <s v="PER0751"/>
    <s v="Gamze Kaya"/>
    <x v="0"/>
    <d v="1999-12-04T00:00:00"/>
    <n v="27"/>
    <s v="Evli"/>
    <n v="2"/>
    <s v="Lisans"/>
    <x v="0"/>
    <s v="Operatör"/>
    <s v="Junior"/>
    <x v="0"/>
    <s v="Üretim &amp; Operasyon Müdürü"/>
    <x v="4"/>
    <d v="2022-11-29T00:00:00"/>
    <s v="-"/>
    <x v="2"/>
    <s v="-"/>
    <x v="1"/>
    <n v="26200"/>
    <n v="0"/>
    <n v="23"/>
    <n v="28"/>
    <s v="01-Istirahat"/>
    <n v="2"/>
    <n v="11"/>
    <n v="0"/>
    <n v="0"/>
    <x v="3"/>
    <n v="34"/>
    <s v="Şirket Web Sitesi"/>
    <m/>
    <n v="3"/>
    <s v="20-29"/>
    <s v="3-5 YIL"/>
    <x v="7"/>
  </r>
  <r>
    <s v="PER0752"/>
    <s v="Aslan Özdemir"/>
    <x v="0"/>
    <d v="2000-09-03T00:00:00"/>
    <n v="26"/>
    <s v="Evli"/>
    <n v="1"/>
    <s v="Lisans"/>
    <x v="0"/>
    <s v="Operatör"/>
    <s v="Junior"/>
    <x v="0"/>
    <s v="Üretim &amp; Operasyon Müdürü"/>
    <x v="2"/>
    <d v="2022-07-16T00:00:00"/>
    <s v="-"/>
    <x v="2"/>
    <s v="-"/>
    <x v="1"/>
    <n v="27600"/>
    <n v="0"/>
    <n v="27"/>
    <n v="29"/>
    <s v="10-Devamsizlik"/>
    <n v="0"/>
    <n v="6"/>
    <n v="0"/>
    <n v="1"/>
    <x v="1"/>
    <n v="14"/>
    <s v="LinkedIn"/>
    <m/>
    <n v="3"/>
    <s v="20-29"/>
    <s v="3-5 YIL"/>
    <x v="7"/>
  </r>
  <r>
    <s v="PER0753"/>
    <s v="Ömer Kaya"/>
    <x v="1"/>
    <d v="1989-04-27T00:00:00"/>
    <n v="37"/>
    <s v="Evli"/>
    <n v="2"/>
    <s v="Lisans"/>
    <x v="1"/>
    <s v="Kıdemli Satış Uzmanı"/>
    <s v="Senior"/>
    <x v="1"/>
    <s v="Satış &amp; Pazarlama Müdürü"/>
    <x v="0"/>
    <d v="2021-04-08T00:00:00"/>
    <s v="-"/>
    <x v="2"/>
    <s v="-"/>
    <x v="1"/>
    <n v="58000"/>
    <n v="11200"/>
    <n v="0"/>
    <n v="30"/>
    <s v="-"/>
    <n v="0"/>
    <n v="7"/>
    <n v="0"/>
    <n v="0"/>
    <x v="3"/>
    <n v="30"/>
    <s v="Kariyer.net"/>
    <m/>
    <n v="5"/>
    <s v="30-39"/>
    <s v="5-10 YIL"/>
    <x v="14"/>
  </r>
  <r>
    <s v="PER0754"/>
    <s v="Büşra Öztürk"/>
    <x v="0"/>
    <d v="1982-02-12T00:00:00"/>
    <n v="44"/>
    <s v="Bekar"/>
    <n v="0"/>
    <s v="Yüksek Lisans"/>
    <x v="0"/>
    <s v="Takım Lideri"/>
    <s v="Senior"/>
    <x v="0"/>
    <s v="Üretim &amp; Operasyon Müdürü"/>
    <x v="0"/>
    <d v="2021-03-23T00:00:00"/>
    <s v="-"/>
    <x v="2"/>
    <s v="-"/>
    <x v="1"/>
    <n v="42700"/>
    <n v="0"/>
    <n v="33"/>
    <n v="30"/>
    <s v="-"/>
    <n v="0"/>
    <n v="7"/>
    <n v="0"/>
    <n v="0"/>
    <x v="1"/>
    <n v="3"/>
    <s v="LinkedIn"/>
    <m/>
    <n v="5"/>
    <s v="40-49"/>
    <s v="5-10 YIL"/>
    <x v="14"/>
  </r>
  <r>
    <s v="PER0755"/>
    <s v="Burak Kaya"/>
    <x v="1"/>
    <d v="2004-05-14T00:00:00"/>
    <n v="22"/>
    <s v="Evli"/>
    <n v="1"/>
    <s v="Önlisans"/>
    <x v="0"/>
    <s v="Operatör"/>
    <s v="Junior"/>
    <x v="0"/>
    <s v="Üretim &amp; Operasyon Müdürü"/>
    <x v="2"/>
    <d v="2024-01-21T00:00:00"/>
    <s v="-"/>
    <x v="2"/>
    <s v="-"/>
    <x v="1"/>
    <n v="28200"/>
    <n v="0"/>
    <n v="26"/>
    <n v="29"/>
    <s v="01-Istirahat"/>
    <n v="1"/>
    <n v="1"/>
    <n v="0"/>
    <n v="0"/>
    <x v="1"/>
    <n v="15"/>
    <s v="Şirket Web Sitesi"/>
    <m/>
    <n v="2"/>
    <s v="20-29"/>
    <s v="1-3 YIL"/>
    <x v="2"/>
  </r>
  <r>
    <s v="PER0756"/>
    <s v="Kübra Çelik"/>
    <x v="0"/>
    <d v="1991-11-10T00:00:00"/>
    <n v="35"/>
    <s v="Bekar"/>
    <n v="0"/>
    <s v="Lisans"/>
    <x v="1"/>
    <s v="Kıdemli Satış Uzmanı"/>
    <s v="Senior"/>
    <x v="1"/>
    <s v="Satış &amp; Pazarlama Müdürü"/>
    <x v="0"/>
    <d v="2016-11-28T00:00:00"/>
    <s v="-"/>
    <x v="2"/>
    <s v="-"/>
    <x v="1"/>
    <n v="58500"/>
    <n v="6400"/>
    <n v="1"/>
    <n v="30"/>
    <s v="-"/>
    <n v="0"/>
    <n v="9"/>
    <n v="0"/>
    <n v="0"/>
    <x v="1"/>
    <n v="16"/>
    <s v="Kariyer.net"/>
    <m/>
    <n v="9"/>
    <s v="30-39"/>
    <s v="5-10 YIL"/>
    <x v="13"/>
  </r>
  <r>
    <s v="PER0757"/>
    <s v="Volkan Doğan"/>
    <x v="1"/>
    <d v="1995-08-03T00:00:00"/>
    <n v="31"/>
    <s v="Bekar"/>
    <n v="0"/>
    <s v="Önlisans"/>
    <x v="3"/>
    <s v="Kıdemli Yazılım Uzmanı"/>
    <s v="Senior"/>
    <x v="1"/>
    <s v="Bilgi Teknolojileri Müdürü"/>
    <x v="0"/>
    <d v="2014-08-31T00:00:00"/>
    <d v="2024-05-22T00:00:00"/>
    <x v="3"/>
    <n v="17"/>
    <x v="0"/>
    <n v="81100"/>
    <n v="7700"/>
    <n v="6"/>
    <n v="30"/>
    <s v="-"/>
    <n v="0"/>
    <n v="7"/>
    <n v="0"/>
    <n v="0"/>
    <x v="1"/>
    <n v="7"/>
    <s v="LinkedIn"/>
    <m/>
    <n v="11"/>
    <s v="30-39"/>
    <s v="10+"/>
    <x v="6"/>
  </r>
  <r>
    <s v="PER0758"/>
    <s v="Hasan Şahin"/>
    <x v="1"/>
    <d v="1990-10-04T00:00:00"/>
    <n v="36"/>
    <s v="Evli"/>
    <n v="0"/>
    <s v="Lisans"/>
    <x v="0"/>
    <s v="Takım Lideri"/>
    <s v="Senior"/>
    <x v="0"/>
    <s v="Üretim &amp; Operasyon Müdürü"/>
    <x v="0"/>
    <d v="2020-07-09T00:00:00"/>
    <s v="-"/>
    <x v="2"/>
    <s v="-"/>
    <x v="1"/>
    <n v="46000"/>
    <n v="0"/>
    <n v="25"/>
    <n v="29"/>
    <s v="01-Istirahat"/>
    <n v="1"/>
    <n v="8"/>
    <n v="0"/>
    <n v="0"/>
    <x v="1"/>
    <n v="10"/>
    <s v="LinkedIn"/>
    <m/>
    <n v="5"/>
    <s v="30-39"/>
    <s v="5-10 YIL"/>
    <x v="5"/>
  </r>
  <r>
    <s v="PER0759"/>
    <s v="Gamze Demir"/>
    <x v="0"/>
    <d v="1996-11-02T00:00:00"/>
    <n v="30"/>
    <s v="Bekar"/>
    <n v="0"/>
    <s v="Lisans"/>
    <x v="0"/>
    <s v="Takım Lideri"/>
    <s v="Senior"/>
    <x v="0"/>
    <s v="Üretim &amp; Operasyon Müdürü"/>
    <x v="0"/>
    <d v="2015-08-01T00:00:00"/>
    <s v="-"/>
    <x v="2"/>
    <s v="-"/>
    <x v="1"/>
    <n v="42000"/>
    <n v="0"/>
    <n v="19"/>
    <n v="28"/>
    <s v="01-Istirahat"/>
    <n v="2"/>
    <n v="10"/>
    <n v="0"/>
    <n v="0"/>
    <x v="4"/>
    <n v="13"/>
    <s v="Danışmanlık Firması"/>
    <m/>
    <n v="10"/>
    <s v="30-39"/>
    <s v="5-10 YIL"/>
    <x v="8"/>
  </r>
  <r>
    <s v="PER0760"/>
    <s v="Büşra Doğan"/>
    <x v="0"/>
    <d v="1981-01-27T00:00:00"/>
    <n v="45"/>
    <s v="Evli"/>
    <n v="2"/>
    <s v="Lisans"/>
    <x v="2"/>
    <s v="Mali İşler Uzmanı"/>
    <s v="Senior"/>
    <x v="1"/>
    <s v="Finans &amp; Muhasebe Müdürü"/>
    <x v="2"/>
    <d v="2017-10-10T00:00:00"/>
    <s v="-"/>
    <x v="2"/>
    <s v="-"/>
    <x v="1"/>
    <n v="55900"/>
    <n v="0"/>
    <n v="5"/>
    <n v="30"/>
    <s v="-"/>
    <n v="0"/>
    <n v="3"/>
    <n v="0"/>
    <n v="0"/>
    <x v="1"/>
    <n v="5"/>
    <s v="Referans"/>
    <m/>
    <n v="8"/>
    <s v="40-49"/>
    <s v="5-10 YIL"/>
    <x v="4"/>
  </r>
  <r>
    <s v="PER0761"/>
    <s v="Aslan Aslan"/>
    <x v="0"/>
    <d v="1975-07-13T00:00:00"/>
    <n v="51"/>
    <s v="Bekar"/>
    <n v="0"/>
    <s v="Lisans"/>
    <x v="1"/>
    <s v="Satış Müdürü"/>
    <s v="Manager"/>
    <x v="1"/>
    <s v="Genel Müdür"/>
    <x v="0"/>
    <d v="2008-08-02T00:00:00"/>
    <d v="2025-06-09T00:00:00"/>
    <x v="3"/>
    <n v="17"/>
    <x v="0"/>
    <n v="106500"/>
    <n v="0"/>
    <n v="2"/>
    <n v="30"/>
    <s v="-"/>
    <n v="0"/>
    <n v="0"/>
    <n v="0"/>
    <n v="0"/>
    <x v="4"/>
    <n v="14"/>
    <s v="LinkedIn"/>
    <m/>
    <n v="17"/>
    <s v="50+"/>
    <s v="10+"/>
    <x v="15"/>
  </r>
  <r>
    <s v="PER0762"/>
    <s v="Emre Özdemir"/>
    <x v="1"/>
    <d v="1987-09-10T00:00:00"/>
    <n v="39"/>
    <s v="Bekar"/>
    <n v="0"/>
    <s v="Lisans"/>
    <x v="4"/>
    <s v="İK Uzmanı"/>
    <s v="Senior"/>
    <x v="1"/>
    <s v="İnsan Kaynakları Müdürü"/>
    <x v="0"/>
    <d v="2020-12-04T00:00:00"/>
    <d v="2022-12-21T00:00:00"/>
    <x v="4"/>
    <n v="3"/>
    <x v="0"/>
    <n v="50400"/>
    <n v="3400"/>
    <n v="1"/>
    <n v="27"/>
    <s v="01-Istirahat"/>
    <n v="3"/>
    <n v="5"/>
    <n v="0"/>
    <n v="0"/>
    <x v="3"/>
    <n v="17"/>
    <s v="LinkedIn"/>
    <m/>
    <n v="5"/>
    <s v="30-39"/>
    <s v="5-10 YIL"/>
    <x v="5"/>
  </r>
  <r>
    <s v="PER0763"/>
    <s v="Serkan Yıldız"/>
    <x v="1"/>
    <d v="2004-01-07T00:00:00"/>
    <n v="22"/>
    <s v="Evli"/>
    <n v="3"/>
    <s v="Lisans"/>
    <x v="3"/>
    <s v="Yazılım Uzman Yardımcısı"/>
    <s v="Junior"/>
    <x v="1"/>
    <s v="Bilgi Teknolojileri Müdürü"/>
    <x v="0"/>
    <d v="2024-01-30T00:00:00"/>
    <s v="-"/>
    <x v="2"/>
    <s v="-"/>
    <x v="1"/>
    <n v="45900"/>
    <n v="0"/>
    <n v="0"/>
    <n v="27"/>
    <s v="01-Istirahat"/>
    <n v="3"/>
    <n v="13"/>
    <n v="0"/>
    <n v="0"/>
    <x v="1"/>
    <n v="16"/>
    <s v="Kariyer.net"/>
    <m/>
    <n v="2"/>
    <s v="20-29"/>
    <s v="1-3 YIL"/>
    <x v="2"/>
  </r>
  <r>
    <s v="PER0764"/>
    <s v="Ayşe Kaya"/>
    <x v="0"/>
    <d v="1981-08-18T00:00:00"/>
    <n v="45"/>
    <s v="Bekar"/>
    <n v="0"/>
    <s v="Yüksek Lisans"/>
    <x v="3"/>
    <s v="Kıdemli Yazılım Uzmanı"/>
    <s v="Senior"/>
    <x v="1"/>
    <s v="Bilgi Teknolojileri Müdürü"/>
    <x v="0"/>
    <d v="2019-07-23T00:00:00"/>
    <s v="-"/>
    <x v="2"/>
    <s v="-"/>
    <x v="1"/>
    <n v="72100"/>
    <n v="0"/>
    <n v="0"/>
    <n v="25"/>
    <s v="01-Istirahat"/>
    <n v="5"/>
    <n v="4"/>
    <n v="0"/>
    <n v="0"/>
    <x v="3"/>
    <n v="36"/>
    <s v="Kariyer.net"/>
    <m/>
    <n v="6"/>
    <s v="40-49"/>
    <s v="5-10 YIL"/>
    <x v="11"/>
  </r>
  <r>
    <s v="PER0765"/>
    <s v="Büşra Aslan"/>
    <x v="0"/>
    <d v="1997-05-13T00:00:00"/>
    <n v="29"/>
    <s v="Evli"/>
    <n v="0"/>
    <s v="Lisans"/>
    <x v="3"/>
    <s v="Yazılım Uzman Yardımcısı"/>
    <s v="Junior"/>
    <x v="1"/>
    <s v="Bilgi Teknolojileri Müdürü"/>
    <x v="2"/>
    <d v="2025-02-25T00:00:00"/>
    <d v="2026-01-11T00:00:00"/>
    <x v="1"/>
    <n v="4"/>
    <x v="0"/>
    <n v="46100"/>
    <n v="0"/>
    <n v="9"/>
    <n v="30"/>
    <s v="-"/>
    <n v="0"/>
    <n v="12"/>
    <n v="0"/>
    <n v="0"/>
    <x v="0"/>
    <n v="10"/>
    <s v="Kariyer.net"/>
    <m/>
    <n v="1"/>
    <s v="20-29"/>
    <s v="1-3 YIL"/>
    <x v="0"/>
  </r>
  <r>
    <s v="PER0766"/>
    <s v="Mehmet Demir"/>
    <x v="1"/>
    <d v="2003-06-18T00:00:00"/>
    <n v="23"/>
    <s v="Bekar"/>
    <n v="0"/>
    <s v="Lisans"/>
    <x v="3"/>
    <s v="Yazılım Uzman Yardımcısı"/>
    <s v="Junior"/>
    <x v="1"/>
    <s v="Bilgi Teknolojileri Müdürü"/>
    <x v="0"/>
    <d v="2024-10-14T00:00:00"/>
    <s v="-"/>
    <x v="2"/>
    <s v="-"/>
    <x v="1"/>
    <n v="47200"/>
    <n v="6000"/>
    <n v="4"/>
    <n v="30"/>
    <s v="-"/>
    <n v="0"/>
    <n v="2"/>
    <n v="0"/>
    <n v="0"/>
    <x v="3"/>
    <n v="33"/>
    <s v="LinkedIn"/>
    <m/>
    <n v="1"/>
    <s v="20-29"/>
    <s v="1-3 YIL"/>
    <x v="2"/>
  </r>
  <r>
    <s v="PER0767"/>
    <s v="Hilal Kılıç"/>
    <x v="0"/>
    <d v="2001-12-23T00:00:00"/>
    <n v="25"/>
    <s v="Bekar"/>
    <n v="0"/>
    <s v="Lisans"/>
    <x v="0"/>
    <s v="Operatör"/>
    <s v="Junior"/>
    <x v="0"/>
    <s v="Üretim &amp; Operasyon Müdürü"/>
    <x v="0"/>
    <d v="2025-09-16T00:00:00"/>
    <s v="-"/>
    <x v="2"/>
    <s v="-"/>
    <x v="1"/>
    <n v="28200"/>
    <n v="0"/>
    <n v="29"/>
    <n v="30"/>
    <s v="-"/>
    <n v="0"/>
    <n v="0"/>
    <n v="0"/>
    <n v="0"/>
    <x v="3"/>
    <n v="19"/>
    <s v="Kariyer.net"/>
    <m/>
    <n v="0"/>
    <s v="20-29"/>
    <s v="0-1 YIL"/>
    <x v="0"/>
  </r>
  <r>
    <s v="PER0768"/>
    <s v="Burak Yıldız"/>
    <x v="1"/>
    <d v="1992-05-06T00:00:00"/>
    <n v="34"/>
    <s v="Evli"/>
    <n v="1"/>
    <s v="Yüksek Lisans"/>
    <x v="1"/>
    <s v="Kıdemli Satış Uzmanı"/>
    <s v="Senior"/>
    <x v="1"/>
    <s v="Satış &amp; Pazarlama Müdürü"/>
    <x v="3"/>
    <d v="2017-09-15T00:00:00"/>
    <s v="-"/>
    <x v="2"/>
    <s v="-"/>
    <x v="1"/>
    <n v="57900"/>
    <n v="17700"/>
    <n v="1"/>
    <n v="30"/>
    <s v="-"/>
    <n v="0"/>
    <n v="2"/>
    <n v="0"/>
    <n v="0"/>
    <x v="3"/>
    <n v="18"/>
    <s v="Şirket Web Sitesi"/>
    <m/>
    <n v="8"/>
    <s v="30-39"/>
    <s v="5-10 YIL"/>
    <x v="4"/>
  </r>
  <r>
    <s v="PER0769"/>
    <s v="Fatma Çelik"/>
    <x v="0"/>
    <d v="1999-04-01T00:00:00"/>
    <n v="27"/>
    <s v="Evli"/>
    <n v="0"/>
    <s v="Doktora"/>
    <x v="0"/>
    <s v="Operatör"/>
    <s v="Junior"/>
    <x v="0"/>
    <s v="Üretim &amp; Operasyon Müdürü"/>
    <x v="0"/>
    <d v="2025-03-10T00:00:00"/>
    <s v="-"/>
    <x v="2"/>
    <s v="-"/>
    <x v="1"/>
    <n v="25700"/>
    <n v="0"/>
    <n v="10"/>
    <n v="27"/>
    <s v="02-Ucretsiz Izin"/>
    <n v="0"/>
    <n v="0"/>
    <n v="3"/>
    <n v="0"/>
    <x v="0"/>
    <n v="7"/>
    <s v="Kariyer.net"/>
    <m/>
    <n v="1"/>
    <s v="20-29"/>
    <s v="1-3 YIL"/>
    <x v="0"/>
  </r>
  <r>
    <s v="PER0770"/>
    <s v="Oğuzhan Aydın"/>
    <x v="1"/>
    <d v="2000-06-02T00:00:00"/>
    <n v="26"/>
    <s v="Evli"/>
    <n v="2"/>
    <s v="Lisans"/>
    <x v="1"/>
    <s v="Satış Temsilcisi"/>
    <s v="Junior"/>
    <x v="1"/>
    <s v="Satış &amp; Pazarlama Müdürü"/>
    <x v="4"/>
    <d v="2022-10-06T00:00:00"/>
    <s v="-"/>
    <x v="2"/>
    <s v="-"/>
    <x v="1"/>
    <n v="33100"/>
    <n v="10500"/>
    <n v="1"/>
    <n v="30"/>
    <s v="-"/>
    <n v="0"/>
    <n v="5"/>
    <n v="0"/>
    <n v="0"/>
    <x v="1"/>
    <n v="8"/>
    <s v="LinkedIn"/>
    <m/>
    <n v="3"/>
    <s v="20-29"/>
    <s v="3-5 YIL"/>
    <x v="7"/>
  </r>
  <r>
    <s v="PER0771"/>
    <s v="Hüseyin Çelik"/>
    <x v="1"/>
    <d v="2001-04-18T00:00:00"/>
    <n v="25"/>
    <s v="Bekar"/>
    <n v="0"/>
    <s v="Lisans"/>
    <x v="2"/>
    <s v="Muhasebe Elemanı"/>
    <s v="Junior"/>
    <x v="1"/>
    <s v="Finans &amp; Muhasebe Müdürü"/>
    <x v="2"/>
    <d v="2024-04-24T00:00:00"/>
    <s v="-"/>
    <x v="2"/>
    <s v="-"/>
    <x v="1"/>
    <n v="39600"/>
    <n v="0"/>
    <n v="4"/>
    <n v="27"/>
    <s v="02-Ucretsiz Izin"/>
    <n v="0"/>
    <n v="9"/>
    <n v="3"/>
    <n v="0"/>
    <x v="1"/>
    <n v="18"/>
    <s v="Kariyer.net"/>
    <m/>
    <n v="2"/>
    <s v="20-29"/>
    <s v="1-3 YIL"/>
    <x v="2"/>
  </r>
  <r>
    <s v="PER0772"/>
    <s v="Oğuzhan Arslan"/>
    <x v="1"/>
    <d v="2002-03-12T00:00:00"/>
    <n v="24"/>
    <s v="Evli"/>
    <n v="1"/>
    <s v="Lisans"/>
    <x v="0"/>
    <s v="Operatör"/>
    <s v="Junior"/>
    <x v="0"/>
    <s v="Üretim &amp; Operasyon Müdürü"/>
    <x v="1"/>
    <d v="2023-04-15T00:00:00"/>
    <s v="-"/>
    <x v="2"/>
    <s v="-"/>
    <x v="1"/>
    <n v="28100"/>
    <n v="0"/>
    <n v="34"/>
    <n v="29"/>
    <s v="01-Istirahat"/>
    <n v="1"/>
    <n v="8"/>
    <n v="0"/>
    <n v="0"/>
    <x v="4"/>
    <n v="6"/>
    <s v="Danışmanlık Firması"/>
    <m/>
    <n v="3"/>
    <s v="20-29"/>
    <s v="3-5 YIL"/>
    <x v="9"/>
  </r>
  <r>
    <s v="PER0773"/>
    <s v="Can Şahin"/>
    <x v="1"/>
    <d v="1997-11-26T00:00:00"/>
    <n v="29"/>
    <s v="Evli"/>
    <n v="2"/>
    <s v="Lisans"/>
    <x v="0"/>
    <s v="Operatör"/>
    <s v="Junior"/>
    <x v="0"/>
    <s v="Üretim &amp; Operasyon Müdürü"/>
    <x v="1"/>
    <d v="2024-10-24T00:00:00"/>
    <s v="-"/>
    <x v="2"/>
    <s v="-"/>
    <x v="1"/>
    <n v="25900"/>
    <n v="0"/>
    <n v="36"/>
    <n v="30"/>
    <s v="-"/>
    <n v="0"/>
    <n v="6"/>
    <n v="0"/>
    <n v="0"/>
    <x v="0"/>
    <n v="9"/>
    <s v="Kariyer.net"/>
    <m/>
    <n v="1"/>
    <s v="20-29"/>
    <s v="1-3 YIL"/>
    <x v="2"/>
  </r>
  <r>
    <s v="PER0774"/>
    <s v="Merve Kara"/>
    <x v="0"/>
    <d v="1996-08-04T00:00:00"/>
    <n v="30"/>
    <s v="Evli"/>
    <n v="2"/>
    <s v="Lisans"/>
    <x v="1"/>
    <s v="Kıdemli Satış Uzmanı"/>
    <s v="Senior"/>
    <x v="1"/>
    <s v="Satış &amp; Pazarlama Müdürü"/>
    <x v="4"/>
    <d v="2020-03-04T00:00:00"/>
    <s v="-"/>
    <x v="2"/>
    <s v="-"/>
    <x v="1"/>
    <n v="56400"/>
    <n v="18700"/>
    <n v="0"/>
    <n v="30"/>
    <s v="-"/>
    <n v="0"/>
    <n v="0"/>
    <n v="0"/>
    <n v="0"/>
    <x v="0"/>
    <n v="4"/>
    <s v="Kariyer.net"/>
    <m/>
    <n v="6"/>
    <s v="30-39"/>
    <s v="5-10 YIL"/>
    <x v="5"/>
  </r>
  <r>
    <s v="PER0775"/>
    <s v="Mustafa Aydın"/>
    <x v="1"/>
    <d v="1980-08-13T00:00:00"/>
    <n v="46"/>
    <s v="Bekar"/>
    <n v="0"/>
    <s v="Lisans"/>
    <x v="0"/>
    <s v="Takım Lideri"/>
    <s v="Senior"/>
    <x v="0"/>
    <s v="Üretim &amp; Operasyon Müdürü"/>
    <x v="3"/>
    <d v="2022-12-27T00:00:00"/>
    <s v="-"/>
    <x v="2"/>
    <s v="-"/>
    <x v="1"/>
    <n v="38900"/>
    <n v="0"/>
    <n v="19"/>
    <n v="30"/>
    <s v="-"/>
    <n v="0"/>
    <n v="0"/>
    <n v="0"/>
    <n v="0"/>
    <x v="1"/>
    <n v="18"/>
    <s v="LinkedIn"/>
    <m/>
    <n v="3"/>
    <s v="40-49"/>
    <s v="3-5 YIL"/>
    <x v="7"/>
  </r>
  <r>
    <s v="PER0776"/>
    <s v="Hüseyin Aydın"/>
    <x v="1"/>
    <d v="1974-06-18T00:00:00"/>
    <n v="52"/>
    <s v="Evli"/>
    <n v="2"/>
    <s v="Doktora"/>
    <x v="0"/>
    <s v="Üretim Müdürü"/>
    <s v="Manager"/>
    <x v="1"/>
    <s v="Genel Müdür"/>
    <x v="0"/>
    <d v="2019-04-26T00:00:00"/>
    <s v="-"/>
    <x v="2"/>
    <s v="-"/>
    <x v="1"/>
    <n v="101400"/>
    <n v="0"/>
    <n v="2"/>
    <n v="30"/>
    <s v="-"/>
    <n v="0"/>
    <n v="9"/>
    <n v="0"/>
    <n v="0"/>
    <x v="4"/>
    <n v="15"/>
    <s v="Kariyer.net"/>
    <m/>
    <n v="7"/>
    <s v="50+"/>
    <s v="5-10 YIL"/>
    <x v="11"/>
  </r>
  <r>
    <s v="PER0777"/>
    <s v="Hilal Kara"/>
    <x v="0"/>
    <d v="1991-06-26T00:00:00"/>
    <n v="35"/>
    <s v="Evli"/>
    <n v="2"/>
    <s v="Lisans"/>
    <x v="0"/>
    <s v="Takım Lideri"/>
    <s v="Senior"/>
    <x v="0"/>
    <s v="Üretim &amp; Operasyon Müdürü"/>
    <x v="0"/>
    <d v="2023-05-20T00:00:00"/>
    <d v="2026-04-13T00:00:00"/>
    <x v="4"/>
    <n v="3"/>
    <x v="0"/>
    <n v="44900"/>
    <n v="0"/>
    <n v="26"/>
    <n v="30"/>
    <s v="-"/>
    <n v="0"/>
    <n v="3"/>
    <n v="0"/>
    <n v="0"/>
    <x v="3"/>
    <n v="23"/>
    <s v="LinkedIn"/>
    <m/>
    <n v="3"/>
    <s v="30-39"/>
    <s v="3-5 YIL"/>
    <x v="9"/>
  </r>
  <r>
    <s v="PER0778"/>
    <s v="Ali Kaya"/>
    <x v="1"/>
    <d v="2000-09-04T00:00:00"/>
    <n v="26"/>
    <s v="Bekar"/>
    <n v="0"/>
    <s v="Lisans"/>
    <x v="0"/>
    <s v="Operatör"/>
    <s v="Junior"/>
    <x v="0"/>
    <s v="Üretim &amp; Operasyon Müdürü"/>
    <x v="2"/>
    <d v="2024-05-30T00:00:00"/>
    <s v="-"/>
    <x v="2"/>
    <s v="-"/>
    <x v="1"/>
    <n v="27300"/>
    <n v="0"/>
    <n v="20"/>
    <n v="30"/>
    <s v="-"/>
    <n v="0"/>
    <n v="12"/>
    <n v="0"/>
    <n v="0"/>
    <x v="1"/>
    <n v="9"/>
    <s v="Danışmanlık Firması"/>
    <m/>
    <n v="2"/>
    <s v="20-29"/>
    <s v="1-3 YIL"/>
    <x v="2"/>
  </r>
  <r>
    <s v="PER0779"/>
    <s v="Oğuzhan Aydın"/>
    <x v="1"/>
    <d v="1986-11-08T00:00:00"/>
    <n v="40"/>
    <s v="Bekar"/>
    <n v="0"/>
    <s v="Lisans"/>
    <x v="0"/>
    <s v="Üretim Müdürü"/>
    <s v="Manager"/>
    <x v="1"/>
    <s v="Genel Müdür"/>
    <x v="2"/>
    <d v="2013-07-17T00:00:00"/>
    <s v="-"/>
    <x v="2"/>
    <s v="-"/>
    <x v="1"/>
    <n v="92600"/>
    <n v="0"/>
    <n v="5"/>
    <n v="20"/>
    <s v="01-Istirahat"/>
    <n v="10"/>
    <n v="4"/>
    <n v="0"/>
    <n v="0"/>
    <x v="1"/>
    <n v="18"/>
    <s v="LinkedIn"/>
    <m/>
    <n v="12"/>
    <s v="40-49"/>
    <s v="10+"/>
    <x v="10"/>
  </r>
  <r>
    <s v="PER0780"/>
    <s v="Burak Aslan"/>
    <x v="1"/>
    <d v="1990-07-04T00:00:00"/>
    <n v="36"/>
    <s v="Bekar"/>
    <n v="0"/>
    <s v="Önlisans"/>
    <x v="3"/>
    <s v="BT Müdürü"/>
    <s v="Manager"/>
    <x v="1"/>
    <s v="Genel Müdür"/>
    <x v="3"/>
    <d v="2016-04-24T00:00:00"/>
    <s v="-"/>
    <x v="2"/>
    <s v="-"/>
    <x v="1"/>
    <n v="131100"/>
    <n v="0"/>
    <n v="9"/>
    <n v="30"/>
    <s v="-"/>
    <n v="0"/>
    <n v="2"/>
    <n v="0"/>
    <n v="0"/>
    <x v="1"/>
    <n v="16"/>
    <s v="LinkedIn"/>
    <m/>
    <n v="10"/>
    <s v="30-39"/>
    <s v="5-10 YIL"/>
    <x v="13"/>
  </r>
  <r>
    <s v="PER0781"/>
    <s v="Can Aydın"/>
    <x v="1"/>
    <d v="2003-11-22T00:00:00"/>
    <n v="23"/>
    <s v="Bekar"/>
    <n v="0"/>
    <s v="Lisans"/>
    <x v="4"/>
    <s v="İK Uzman Yardımcısı"/>
    <s v="Junior"/>
    <x v="1"/>
    <s v="İnsan Kaynakları Müdürü"/>
    <x v="0"/>
    <d v="2023-01-04T00:00:00"/>
    <s v="-"/>
    <x v="2"/>
    <s v="-"/>
    <x v="1"/>
    <n v="32900"/>
    <n v="1800"/>
    <n v="8"/>
    <n v="30"/>
    <s v="-"/>
    <n v="0"/>
    <n v="8"/>
    <n v="0"/>
    <n v="0"/>
    <x v="1"/>
    <n v="10"/>
    <s v="Kariyer.net"/>
    <m/>
    <n v="3"/>
    <s v="20-29"/>
    <s v="3-5 YIL"/>
    <x v="9"/>
  </r>
  <r>
    <s v="PER0782"/>
    <s v="Hüseyin Yılmaz"/>
    <x v="1"/>
    <d v="2000-10-06T00:00:00"/>
    <n v="26"/>
    <s v="Bekar"/>
    <n v="0"/>
    <s v="Lisans"/>
    <x v="0"/>
    <s v="Operatör"/>
    <s v="Junior"/>
    <x v="0"/>
    <s v="Üretim &amp; Operasyon Müdürü"/>
    <x v="0"/>
    <d v="2024-08-15T00:00:00"/>
    <s v="-"/>
    <x v="2"/>
    <s v="-"/>
    <x v="1"/>
    <n v="28400"/>
    <n v="0"/>
    <n v="22"/>
    <n v="30"/>
    <s v="-"/>
    <n v="0"/>
    <n v="9"/>
    <n v="0"/>
    <n v="0"/>
    <x v="1"/>
    <n v="15"/>
    <s v="Kariyer.net"/>
    <m/>
    <n v="1"/>
    <s v="20-29"/>
    <s v="1-3 YIL"/>
    <x v="2"/>
  </r>
  <r>
    <s v="PER0783"/>
    <s v="Hilal Demir"/>
    <x v="0"/>
    <d v="1990-04-11T00:00:00"/>
    <n v="36"/>
    <s v="Bekar"/>
    <n v="0"/>
    <s v="Lisans"/>
    <x v="1"/>
    <s v="Satış Müdürü"/>
    <s v="Manager"/>
    <x v="1"/>
    <s v="Genel Müdür"/>
    <x v="0"/>
    <d v="2010-11-13T00:00:00"/>
    <s v="-"/>
    <x v="2"/>
    <s v="-"/>
    <x v="1"/>
    <n v="116900"/>
    <n v="33200"/>
    <n v="3"/>
    <n v="30"/>
    <s v="-"/>
    <n v="0"/>
    <n v="9"/>
    <n v="0"/>
    <n v="0"/>
    <x v="1"/>
    <n v="17"/>
    <s v="Kariyer.net"/>
    <m/>
    <n v="15"/>
    <s v="30-39"/>
    <s v="10+"/>
    <x v="16"/>
  </r>
  <r>
    <s v="PER0784"/>
    <s v="Ali Çetin"/>
    <x v="1"/>
    <d v="1983-07-26T00:00:00"/>
    <n v="43"/>
    <s v="Bekar"/>
    <n v="0"/>
    <s v="Lisans"/>
    <x v="1"/>
    <s v="Kıdemli Satış Uzmanı"/>
    <s v="Senior"/>
    <x v="1"/>
    <s v="Satış &amp; Pazarlama Müdürü"/>
    <x v="0"/>
    <d v="2017-02-20T00:00:00"/>
    <s v="-"/>
    <x v="2"/>
    <s v="-"/>
    <x v="1"/>
    <n v="61700"/>
    <n v="19200"/>
    <n v="5"/>
    <n v="29"/>
    <s v="01-Istirahat"/>
    <n v="1"/>
    <n v="9"/>
    <n v="0"/>
    <n v="0"/>
    <x v="1"/>
    <n v="19"/>
    <s v="LinkedIn"/>
    <m/>
    <n v="9"/>
    <s v="40-49"/>
    <s v="5-10 YIL"/>
    <x v="4"/>
  </r>
  <r>
    <s v="PER0785"/>
    <s v="Oğuzhan Yılmaz"/>
    <x v="1"/>
    <d v="1985-06-09T00:00:00"/>
    <n v="41"/>
    <s v="Evli"/>
    <n v="0"/>
    <s v="Doktora"/>
    <x v="1"/>
    <s v="Kıdemli Satış Uzmanı"/>
    <s v="Senior"/>
    <x v="1"/>
    <s v="Satış &amp; Pazarlama Müdürü"/>
    <x v="0"/>
    <d v="2018-12-22T00:00:00"/>
    <s v="-"/>
    <x v="2"/>
    <s v="-"/>
    <x v="1"/>
    <n v="58400"/>
    <n v="0"/>
    <n v="5"/>
    <n v="30"/>
    <s v="-"/>
    <n v="0"/>
    <n v="4"/>
    <n v="0"/>
    <n v="0"/>
    <x v="1"/>
    <n v="12"/>
    <s v="Kariyer.net"/>
    <m/>
    <n v="7"/>
    <s v="40-49"/>
    <s v="5-10 YIL"/>
    <x v="1"/>
  </r>
  <r>
    <s v="PER0786"/>
    <s v="Mustafa Kara"/>
    <x v="1"/>
    <d v="2003-06-03T00:00:00"/>
    <n v="23"/>
    <s v="Evli"/>
    <n v="1"/>
    <s v="Lisans"/>
    <x v="0"/>
    <s v="Operatör"/>
    <s v="Junior"/>
    <x v="0"/>
    <s v="Üretim &amp; Operasyon Müdürü"/>
    <x v="0"/>
    <d v="2025-07-04T00:00:00"/>
    <s v="-"/>
    <x v="2"/>
    <s v="-"/>
    <x v="1"/>
    <n v="24000"/>
    <n v="0"/>
    <n v="16"/>
    <n v="30"/>
    <s v="-"/>
    <n v="0"/>
    <n v="0"/>
    <n v="0"/>
    <n v="0"/>
    <x v="3"/>
    <n v="23"/>
    <s v="Kariyer.net"/>
    <m/>
    <n v="0"/>
    <s v="20-29"/>
    <s v="0-1 YIL"/>
    <x v="0"/>
  </r>
  <r>
    <s v="PER0787"/>
    <s v="Serkan Kaya"/>
    <x v="1"/>
    <d v="1980-10-05T00:00:00"/>
    <n v="46"/>
    <s v="Evli"/>
    <n v="2"/>
    <s v="Lisans"/>
    <x v="3"/>
    <s v="Kıdemli Yazılım Uzmanı"/>
    <s v="Senior"/>
    <x v="1"/>
    <s v="Bilgi Teknolojileri Müdürü"/>
    <x v="0"/>
    <d v="2023-02-27T00:00:00"/>
    <s v="-"/>
    <x v="2"/>
    <s v="-"/>
    <x v="1"/>
    <n v="78500"/>
    <n v="8100"/>
    <n v="1"/>
    <n v="30"/>
    <s v="-"/>
    <n v="0"/>
    <n v="4"/>
    <n v="0"/>
    <n v="0"/>
    <x v="1"/>
    <n v="11"/>
    <s v="Kariyer.net"/>
    <m/>
    <n v="3"/>
    <s v="40-49"/>
    <s v="3-5 YIL"/>
    <x v="9"/>
  </r>
  <r>
    <s v="PER0788"/>
    <s v="Serkan Çelik"/>
    <x v="1"/>
    <d v="1979-04-23T00:00:00"/>
    <n v="47"/>
    <s v="Evli"/>
    <n v="1"/>
    <s v="Lisans"/>
    <x v="4"/>
    <s v="İK Uzmanı"/>
    <s v="Senior"/>
    <x v="1"/>
    <s v="İnsan Kaynakları Müdürü"/>
    <x v="0"/>
    <d v="2018-11-28T00:00:00"/>
    <s v="-"/>
    <x v="2"/>
    <s v="-"/>
    <x v="1"/>
    <n v="56700"/>
    <n v="0"/>
    <n v="7"/>
    <n v="28"/>
    <s v="01-Istirahat"/>
    <n v="2"/>
    <n v="7"/>
    <n v="0"/>
    <n v="0"/>
    <x v="1"/>
    <n v="18"/>
    <s v="Şirket Web Sitesi"/>
    <m/>
    <n v="7"/>
    <s v="40-49"/>
    <s v="5-10 YIL"/>
    <x v="1"/>
  </r>
  <r>
    <s v="PER0789"/>
    <s v="Selin Arslan"/>
    <x v="0"/>
    <d v="1988-06-25T00:00:00"/>
    <n v="38"/>
    <s v="Bekar"/>
    <n v="0"/>
    <s v="Lisans"/>
    <x v="0"/>
    <s v="Üretim Müdürü"/>
    <s v="Manager"/>
    <x v="1"/>
    <s v="Genel Müdür"/>
    <x v="2"/>
    <d v="2012-11-03T00:00:00"/>
    <s v="-"/>
    <x v="2"/>
    <s v="-"/>
    <x v="1"/>
    <n v="107200"/>
    <n v="0"/>
    <n v="2"/>
    <n v="30"/>
    <s v="-"/>
    <n v="0"/>
    <n v="0"/>
    <n v="0"/>
    <n v="0"/>
    <x v="1"/>
    <n v="10"/>
    <s v="Referans"/>
    <m/>
    <n v="13"/>
    <s v="30-39"/>
    <s v="10+"/>
    <x v="12"/>
  </r>
  <r>
    <s v="PER0790"/>
    <s v="Volkan Kılıç"/>
    <x v="1"/>
    <d v="2000-07-20T00:00:00"/>
    <n v="26"/>
    <s v="Evli"/>
    <n v="1"/>
    <s v="Yüksek Lisans"/>
    <x v="2"/>
    <s v="Muhasebe Elemanı"/>
    <s v="Junior"/>
    <x v="1"/>
    <s v="Finans &amp; Muhasebe Müdürü"/>
    <x v="4"/>
    <d v="2022-11-12T00:00:00"/>
    <s v="-"/>
    <x v="2"/>
    <s v="-"/>
    <x v="1"/>
    <n v="35500"/>
    <n v="0"/>
    <n v="5"/>
    <n v="30"/>
    <s v="-"/>
    <n v="0"/>
    <n v="10"/>
    <n v="0"/>
    <n v="0"/>
    <x v="3"/>
    <n v="13"/>
    <s v="Kariyer.net"/>
    <m/>
    <n v="3"/>
    <s v="20-29"/>
    <s v="3-5 YIL"/>
    <x v="7"/>
  </r>
  <r>
    <s v="PER0791"/>
    <s v="Can Kara"/>
    <x v="1"/>
    <d v="2000-08-05T00:00:00"/>
    <n v="26"/>
    <s v="Evli"/>
    <n v="3"/>
    <s v="Lisans"/>
    <x v="0"/>
    <s v="Operatör"/>
    <s v="Junior"/>
    <x v="0"/>
    <s v="Üretim &amp; Operasyon Müdürü"/>
    <x v="0"/>
    <d v="2024-05-04T00:00:00"/>
    <s v="-"/>
    <x v="2"/>
    <s v="-"/>
    <x v="1"/>
    <n v="24900"/>
    <n v="0"/>
    <n v="20"/>
    <n v="28"/>
    <s v="01-Istirahat"/>
    <n v="2"/>
    <n v="14"/>
    <n v="0"/>
    <n v="0"/>
    <x v="1"/>
    <n v="8"/>
    <s v="Kariyer.net"/>
    <m/>
    <n v="2"/>
    <s v="20-29"/>
    <s v="1-3 YIL"/>
    <x v="2"/>
  </r>
  <r>
    <s v="PER0792"/>
    <s v="Ayşe Yıldız"/>
    <x v="0"/>
    <d v="2003-10-12T00:00:00"/>
    <n v="23"/>
    <s v="Bekar"/>
    <n v="0"/>
    <s v="Lisans"/>
    <x v="0"/>
    <s v="Operatör"/>
    <s v="Junior"/>
    <x v="0"/>
    <s v="Üretim &amp; Operasyon Müdürü"/>
    <x v="0"/>
    <d v="2024-07-29T00:00:00"/>
    <s v="-"/>
    <x v="2"/>
    <s v="-"/>
    <x v="1"/>
    <n v="25300"/>
    <n v="0"/>
    <n v="29"/>
    <n v="30"/>
    <s v="-"/>
    <n v="0"/>
    <n v="1"/>
    <n v="0"/>
    <n v="0"/>
    <x v="1"/>
    <n v="9"/>
    <s v="LinkedIn"/>
    <m/>
    <n v="1"/>
    <s v="20-29"/>
    <s v="1-3 YIL"/>
    <x v="2"/>
  </r>
  <r>
    <s v="PER0793"/>
    <s v="Kübra Özdemir"/>
    <x v="0"/>
    <d v="1981-04-21T00:00:00"/>
    <n v="45"/>
    <s v="Evli"/>
    <n v="1"/>
    <s v="Lisans"/>
    <x v="0"/>
    <s v="Takım Lideri"/>
    <s v="Senior"/>
    <x v="0"/>
    <s v="Üretim &amp; Operasyon Müdürü"/>
    <x v="0"/>
    <d v="2017-12-09T00:00:00"/>
    <s v="-"/>
    <x v="2"/>
    <s v="-"/>
    <x v="1"/>
    <n v="45200"/>
    <n v="0"/>
    <n v="40"/>
    <n v="30"/>
    <s v="-"/>
    <n v="0"/>
    <n v="11"/>
    <n v="0"/>
    <n v="0"/>
    <x v="1"/>
    <n v="5"/>
    <s v="Kariyer.net"/>
    <m/>
    <n v="8"/>
    <s v="40-49"/>
    <s v="5-10 YIL"/>
    <x v="4"/>
  </r>
  <r>
    <s v="PER0794"/>
    <s v="Ali Öztürk"/>
    <x v="1"/>
    <d v="2000-11-04T00:00:00"/>
    <n v="26"/>
    <s v="Evli"/>
    <n v="1"/>
    <s v="Yüksek Lisans"/>
    <x v="3"/>
    <s v="Yazılım Uzman Yardımcısı"/>
    <s v="Junior"/>
    <x v="1"/>
    <s v="Bilgi Teknolojileri Müdürü"/>
    <x v="4"/>
    <d v="2026-03-22T00:00:00"/>
    <s v="-"/>
    <x v="2"/>
    <s v="-"/>
    <x v="1"/>
    <n v="47500"/>
    <n v="5000"/>
    <n v="9"/>
    <n v="29"/>
    <s v="01-Istirahat"/>
    <n v="1"/>
    <n v="0"/>
    <n v="0"/>
    <n v="0"/>
    <x v="1"/>
    <n v="11"/>
    <s v="Kariyer.net"/>
    <m/>
    <n v="0"/>
    <s v="20-29"/>
    <s v="0-1 YIL"/>
    <x v="3"/>
  </r>
  <r>
    <s v="PER0795"/>
    <s v="Gökhan Öztürk"/>
    <x v="1"/>
    <d v="1979-07-05T00:00:00"/>
    <n v="47"/>
    <s v="Evli"/>
    <n v="1"/>
    <s v="Yüksek Lisans"/>
    <x v="0"/>
    <s v="Takım Lideri"/>
    <s v="Senior"/>
    <x v="0"/>
    <s v="Üretim &amp; Operasyon Müdürü"/>
    <x v="0"/>
    <d v="2014-07-31T00:00:00"/>
    <s v="-"/>
    <x v="2"/>
    <s v="-"/>
    <x v="1"/>
    <n v="39300"/>
    <n v="0"/>
    <n v="36"/>
    <n v="29"/>
    <s v="02-Ucretsiz Izin"/>
    <n v="0"/>
    <n v="4"/>
    <n v="1"/>
    <n v="0"/>
    <x v="4"/>
    <n v="10"/>
    <s v="LinkedIn"/>
    <m/>
    <n v="11"/>
    <s v="40-49"/>
    <s v="10+"/>
    <x v="6"/>
  </r>
  <r>
    <s v="PER0796"/>
    <s v="Mehmet Demir"/>
    <x v="1"/>
    <d v="2003-11-08T00:00:00"/>
    <n v="23"/>
    <s v="Bekar"/>
    <n v="0"/>
    <s v="Önlisans"/>
    <x v="0"/>
    <s v="Operatör"/>
    <s v="Junior"/>
    <x v="0"/>
    <s v="Üretim &amp; Operasyon Müdürü"/>
    <x v="0"/>
    <d v="2022-08-28T00:00:00"/>
    <d v="2025-03-12T00:00:00"/>
    <x v="3"/>
    <n v="17"/>
    <x v="0"/>
    <n v="27400"/>
    <n v="0"/>
    <n v="42"/>
    <n v="28"/>
    <s v="01-Istirahat"/>
    <n v="2"/>
    <n v="6"/>
    <n v="0"/>
    <n v="0"/>
    <x v="1"/>
    <n v="6"/>
    <s v="Referans"/>
    <m/>
    <n v="3"/>
    <s v="20-29"/>
    <s v="3-5 YIL"/>
    <x v="7"/>
  </r>
  <r>
    <s v="PER0797"/>
    <s v="İrem Yıldız"/>
    <x v="0"/>
    <d v="1999-11-09T00:00:00"/>
    <n v="27"/>
    <s v="Bekar"/>
    <n v="0"/>
    <s v="Önlisans"/>
    <x v="0"/>
    <s v="Operatör"/>
    <s v="Junior"/>
    <x v="0"/>
    <s v="Üretim &amp; Operasyon Müdürü"/>
    <x v="0"/>
    <d v="2022-12-01T00:00:00"/>
    <s v="-"/>
    <x v="2"/>
    <s v="-"/>
    <x v="1"/>
    <n v="25600"/>
    <n v="0"/>
    <n v="30"/>
    <n v="29"/>
    <s v="01-Istirahat"/>
    <n v="1"/>
    <n v="2"/>
    <n v="0"/>
    <n v="0"/>
    <x v="4"/>
    <n v="2"/>
    <s v="Kariyer.net"/>
    <m/>
    <n v="3"/>
    <s v="20-29"/>
    <s v="3-5 YIL"/>
    <x v="7"/>
  </r>
  <r>
    <s v="PER0798"/>
    <s v="Burak Demir"/>
    <x v="1"/>
    <d v="1997-08-01T00:00:00"/>
    <n v="29"/>
    <s v="Evli"/>
    <n v="0"/>
    <s v="Lisans"/>
    <x v="0"/>
    <s v="Operatör"/>
    <s v="Junior"/>
    <x v="0"/>
    <s v="Üretim &amp; Operasyon Müdürü"/>
    <x v="0"/>
    <d v="2024-08-05T00:00:00"/>
    <s v="-"/>
    <x v="2"/>
    <s v="-"/>
    <x v="1"/>
    <n v="26600"/>
    <n v="0"/>
    <n v="25"/>
    <n v="30"/>
    <s v="-"/>
    <n v="0"/>
    <n v="9"/>
    <n v="0"/>
    <n v="0"/>
    <x v="1"/>
    <n v="14"/>
    <s v="LinkedIn"/>
    <m/>
    <n v="1"/>
    <s v="20-29"/>
    <s v="1-3 YIL"/>
    <x v="2"/>
  </r>
  <r>
    <s v="PER0799"/>
    <s v="Defne Aydın"/>
    <x v="0"/>
    <d v="2003-10-03T00:00:00"/>
    <n v="23"/>
    <s v="Evli"/>
    <n v="0"/>
    <s v="Lisans"/>
    <x v="0"/>
    <s v="Operatör"/>
    <s v="Junior"/>
    <x v="0"/>
    <s v="Üretim &amp; Operasyon Müdürü"/>
    <x v="3"/>
    <d v="2025-07-19T00:00:00"/>
    <s v="-"/>
    <x v="2"/>
    <s v="-"/>
    <x v="1"/>
    <n v="27900"/>
    <n v="0"/>
    <n v="27"/>
    <n v="28"/>
    <s v="01-Istirahat"/>
    <n v="2"/>
    <n v="0"/>
    <n v="0"/>
    <n v="0"/>
    <x v="3"/>
    <n v="39"/>
    <s v="Referans"/>
    <m/>
    <n v="0"/>
    <s v="20-29"/>
    <s v="0-1 YIL"/>
    <x v="0"/>
  </r>
  <r>
    <s v="PER0800"/>
    <s v="Ahmet Doğan"/>
    <x v="1"/>
    <d v="1998-08-27T00:00:00"/>
    <n v="28"/>
    <s v="Bekar"/>
    <n v="0"/>
    <s v="Yüksek Lisans"/>
    <x v="0"/>
    <s v="Operatör"/>
    <s v="Junior"/>
    <x v="0"/>
    <s v="Üretim &amp; Operasyon Müdürü"/>
    <x v="0"/>
    <d v="2025-08-28T00:00:00"/>
    <s v="-"/>
    <x v="2"/>
    <s v="-"/>
    <x v="1"/>
    <n v="26600"/>
    <n v="0"/>
    <n v="13"/>
    <n v="30"/>
    <s v="-"/>
    <n v="0"/>
    <n v="0"/>
    <n v="0"/>
    <n v="0"/>
    <x v="3"/>
    <n v="29"/>
    <s v="Referans"/>
    <m/>
    <n v="0"/>
    <s v="20-29"/>
    <s v="0-1 YIL"/>
    <x v="0"/>
  </r>
  <r>
    <s v="PER0801"/>
    <s v="Serkan Aydın"/>
    <x v="1"/>
    <d v="2004-01-15T00:00:00"/>
    <n v="22"/>
    <s v="Evli"/>
    <n v="1"/>
    <s v="Yüksek Lisans"/>
    <x v="0"/>
    <s v="Operatör"/>
    <s v="Junior"/>
    <x v="0"/>
    <s v="Üretim &amp; Operasyon Müdürü"/>
    <x v="4"/>
    <d v="2024-11-09T00:00:00"/>
    <s v="-"/>
    <x v="2"/>
    <s v="-"/>
    <x v="1"/>
    <n v="25900"/>
    <n v="0"/>
    <n v="43"/>
    <n v="30"/>
    <s v="-"/>
    <n v="0"/>
    <n v="13"/>
    <n v="0"/>
    <n v="0"/>
    <x v="1"/>
    <n v="8"/>
    <s v="Şirket Web Sitesi"/>
    <m/>
    <n v="1"/>
    <s v="20-29"/>
    <s v="1-3 YIL"/>
    <x v="2"/>
  </r>
  <r>
    <s v="PER0802"/>
    <s v="Kübra Aslan"/>
    <x v="0"/>
    <d v="2003-03-08T00:00:00"/>
    <n v="23"/>
    <s v="Evli"/>
    <n v="1"/>
    <s v="Lisans"/>
    <x v="1"/>
    <s v="Satış Temsilcisi"/>
    <s v="Junior"/>
    <x v="1"/>
    <s v="Satış &amp; Pazarlama Müdürü"/>
    <x v="0"/>
    <d v="2022-06-20T00:00:00"/>
    <s v="-"/>
    <x v="2"/>
    <s v="-"/>
    <x v="1"/>
    <n v="34800"/>
    <n v="7700"/>
    <n v="0"/>
    <n v="30"/>
    <s v="-"/>
    <n v="0"/>
    <n v="3"/>
    <n v="0"/>
    <n v="0"/>
    <x v="4"/>
    <n v="6"/>
    <s v="LinkedIn"/>
    <m/>
    <n v="4"/>
    <s v="20-29"/>
    <s v="3-5 YIL"/>
    <x v="7"/>
  </r>
  <r>
    <s v="PER0803"/>
    <s v="Oğuzhan Yıldız"/>
    <x v="1"/>
    <d v="1997-03-09T00:00:00"/>
    <n v="29"/>
    <s v="Evli"/>
    <n v="1"/>
    <s v="Lisans"/>
    <x v="1"/>
    <s v="Kıdemli Satış Uzmanı"/>
    <s v="Senior"/>
    <x v="1"/>
    <s v="Satış &amp; Pazarlama Müdürü"/>
    <x v="0"/>
    <d v="2019-11-04T00:00:00"/>
    <s v="-"/>
    <x v="2"/>
    <s v="-"/>
    <x v="1"/>
    <n v="55200"/>
    <n v="11200"/>
    <n v="2"/>
    <n v="30"/>
    <s v="-"/>
    <n v="0"/>
    <n v="14"/>
    <n v="0"/>
    <n v="0"/>
    <x v="1"/>
    <n v="6"/>
    <s v="Referans"/>
    <m/>
    <n v="6"/>
    <s v="20-29"/>
    <s v="5-10 YIL"/>
    <x v="11"/>
  </r>
  <r>
    <s v="PER0804"/>
    <s v="Gökhan Kaya"/>
    <x v="1"/>
    <d v="2004-04-13T00:00:00"/>
    <n v="22"/>
    <s v="Evli"/>
    <n v="1"/>
    <s v="Lisans"/>
    <x v="0"/>
    <s v="Operatör"/>
    <s v="Junior"/>
    <x v="0"/>
    <s v="Üretim &amp; Operasyon Müdürü"/>
    <x v="3"/>
    <d v="2025-09-21T00:00:00"/>
    <s v="-"/>
    <x v="2"/>
    <s v="-"/>
    <x v="1"/>
    <n v="26400"/>
    <n v="0"/>
    <n v="11"/>
    <n v="20"/>
    <s v="01-Istirahat"/>
    <n v="10"/>
    <n v="0"/>
    <n v="0"/>
    <n v="0"/>
    <x v="4"/>
    <n v="12"/>
    <s v="Kariyer.net"/>
    <m/>
    <n v="0"/>
    <s v="20-29"/>
    <s v="0-1 YIL"/>
    <x v="0"/>
  </r>
  <r>
    <s v="PER0805"/>
    <s v="Selin Özdemir"/>
    <x v="0"/>
    <d v="1984-08-05T00:00:00"/>
    <n v="42"/>
    <s v="Bekar"/>
    <n v="0"/>
    <s v="Yüksek Lisans"/>
    <x v="0"/>
    <s v="Takım Lideri"/>
    <s v="Senior"/>
    <x v="0"/>
    <s v="Üretim &amp; Operasyon Müdürü"/>
    <x v="0"/>
    <d v="2016-12-21T00:00:00"/>
    <d v="2018-10-02T00:00:00"/>
    <x v="4"/>
    <n v="3"/>
    <x v="0"/>
    <n v="41800"/>
    <n v="0"/>
    <n v="14"/>
    <n v="30"/>
    <s v="-"/>
    <n v="0"/>
    <n v="1"/>
    <n v="0"/>
    <n v="0"/>
    <x v="1"/>
    <n v="2"/>
    <s v="Kariyer.net"/>
    <m/>
    <n v="9"/>
    <s v="40-49"/>
    <s v="5-10 YIL"/>
    <x v="13"/>
  </r>
  <r>
    <s v="PER0806"/>
    <s v="İrem Çelik"/>
    <x v="0"/>
    <d v="2002-08-20T00:00:00"/>
    <n v="24"/>
    <s v="Bekar"/>
    <n v="0"/>
    <s v="Önlisans"/>
    <x v="2"/>
    <s v="Muhasebe Elemanı"/>
    <s v="Junior"/>
    <x v="1"/>
    <s v="Finans &amp; Muhasebe Müdürü"/>
    <x v="1"/>
    <d v="2025-02-11T00:00:00"/>
    <s v="-"/>
    <x v="2"/>
    <s v="-"/>
    <x v="1"/>
    <n v="36000"/>
    <n v="0"/>
    <n v="1"/>
    <n v="30"/>
    <s v="-"/>
    <n v="0"/>
    <n v="14"/>
    <n v="0"/>
    <n v="0"/>
    <x v="4"/>
    <n v="4"/>
    <s v="Referans"/>
    <m/>
    <n v="1"/>
    <s v="20-29"/>
    <s v="1-3 YIL"/>
    <x v="0"/>
  </r>
  <r>
    <s v="PER0807"/>
    <s v="Mustafa Çelik"/>
    <x v="1"/>
    <d v="1998-02-09T00:00:00"/>
    <n v="28"/>
    <s v="Evli"/>
    <n v="1"/>
    <s v="Önlisans"/>
    <x v="0"/>
    <s v="Operatör"/>
    <s v="Junior"/>
    <x v="0"/>
    <s v="Üretim &amp; Operasyon Müdürü"/>
    <x v="2"/>
    <d v="2023-02-04T00:00:00"/>
    <s v="-"/>
    <x v="2"/>
    <s v="-"/>
    <x v="1"/>
    <n v="27200"/>
    <n v="0"/>
    <n v="26"/>
    <n v="28"/>
    <s v="01-Istirahat"/>
    <n v="1"/>
    <n v="8"/>
    <n v="0"/>
    <n v="1"/>
    <x v="1"/>
    <n v="2"/>
    <s v="LinkedIn"/>
    <m/>
    <n v="3"/>
    <s v="20-29"/>
    <s v="3-5 YIL"/>
    <x v="9"/>
  </r>
  <r>
    <s v="PER0808"/>
    <s v="Burak Doğan"/>
    <x v="1"/>
    <d v="1983-01-22T00:00:00"/>
    <n v="43"/>
    <s v="Evli"/>
    <n v="2"/>
    <s v="Lisans"/>
    <x v="1"/>
    <s v="Kıdemli Satış Uzmanı"/>
    <s v="Senior"/>
    <x v="1"/>
    <s v="Satış &amp; Pazarlama Müdürü"/>
    <x v="0"/>
    <d v="2021-01-08T00:00:00"/>
    <s v="-"/>
    <x v="2"/>
    <s v="-"/>
    <x v="1"/>
    <n v="54500"/>
    <n v="7100"/>
    <n v="4"/>
    <n v="30"/>
    <s v="-"/>
    <n v="0"/>
    <n v="9"/>
    <n v="0"/>
    <n v="0"/>
    <x v="4"/>
    <n v="5"/>
    <s v="Şirket Web Sitesi"/>
    <m/>
    <n v="5"/>
    <s v="40-49"/>
    <s v="5-10 YIL"/>
    <x v="14"/>
  </r>
  <r>
    <s v="PER0809"/>
    <s v="Dilan Doğan"/>
    <x v="0"/>
    <d v="2001-02-03T00:00:00"/>
    <n v="25"/>
    <s v="Bekar"/>
    <n v="0"/>
    <s v="Lisans"/>
    <x v="0"/>
    <s v="Operatör"/>
    <s v="Junior"/>
    <x v="0"/>
    <s v="Üretim &amp; Operasyon Müdürü"/>
    <x v="0"/>
    <d v="2026-02-04T00:00:00"/>
    <s v="-"/>
    <x v="2"/>
    <s v="-"/>
    <x v="1"/>
    <n v="27500"/>
    <n v="0"/>
    <n v="23"/>
    <n v="30"/>
    <s v="-"/>
    <n v="0"/>
    <n v="0"/>
    <n v="0"/>
    <n v="0"/>
    <x v="3"/>
    <n v="28"/>
    <s v="Kariyer.net"/>
    <m/>
    <n v="0"/>
    <s v="20-29"/>
    <s v="0-1 YIL"/>
    <x v="3"/>
  </r>
  <r>
    <s v="PER0810"/>
    <s v="Ahmet Arslan"/>
    <x v="1"/>
    <d v="1998-11-10T00:00:00"/>
    <n v="28"/>
    <s v="Bekar"/>
    <n v="0"/>
    <s v="Yüksek Lisans"/>
    <x v="2"/>
    <s v="Mali İşler Uzmanı"/>
    <s v="Senior"/>
    <x v="1"/>
    <s v="Finans &amp; Muhasebe Müdürü"/>
    <x v="4"/>
    <d v="2022-07-11T00:00:00"/>
    <s v="-"/>
    <x v="2"/>
    <s v="-"/>
    <x v="1"/>
    <n v="58700"/>
    <n v="0"/>
    <n v="7"/>
    <n v="28"/>
    <s v="01-Istirahat"/>
    <n v="2"/>
    <n v="9"/>
    <n v="0"/>
    <n v="0"/>
    <x v="1"/>
    <n v="8"/>
    <s v="Kariyer.net"/>
    <m/>
    <n v="3"/>
    <s v="20-29"/>
    <s v="3-5 YIL"/>
    <x v="7"/>
  </r>
  <r>
    <s v="PER0811"/>
    <s v="Fatma Kılıç"/>
    <x v="0"/>
    <d v="1983-12-07T00:00:00"/>
    <n v="43"/>
    <s v="Evli"/>
    <n v="2"/>
    <s v="Lisans"/>
    <x v="3"/>
    <s v="Kıdemli Yazılım Uzmanı"/>
    <s v="Senior"/>
    <x v="1"/>
    <s v="Bilgi Teknolojileri Müdürü"/>
    <x v="2"/>
    <d v="2022-10-14T00:00:00"/>
    <s v="-"/>
    <x v="2"/>
    <s v="-"/>
    <x v="1"/>
    <n v="79900"/>
    <n v="0"/>
    <n v="1"/>
    <n v="29"/>
    <s v="01-Istirahat"/>
    <n v="1"/>
    <n v="6"/>
    <n v="0"/>
    <n v="0"/>
    <x v="1"/>
    <n v="6"/>
    <s v="Referans"/>
    <m/>
    <n v="3"/>
    <s v="40-49"/>
    <s v="3-5 YIL"/>
    <x v="7"/>
  </r>
  <r>
    <s v="PER0812"/>
    <s v="Hüseyin Yıldız"/>
    <x v="1"/>
    <d v="1986-11-15T00:00:00"/>
    <n v="40"/>
    <s v="Evli"/>
    <n v="1"/>
    <s v="Lisans"/>
    <x v="0"/>
    <s v="Takım Lideri"/>
    <s v="Senior"/>
    <x v="0"/>
    <s v="Üretim &amp; Operasyon Müdürü"/>
    <x v="2"/>
    <d v="2015-12-11T00:00:00"/>
    <s v="-"/>
    <x v="2"/>
    <s v="-"/>
    <x v="1"/>
    <n v="43500"/>
    <n v="0"/>
    <n v="31"/>
    <n v="30"/>
    <s v="-"/>
    <n v="0"/>
    <n v="12"/>
    <n v="0"/>
    <n v="0"/>
    <x v="0"/>
    <n v="13"/>
    <s v="LinkedIn"/>
    <m/>
    <n v="10"/>
    <s v="40-49"/>
    <s v="5-10 YIL"/>
    <x v="8"/>
  </r>
  <r>
    <s v="PER0813"/>
    <s v="Serkan Arslan"/>
    <x v="1"/>
    <d v="1989-07-02T00:00:00"/>
    <n v="37"/>
    <s v="Evli"/>
    <n v="1"/>
    <s v="Lisans"/>
    <x v="4"/>
    <s v="İK Uzmanı"/>
    <s v="Senior"/>
    <x v="1"/>
    <s v="İnsan Kaynakları Müdürü"/>
    <x v="1"/>
    <d v="2016-10-04T00:00:00"/>
    <d v="2021-04-08T00:00:00"/>
    <x v="3"/>
    <n v="17"/>
    <x v="0"/>
    <n v="51100"/>
    <n v="0"/>
    <n v="2"/>
    <n v="30"/>
    <s v="-"/>
    <n v="0"/>
    <n v="8"/>
    <n v="0"/>
    <n v="0"/>
    <x v="4"/>
    <n v="3"/>
    <s v="Kariyer.net"/>
    <m/>
    <n v="9"/>
    <s v="30-39"/>
    <s v="5-10 YIL"/>
    <x v="13"/>
  </r>
  <r>
    <s v="PER0814"/>
    <s v="Gamze Doğan"/>
    <x v="0"/>
    <d v="1989-01-19T00:00:00"/>
    <n v="37"/>
    <s v="Evli"/>
    <n v="1"/>
    <s v="Önlisans"/>
    <x v="0"/>
    <s v="Takım Lideri"/>
    <s v="Senior"/>
    <x v="0"/>
    <s v="Üretim &amp; Operasyon Müdürü"/>
    <x v="1"/>
    <d v="2014-09-28T00:00:00"/>
    <s v="-"/>
    <x v="2"/>
    <s v="-"/>
    <x v="1"/>
    <n v="45500"/>
    <n v="0"/>
    <n v="30"/>
    <n v="30"/>
    <s v="-"/>
    <n v="0"/>
    <n v="3"/>
    <n v="0"/>
    <n v="0"/>
    <x v="2"/>
    <n v="26"/>
    <s v="LinkedIn"/>
    <m/>
    <n v="11"/>
    <s v="30-39"/>
    <s v="10+"/>
    <x v="6"/>
  </r>
  <r>
    <s v="PER0815"/>
    <s v="Ali Öztürk"/>
    <x v="1"/>
    <d v="1996-02-12T00:00:00"/>
    <n v="30"/>
    <s v="Bekar"/>
    <n v="0"/>
    <s v="Önlisans"/>
    <x v="1"/>
    <s v="Kıdemli Satış Uzmanı"/>
    <s v="Senior"/>
    <x v="1"/>
    <s v="Satış &amp; Pazarlama Müdürü"/>
    <x v="0"/>
    <d v="2017-04-02T00:00:00"/>
    <s v="-"/>
    <x v="2"/>
    <s v="-"/>
    <x v="1"/>
    <n v="54900"/>
    <n v="15700"/>
    <n v="4"/>
    <n v="30"/>
    <s v="-"/>
    <n v="0"/>
    <n v="1"/>
    <n v="0"/>
    <n v="0"/>
    <x v="3"/>
    <n v="38"/>
    <s v="LinkedIn"/>
    <m/>
    <n v="9"/>
    <s v="30-39"/>
    <s v="5-10 YIL"/>
    <x v="4"/>
  </r>
  <r>
    <s v="PER0816"/>
    <s v="Hüseyin Öztürk"/>
    <x v="1"/>
    <d v="1997-05-18T00:00:00"/>
    <n v="29"/>
    <s v="Evli"/>
    <n v="1"/>
    <s v="Yüksek Lisans"/>
    <x v="0"/>
    <s v="Operatör"/>
    <s v="Junior"/>
    <x v="0"/>
    <s v="Üretim &amp; Operasyon Müdürü"/>
    <x v="0"/>
    <d v="2024-06-08T00:00:00"/>
    <s v="-"/>
    <x v="2"/>
    <s v="-"/>
    <x v="1"/>
    <n v="28200"/>
    <n v="0"/>
    <n v="16"/>
    <n v="28"/>
    <s v="01-Istirahat"/>
    <n v="2"/>
    <n v="6"/>
    <n v="0"/>
    <n v="0"/>
    <x v="1"/>
    <n v="13"/>
    <s v="Kariyer.net"/>
    <m/>
    <n v="2"/>
    <s v="20-29"/>
    <s v="1-3 YIL"/>
    <x v="2"/>
  </r>
  <r>
    <s v="PER0817"/>
    <s v="Mustafa Kaya"/>
    <x v="1"/>
    <d v="1979-10-21T00:00:00"/>
    <n v="47"/>
    <s v="Evli"/>
    <n v="2"/>
    <s v="Lisans"/>
    <x v="0"/>
    <s v="Takım Lideri"/>
    <s v="Senior"/>
    <x v="0"/>
    <s v="Üretim &amp; Operasyon Müdürü"/>
    <x v="3"/>
    <d v="2019-08-16T00:00:00"/>
    <d v="2026-02-25T00:00:00"/>
    <x v="0"/>
    <n v="3"/>
    <x v="0"/>
    <n v="41400"/>
    <n v="0"/>
    <n v="42"/>
    <n v="24"/>
    <s v="01-Istirahat"/>
    <n v="5"/>
    <n v="13"/>
    <n v="0"/>
    <n v="1"/>
    <x v="1"/>
    <n v="5"/>
    <s v="Kariyer.net"/>
    <m/>
    <n v="6"/>
    <s v="40-49"/>
    <s v="5-10 YIL"/>
    <x v="11"/>
  </r>
  <r>
    <s v="PER0818"/>
    <s v="Serkan Yıldız"/>
    <x v="1"/>
    <d v="2003-05-04T00:00:00"/>
    <n v="23"/>
    <s v="Bekar"/>
    <n v="0"/>
    <s v="Lisans"/>
    <x v="0"/>
    <s v="Operatör"/>
    <s v="Junior"/>
    <x v="0"/>
    <s v="Üretim &amp; Operasyon Müdürü"/>
    <x v="0"/>
    <d v="2026-05-27T00:00:00"/>
    <s v="-"/>
    <x v="2"/>
    <s v="-"/>
    <x v="1"/>
    <n v="26300"/>
    <n v="0"/>
    <n v="21"/>
    <n v="30"/>
    <s v="-"/>
    <n v="0"/>
    <n v="0"/>
    <n v="0"/>
    <n v="0"/>
    <x v="0"/>
    <n v="19"/>
    <s v="Kariyer.net"/>
    <m/>
    <n v="0"/>
    <s v="20-29"/>
    <s v="0-1 YIL"/>
    <x v="3"/>
  </r>
  <r>
    <s v="PER0819"/>
    <s v="Volkan Arslan"/>
    <x v="1"/>
    <d v="1997-01-01T00:00:00"/>
    <n v="29"/>
    <s v="Bekar"/>
    <n v="0"/>
    <s v="Lisans"/>
    <x v="1"/>
    <s v="Satış Temsilcisi"/>
    <s v="Junior"/>
    <x v="1"/>
    <s v="Satış &amp; Pazarlama Müdürü"/>
    <x v="0"/>
    <d v="2023-12-02T00:00:00"/>
    <s v="-"/>
    <x v="2"/>
    <s v="-"/>
    <x v="1"/>
    <n v="32200"/>
    <n v="0"/>
    <n v="5"/>
    <n v="30"/>
    <s v="-"/>
    <n v="0"/>
    <n v="8"/>
    <n v="0"/>
    <n v="0"/>
    <x v="4"/>
    <n v="2"/>
    <s v="LinkedIn"/>
    <m/>
    <n v="2"/>
    <s v="20-29"/>
    <s v="1-3 YIL"/>
    <x v="9"/>
  </r>
  <r>
    <s v="PER0820"/>
    <s v="Emre Çetin"/>
    <x v="1"/>
    <d v="2001-09-14T00:00:00"/>
    <n v="25"/>
    <s v="Evli"/>
    <n v="1"/>
    <s v="Lisans"/>
    <x v="2"/>
    <s v="Muhasebe Elemanı"/>
    <s v="Junior"/>
    <x v="1"/>
    <s v="Finans &amp; Muhasebe Müdürü"/>
    <x v="0"/>
    <d v="2023-07-27T00:00:00"/>
    <s v="-"/>
    <x v="2"/>
    <s v="-"/>
    <x v="1"/>
    <n v="35700"/>
    <n v="0"/>
    <n v="8"/>
    <n v="28"/>
    <s v="01-Istirahat"/>
    <n v="2"/>
    <n v="11"/>
    <n v="0"/>
    <n v="0"/>
    <x v="4"/>
    <n v="4"/>
    <s v="Kariyer.net"/>
    <m/>
    <n v="2"/>
    <s v="20-29"/>
    <s v="1-3 YIL"/>
    <x v="9"/>
  </r>
  <r>
    <s v="PER0821"/>
    <s v="Hasan Özdemir"/>
    <x v="1"/>
    <d v="1995-12-05T00:00:00"/>
    <n v="31"/>
    <s v="Bekar"/>
    <n v="0"/>
    <s v="Lisans"/>
    <x v="1"/>
    <s v="Kıdemli Satış Uzmanı"/>
    <s v="Senior"/>
    <x v="1"/>
    <s v="Satış &amp; Pazarlama Müdürü"/>
    <x v="4"/>
    <d v="2023-03-17T00:00:00"/>
    <s v="-"/>
    <x v="2"/>
    <s v="-"/>
    <x v="1"/>
    <n v="62800"/>
    <n v="12900"/>
    <n v="1"/>
    <n v="27"/>
    <s v="01-Istirahat"/>
    <n v="2"/>
    <n v="1"/>
    <n v="1"/>
    <n v="0"/>
    <x v="1"/>
    <n v="11"/>
    <s v="Kariyer.net"/>
    <m/>
    <n v="3"/>
    <s v="30-39"/>
    <s v="3-5 YIL"/>
    <x v="9"/>
  </r>
  <r>
    <s v="PER0822"/>
    <s v="Ecem Aydın"/>
    <x v="0"/>
    <d v="2001-02-14T00:00:00"/>
    <n v="25"/>
    <s v="Evli"/>
    <n v="0"/>
    <s v="Lisans"/>
    <x v="0"/>
    <s v="Operatör"/>
    <s v="Junior"/>
    <x v="0"/>
    <s v="Üretim &amp; Operasyon Müdürü"/>
    <x v="2"/>
    <d v="2022-10-27T00:00:00"/>
    <s v="-"/>
    <x v="2"/>
    <s v="-"/>
    <x v="1"/>
    <n v="26900"/>
    <n v="0"/>
    <n v="27"/>
    <n v="27"/>
    <s v="01-Istirahat"/>
    <n v="3"/>
    <n v="3"/>
    <n v="0"/>
    <n v="0"/>
    <x v="4"/>
    <n v="4"/>
    <s v="LinkedIn"/>
    <m/>
    <n v="3"/>
    <s v="20-29"/>
    <s v="3-5 YIL"/>
    <x v="7"/>
  </r>
  <r>
    <s v="PER0823"/>
    <s v="Volkan Yıldız"/>
    <x v="1"/>
    <d v="2002-04-16T00:00:00"/>
    <n v="24"/>
    <s v="Bekar"/>
    <n v="0"/>
    <s v="Lisans"/>
    <x v="1"/>
    <s v="Satış Temsilcisi"/>
    <s v="Junior"/>
    <x v="1"/>
    <s v="Satış &amp; Pazarlama Müdürü"/>
    <x v="4"/>
    <d v="2022-11-23T00:00:00"/>
    <s v="-"/>
    <x v="2"/>
    <s v="-"/>
    <x v="1"/>
    <n v="30800"/>
    <n v="6000"/>
    <n v="4"/>
    <n v="25"/>
    <s v="01-Istirahat"/>
    <n v="5"/>
    <n v="8"/>
    <n v="0"/>
    <n v="0"/>
    <x v="1"/>
    <n v="6"/>
    <s v="Referans"/>
    <m/>
    <n v="3"/>
    <s v="20-29"/>
    <s v="3-5 YIL"/>
    <x v="7"/>
  </r>
  <r>
    <s v="PER0824"/>
    <s v="Burak Aydın"/>
    <x v="1"/>
    <d v="1999-06-19T00:00:00"/>
    <n v="27"/>
    <s v="Evli"/>
    <n v="3"/>
    <s v="Önlisans"/>
    <x v="0"/>
    <s v="Operatör"/>
    <s v="Junior"/>
    <x v="0"/>
    <s v="Üretim &amp; Operasyon Müdürü"/>
    <x v="0"/>
    <d v="2024-08-18T00:00:00"/>
    <s v="-"/>
    <x v="2"/>
    <s v="-"/>
    <x v="1"/>
    <n v="25600"/>
    <n v="0"/>
    <n v="36"/>
    <n v="30"/>
    <s v="-"/>
    <n v="0"/>
    <n v="14"/>
    <n v="0"/>
    <n v="0"/>
    <x v="4"/>
    <n v="18"/>
    <s v="Kariyer.net"/>
    <m/>
    <n v="1"/>
    <s v="20-29"/>
    <s v="1-3 YIL"/>
    <x v="2"/>
  </r>
  <r>
    <s v="PER0825"/>
    <s v="Ali Kaya"/>
    <x v="1"/>
    <d v="1973-07-07T00:00:00"/>
    <n v="53"/>
    <s v="Bekar"/>
    <n v="0"/>
    <s v="Yüksek Lisans"/>
    <x v="1"/>
    <s v="Satış Müdürü"/>
    <s v="Manager"/>
    <x v="1"/>
    <s v="Genel Müdür"/>
    <x v="1"/>
    <d v="2016-12-28T00:00:00"/>
    <s v="-"/>
    <x v="2"/>
    <s v="-"/>
    <x v="1"/>
    <n v="120000"/>
    <n v="23700"/>
    <n v="4"/>
    <n v="28"/>
    <s v="01-Istirahat"/>
    <n v="2"/>
    <n v="2"/>
    <n v="0"/>
    <n v="0"/>
    <x v="3"/>
    <n v="17"/>
    <s v="Danışmanlık Firması"/>
    <m/>
    <n v="9"/>
    <s v="50+"/>
    <s v="5-10 YIL"/>
    <x v="13"/>
  </r>
  <r>
    <s v="PER0826"/>
    <s v="Mustafa Öztürk"/>
    <x v="1"/>
    <d v="2002-08-21T00:00:00"/>
    <n v="24"/>
    <s v="Evli"/>
    <n v="0"/>
    <s v="Lisans"/>
    <x v="2"/>
    <s v="Muhasebe Elemanı"/>
    <s v="Junior"/>
    <x v="1"/>
    <s v="Finans &amp; Muhasebe Müdürü"/>
    <x v="0"/>
    <d v="2022-10-04T00:00:00"/>
    <s v="-"/>
    <x v="2"/>
    <s v="-"/>
    <x v="1"/>
    <n v="36500"/>
    <n v="0"/>
    <n v="5"/>
    <n v="30"/>
    <s v="-"/>
    <n v="0"/>
    <n v="8"/>
    <n v="0"/>
    <n v="0"/>
    <x v="3"/>
    <n v="29"/>
    <s v="LinkedIn"/>
    <m/>
    <n v="3"/>
    <s v="20-29"/>
    <s v="3-5 YIL"/>
    <x v="7"/>
  </r>
  <r>
    <s v="PER0827"/>
    <s v="Selin Kılıç"/>
    <x v="0"/>
    <d v="1998-12-07T00:00:00"/>
    <n v="28"/>
    <s v="Bekar"/>
    <n v="0"/>
    <s v="Yüksek Lisans"/>
    <x v="0"/>
    <s v="Takım Lideri"/>
    <s v="Senior"/>
    <x v="0"/>
    <s v="Üretim &amp; Operasyon Müdürü"/>
    <x v="0"/>
    <d v="2023-04-12T00:00:00"/>
    <s v="-"/>
    <x v="2"/>
    <s v="-"/>
    <x v="1"/>
    <n v="38000"/>
    <n v="0"/>
    <n v="40"/>
    <n v="28"/>
    <s v="01-Istirahat"/>
    <n v="2"/>
    <n v="11"/>
    <n v="0"/>
    <n v="0"/>
    <x v="1"/>
    <n v="7"/>
    <s v="Şirket Web Sitesi"/>
    <m/>
    <n v="3"/>
    <s v="20-29"/>
    <s v="3-5 YIL"/>
    <x v="9"/>
  </r>
  <r>
    <s v="PER0828"/>
    <s v="Hasan Şahin"/>
    <x v="1"/>
    <d v="1986-01-19T00:00:00"/>
    <n v="40"/>
    <s v="Evli"/>
    <n v="1"/>
    <s v="Lisans"/>
    <x v="3"/>
    <s v="Kıdemli Yazılım Uzmanı"/>
    <s v="Senior"/>
    <x v="1"/>
    <s v="Bilgi Teknolojileri Müdürü"/>
    <x v="0"/>
    <d v="2022-09-03T00:00:00"/>
    <s v="-"/>
    <x v="2"/>
    <s v="-"/>
    <x v="1"/>
    <n v="74500"/>
    <n v="0"/>
    <n v="1"/>
    <n v="30"/>
    <s v="-"/>
    <n v="0"/>
    <n v="13"/>
    <n v="0"/>
    <n v="0"/>
    <x v="1"/>
    <n v="8"/>
    <s v="Kariyer.net"/>
    <m/>
    <n v="3"/>
    <s v="40-49"/>
    <s v="3-5 YIL"/>
    <x v="7"/>
  </r>
  <r>
    <s v="PER0829"/>
    <s v="Ali Öztürk"/>
    <x v="1"/>
    <d v="1999-07-22T00:00:00"/>
    <n v="27"/>
    <s v="Bekar"/>
    <n v="0"/>
    <s v="Yüksek Lisans"/>
    <x v="0"/>
    <s v="Operatör"/>
    <s v="Junior"/>
    <x v="0"/>
    <s v="Üretim &amp; Operasyon Müdürü"/>
    <x v="1"/>
    <d v="2023-01-23T00:00:00"/>
    <s v="-"/>
    <x v="2"/>
    <s v="-"/>
    <x v="1"/>
    <n v="24700"/>
    <n v="0"/>
    <n v="17"/>
    <n v="30"/>
    <s v="-"/>
    <n v="0"/>
    <n v="14"/>
    <n v="0"/>
    <n v="0"/>
    <x v="1"/>
    <n v="11"/>
    <s v="Kariyer.net"/>
    <m/>
    <n v="3"/>
    <s v="20-29"/>
    <s v="3-5 YIL"/>
    <x v="9"/>
  </r>
  <r>
    <s v="PER0830"/>
    <s v="Hüseyin Demir"/>
    <x v="1"/>
    <d v="1984-10-02T00:00:00"/>
    <n v="42"/>
    <s v="Evli"/>
    <n v="1"/>
    <s v="Lisans"/>
    <x v="0"/>
    <s v="Takım Lideri"/>
    <s v="Senior"/>
    <x v="0"/>
    <s v="Üretim &amp; Operasyon Müdürü"/>
    <x v="0"/>
    <d v="2022-08-11T00:00:00"/>
    <s v="-"/>
    <x v="2"/>
    <s v="-"/>
    <x v="1"/>
    <n v="40900"/>
    <n v="0"/>
    <n v="24"/>
    <n v="25"/>
    <s v="01-Istirahat"/>
    <n v="5"/>
    <n v="8"/>
    <n v="0"/>
    <n v="0"/>
    <x v="1"/>
    <n v="13"/>
    <s v="LinkedIn"/>
    <m/>
    <n v="3"/>
    <s v="40-49"/>
    <s v="3-5 YIL"/>
    <x v="7"/>
  </r>
  <r>
    <s v="PER0831"/>
    <s v="Aslan Yıldız"/>
    <x v="0"/>
    <d v="2003-02-16T00:00:00"/>
    <n v="23"/>
    <s v="Evli"/>
    <n v="1"/>
    <s v="Lisans"/>
    <x v="0"/>
    <s v="Operatör"/>
    <s v="Junior"/>
    <x v="0"/>
    <s v="Üretim &amp; Operasyon Müdürü"/>
    <x v="1"/>
    <d v="2024-07-28T00:00:00"/>
    <s v="-"/>
    <x v="2"/>
    <s v="-"/>
    <x v="1"/>
    <n v="26800"/>
    <n v="0"/>
    <n v="29"/>
    <n v="30"/>
    <s v="-"/>
    <n v="0"/>
    <n v="13"/>
    <n v="0"/>
    <n v="0"/>
    <x v="1"/>
    <n v="18"/>
    <s v="Kariyer.net"/>
    <m/>
    <n v="1"/>
    <s v="20-29"/>
    <s v="1-3 YIL"/>
    <x v="2"/>
  </r>
  <r>
    <s v="PER0832"/>
    <s v="Gökhan Arslan"/>
    <x v="1"/>
    <d v="1994-06-12T00:00:00"/>
    <n v="32"/>
    <s v="Evli"/>
    <n v="0"/>
    <s v="Lisans"/>
    <x v="2"/>
    <s v="Mali İşler Uzmanı"/>
    <s v="Senior"/>
    <x v="1"/>
    <s v="Finans &amp; Muhasebe Müdürü"/>
    <x v="0"/>
    <d v="2016-07-04T00:00:00"/>
    <s v="-"/>
    <x v="2"/>
    <s v="-"/>
    <x v="1"/>
    <n v="61000"/>
    <n v="0"/>
    <n v="6"/>
    <n v="28"/>
    <s v="01-Istirahat"/>
    <n v="2"/>
    <n v="9"/>
    <n v="0"/>
    <n v="0"/>
    <x v="0"/>
    <n v="12"/>
    <s v="LinkedIn"/>
    <m/>
    <n v="9"/>
    <s v="30-39"/>
    <s v="5-10 YIL"/>
    <x v="13"/>
  </r>
  <r>
    <s v="PER0833"/>
    <s v="Hasan Aydın"/>
    <x v="1"/>
    <d v="2001-07-16T00:00:00"/>
    <n v="25"/>
    <s v="Bekar"/>
    <n v="0"/>
    <s v="Lisans"/>
    <x v="0"/>
    <s v="Operatör"/>
    <s v="Junior"/>
    <x v="0"/>
    <s v="Üretim &amp; Operasyon Müdürü"/>
    <x v="0"/>
    <d v="2022-06-10T00:00:00"/>
    <d v="2024-03-20T00:00:00"/>
    <x v="1"/>
    <n v="4"/>
    <x v="0"/>
    <n v="27500"/>
    <n v="0"/>
    <n v="10"/>
    <n v="30"/>
    <s v="-"/>
    <n v="0"/>
    <n v="13"/>
    <n v="0"/>
    <n v="0"/>
    <x v="1"/>
    <n v="6"/>
    <s v="LinkedIn"/>
    <m/>
    <n v="4"/>
    <s v="20-29"/>
    <s v="3-5 YIL"/>
    <x v="7"/>
  </r>
  <r>
    <s v="PER0834"/>
    <s v="Can Çetin"/>
    <x v="1"/>
    <d v="2003-04-16T00:00:00"/>
    <n v="23"/>
    <s v="Evli"/>
    <n v="1"/>
    <s v="Lisans"/>
    <x v="1"/>
    <s v="Satış Temsilcisi"/>
    <s v="Junior"/>
    <x v="1"/>
    <s v="Satış &amp; Pazarlama Müdürü"/>
    <x v="0"/>
    <d v="2026-02-22T00:00:00"/>
    <s v="-"/>
    <x v="2"/>
    <s v="-"/>
    <x v="1"/>
    <n v="32200"/>
    <n v="5100"/>
    <n v="0"/>
    <n v="30"/>
    <s v="-"/>
    <n v="0"/>
    <n v="0"/>
    <n v="0"/>
    <n v="0"/>
    <x v="1"/>
    <n v="11"/>
    <s v="LinkedIn"/>
    <m/>
    <n v="0"/>
    <s v="20-29"/>
    <s v="0-1 YIL"/>
    <x v="3"/>
  </r>
  <r>
    <s v="PER0835"/>
    <s v="Selin Kaya"/>
    <x v="0"/>
    <d v="1995-02-02T00:00:00"/>
    <n v="31"/>
    <s v="Evli"/>
    <n v="0"/>
    <s v="Lisans"/>
    <x v="0"/>
    <s v="Takım Lideri"/>
    <s v="Senior"/>
    <x v="0"/>
    <s v="Üretim &amp; Operasyon Müdürü"/>
    <x v="0"/>
    <d v="2016-09-17T00:00:00"/>
    <s v="-"/>
    <x v="2"/>
    <s v="-"/>
    <x v="1"/>
    <n v="41800"/>
    <n v="0"/>
    <n v="31"/>
    <n v="30"/>
    <s v="-"/>
    <n v="0"/>
    <n v="6"/>
    <n v="0"/>
    <n v="0"/>
    <x v="1"/>
    <n v="11"/>
    <s v="LinkedIn"/>
    <m/>
    <n v="9"/>
    <s v="30-39"/>
    <s v="5-10 YIL"/>
    <x v="13"/>
  </r>
  <r>
    <s v="PER0836"/>
    <s v="Ali Çelik"/>
    <x v="1"/>
    <d v="2003-04-19T00:00:00"/>
    <n v="23"/>
    <s v="Bekar"/>
    <n v="0"/>
    <s v="Lisans"/>
    <x v="0"/>
    <s v="Operatör"/>
    <s v="Junior"/>
    <x v="0"/>
    <s v="Üretim &amp; Operasyon Müdürü"/>
    <x v="4"/>
    <d v="2025-06-24T00:00:00"/>
    <s v="-"/>
    <x v="2"/>
    <s v="-"/>
    <x v="1"/>
    <n v="24300"/>
    <n v="0"/>
    <n v="29"/>
    <n v="20"/>
    <s v="01-Istirahat"/>
    <n v="10"/>
    <n v="0"/>
    <n v="0"/>
    <n v="0"/>
    <x v="4"/>
    <n v="11"/>
    <s v="Kariyer.net"/>
    <m/>
    <n v="1"/>
    <s v="20-29"/>
    <s v="1-3 YIL"/>
    <x v="0"/>
  </r>
  <r>
    <s v="PER0837"/>
    <s v="Defne Özdemir"/>
    <x v="0"/>
    <d v="2004-06-19T00:00:00"/>
    <n v="22"/>
    <s v="Evli"/>
    <n v="1"/>
    <s v="Lisans"/>
    <x v="0"/>
    <s v="Operatör"/>
    <s v="Junior"/>
    <x v="0"/>
    <s v="Üretim &amp; Operasyon Müdürü"/>
    <x v="0"/>
    <d v="2022-12-08T00:00:00"/>
    <s v="-"/>
    <x v="2"/>
    <s v="-"/>
    <x v="1"/>
    <n v="28700"/>
    <n v="0"/>
    <n v="41"/>
    <n v="29"/>
    <s v="02-Ucretsiz Izin"/>
    <n v="0"/>
    <n v="9"/>
    <n v="1"/>
    <n v="0"/>
    <x v="3"/>
    <n v="19"/>
    <s v="Kariyer.net"/>
    <m/>
    <n v="3"/>
    <s v="20-29"/>
    <s v="3-5 YIL"/>
    <x v="7"/>
  </r>
  <r>
    <s v="PER0838"/>
    <s v="Dilan Kaya"/>
    <x v="0"/>
    <d v="1985-06-08T00:00:00"/>
    <n v="41"/>
    <s v="Evli"/>
    <n v="3"/>
    <s v="Lisans"/>
    <x v="2"/>
    <s v="Mali İşler Uzmanı"/>
    <s v="Senior"/>
    <x v="1"/>
    <s v="Finans &amp; Muhasebe Müdürü"/>
    <x v="1"/>
    <d v="2020-02-26T00:00:00"/>
    <s v="-"/>
    <x v="2"/>
    <s v="-"/>
    <x v="1"/>
    <n v="60200"/>
    <n v="0"/>
    <n v="7"/>
    <n v="28"/>
    <s v="01-Istirahat"/>
    <n v="2"/>
    <n v="6"/>
    <n v="0"/>
    <n v="0"/>
    <x v="1"/>
    <n v="19"/>
    <s v="Referans"/>
    <m/>
    <n v="6"/>
    <s v="40-49"/>
    <s v="5-10 YIL"/>
    <x v="5"/>
  </r>
  <r>
    <s v="PER0839"/>
    <s v="Emre Yıldız"/>
    <x v="1"/>
    <d v="1991-05-25T00:00:00"/>
    <n v="35"/>
    <s v="Evli"/>
    <n v="0"/>
    <s v="Önlisans"/>
    <x v="0"/>
    <s v="Takım Lideri"/>
    <s v="Senior"/>
    <x v="0"/>
    <s v="Üretim &amp; Operasyon Müdürü"/>
    <x v="0"/>
    <d v="2023-02-26T00:00:00"/>
    <d v="2026-05-04T00:00:00"/>
    <x v="4"/>
    <n v="3"/>
    <x v="0"/>
    <n v="42000"/>
    <n v="0"/>
    <n v="18"/>
    <n v="30"/>
    <s v="-"/>
    <n v="0"/>
    <n v="7"/>
    <n v="0"/>
    <n v="0"/>
    <x v="2"/>
    <n v="26"/>
    <s v="Danışmanlık Firması"/>
    <m/>
    <n v="3"/>
    <s v="30-39"/>
    <s v="3-5 YIL"/>
    <x v="9"/>
  </r>
  <r>
    <s v="PER0840"/>
    <s v="Selin Aydın"/>
    <x v="0"/>
    <d v="1985-05-22T00:00:00"/>
    <n v="41"/>
    <s v="Evli"/>
    <n v="1"/>
    <s v="Lisans"/>
    <x v="3"/>
    <s v="Kıdemli Yazılım Uzmanı"/>
    <s v="Senior"/>
    <x v="1"/>
    <s v="Bilgi Teknolojileri Müdürü"/>
    <x v="0"/>
    <d v="2019-08-03T00:00:00"/>
    <s v="-"/>
    <x v="2"/>
    <s v="-"/>
    <x v="1"/>
    <n v="84400"/>
    <n v="0"/>
    <n v="8"/>
    <n v="30"/>
    <s v="-"/>
    <n v="0"/>
    <n v="5"/>
    <n v="0"/>
    <n v="0"/>
    <x v="3"/>
    <n v="36"/>
    <s v="Şirket Web Sitesi"/>
    <m/>
    <n v="6"/>
    <s v="40-49"/>
    <s v="5-10 YIL"/>
    <x v="11"/>
  </r>
  <r>
    <s v="PER0841"/>
    <s v="Ömer Öztürk"/>
    <x v="1"/>
    <d v="2002-01-18T00:00:00"/>
    <n v="24"/>
    <s v="Evli"/>
    <n v="0"/>
    <s v="Lisans"/>
    <x v="0"/>
    <s v="Operatör"/>
    <s v="Junior"/>
    <x v="0"/>
    <s v="Üretim &amp; Operasyon Müdürü"/>
    <x v="4"/>
    <d v="2024-07-22T00:00:00"/>
    <s v="-"/>
    <x v="2"/>
    <s v="-"/>
    <x v="1"/>
    <n v="24700"/>
    <n v="0"/>
    <n v="23"/>
    <n v="30"/>
    <s v="-"/>
    <n v="0"/>
    <n v="11"/>
    <n v="0"/>
    <n v="0"/>
    <x v="3"/>
    <n v="25"/>
    <s v="Şirket Web Sitesi"/>
    <m/>
    <n v="1"/>
    <s v="20-29"/>
    <s v="1-3 YIL"/>
    <x v="2"/>
  </r>
  <r>
    <s v="PER0842"/>
    <s v="Can Şahin"/>
    <x v="1"/>
    <d v="1999-10-18T00:00:00"/>
    <n v="27"/>
    <s v="Evli"/>
    <n v="1"/>
    <s v="Lisans"/>
    <x v="3"/>
    <s v="Yazılım Uzman Yardımcısı"/>
    <s v="Junior"/>
    <x v="1"/>
    <s v="Bilgi Teknolojileri Müdürü"/>
    <x v="0"/>
    <d v="2023-01-27T00:00:00"/>
    <s v="-"/>
    <x v="2"/>
    <s v="-"/>
    <x v="1"/>
    <n v="49000"/>
    <n v="0"/>
    <n v="1"/>
    <n v="25"/>
    <s v="01-Istirahat"/>
    <n v="5"/>
    <n v="8"/>
    <n v="0"/>
    <n v="0"/>
    <x v="1"/>
    <n v="18"/>
    <s v="Kariyer.net"/>
    <m/>
    <n v="3"/>
    <s v="20-29"/>
    <s v="3-5 YIL"/>
    <x v="9"/>
  </r>
  <r>
    <s v="PER0843"/>
    <s v="Mustafa Özdemir"/>
    <x v="1"/>
    <d v="1997-06-11T00:00:00"/>
    <n v="29"/>
    <s v="Evli"/>
    <n v="1"/>
    <s v="Yüksek Lisans"/>
    <x v="0"/>
    <s v="Operatör"/>
    <s v="Junior"/>
    <x v="0"/>
    <s v="Üretim &amp; Operasyon Müdürü"/>
    <x v="0"/>
    <d v="2022-12-24T00:00:00"/>
    <s v="-"/>
    <x v="2"/>
    <s v="-"/>
    <x v="1"/>
    <n v="27300"/>
    <n v="0"/>
    <n v="26"/>
    <n v="30"/>
    <s v="-"/>
    <n v="0"/>
    <n v="10"/>
    <n v="0"/>
    <n v="0"/>
    <x v="1"/>
    <n v="19"/>
    <s v="Kariyer.net"/>
    <m/>
    <n v="3"/>
    <s v="20-29"/>
    <s v="3-5 YIL"/>
    <x v="7"/>
  </r>
  <r>
    <s v="PER0844"/>
    <s v="Selin Arslan"/>
    <x v="0"/>
    <d v="1997-10-05T00:00:00"/>
    <n v="29"/>
    <s v="Evli"/>
    <n v="2"/>
    <s v="Önlisans"/>
    <x v="0"/>
    <s v="Operatör"/>
    <s v="Junior"/>
    <x v="0"/>
    <s v="Üretim &amp; Operasyon Müdürü"/>
    <x v="3"/>
    <d v="2026-05-18T00:00:00"/>
    <s v="-"/>
    <x v="2"/>
    <s v="-"/>
    <x v="1"/>
    <n v="26800"/>
    <n v="0"/>
    <n v="18"/>
    <n v="28"/>
    <s v="01-Istirahat"/>
    <n v="2"/>
    <n v="0"/>
    <n v="0"/>
    <n v="0"/>
    <x v="3"/>
    <n v="20"/>
    <s v="Kariyer.net"/>
    <m/>
    <n v="0"/>
    <s v="20-29"/>
    <s v="0-1 YIL"/>
    <x v="3"/>
  </r>
  <r>
    <s v="PER0845"/>
    <s v="Defne Arslan"/>
    <x v="0"/>
    <d v="1991-02-09T00:00:00"/>
    <n v="35"/>
    <s v="Bekar"/>
    <n v="0"/>
    <s v="Önlisans"/>
    <x v="3"/>
    <s v="Kıdemli Yazılım Uzmanı"/>
    <s v="Senior"/>
    <x v="1"/>
    <s v="Bilgi Teknolojileri Müdürü"/>
    <x v="0"/>
    <d v="2020-10-31T00:00:00"/>
    <s v="-"/>
    <x v="2"/>
    <s v="-"/>
    <x v="1"/>
    <n v="80500"/>
    <n v="0"/>
    <n v="6"/>
    <n v="30"/>
    <s v="-"/>
    <n v="0"/>
    <n v="12"/>
    <n v="0"/>
    <n v="0"/>
    <x v="1"/>
    <n v="13"/>
    <s v="LinkedIn"/>
    <m/>
    <n v="5"/>
    <s v="30-39"/>
    <s v="5-10 YIL"/>
    <x v="5"/>
  </r>
  <r>
    <s v="PER0846"/>
    <s v="Fatma Yılmaz"/>
    <x v="0"/>
    <d v="1996-08-17T00:00:00"/>
    <n v="30"/>
    <s v="Bekar"/>
    <n v="0"/>
    <s v="Lisans"/>
    <x v="4"/>
    <s v="İK Uzmanı"/>
    <s v="Senior"/>
    <x v="1"/>
    <s v="İnsan Kaynakları Müdürü"/>
    <x v="0"/>
    <d v="2015-04-02T00:00:00"/>
    <s v="-"/>
    <x v="2"/>
    <s v="-"/>
    <x v="1"/>
    <n v="49600"/>
    <n v="0"/>
    <n v="6"/>
    <n v="20"/>
    <s v="01-Istirahat"/>
    <n v="10"/>
    <n v="2"/>
    <n v="0"/>
    <n v="0"/>
    <x v="0"/>
    <n v="9"/>
    <s v="Kariyer.net"/>
    <m/>
    <n v="11"/>
    <s v="30-39"/>
    <s v="10+"/>
    <x v="8"/>
  </r>
  <r>
    <s v="PER0847"/>
    <s v="Oğuzhan Yılmaz"/>
    <x v="1"/>
    <d v="2003-10-06T00:00:00"/>
    <n v="23"/>
    <s v="Bekar"/>
    <n v="0"/>
    <s v="Yüksek Lisans"/>
    <x v="0"/>
    <s v="Operatör"/>
    <s v="Junior"/>
    <x v="0"/>
    <s v="Üretim &amp; Operasyon Müdürü"/>
    <x v="0"/>
    <d v="2022-11-12T00:00:00"/>
    <d v="2023-01-19T00:00:00"/>
    <x v="1"/>
    <n v="4"/>
    <x v="0"/>
    <n v="27300"/>
    <n v="0"/>
    <n v="39"/>
    <n v="29"/>
    <s v="01-Istirahat"/>
    <n v="1"/>
    <n v="14"/>
    <n v="0"/>
    <n v="0"/>
    <x v="1"/>
    <n v="10"/>
    <s v="Kariyer.net"/>
    <m/>
    <n v="3"/>
    <s v="20-29"/>
    <s v="3-5 YIL"/>
    <x v="7"/>
  </r>
  <r>
    <s v="PER0848"/>
    <s v="Mehmet Demir"/>
    <x v="1"/>
    <d v="1997-05-02T00:00:00"/>
    <n v="29"/>
    <s v="Evli"/>
    <n v="0"/>
    <s v="Lisans"/>
    <x v="0"/>
    <s v="Operatör"/>
    <s v="Junior"/>
    <x v="0"/>
    <s v="Üretim &amp; Operasyon Müdürü"/>
    <x v="3"/>
    <d v="2025-01-22T00:00:00"/>
    <s v="-"/>
    <x v="2"/>
    <s v="-"/>
    <x v="1"/>
    <n v="24100"/>
    <n v="0"/>
    <n v="36"/>
    <n v="27"/>
    <s v="02-Ucretsiz Izin"/>
    <n v="0"/>
    <n v="4"/>
    <n v="3"/>
    <n v="0"/>
    <x v="1"/>
    <n v="7"/>
    <s v="Referans"/>
    <m/>
    <n v="1"/>
    <s v="20-29"/>
    <s v="1-3 YIL"/>
    <x v="0"/>
  </r>
  <r>
    <s v="PER0849"/>
    <s v="Gamze Özdemir"/>
    <x v="0"/>
    <d v="1998-01-18T00:00:00"/>
    <n v="28"/>
    <s v="Evli"/>
    <n v="3"/>
    <s v="Önlisans"/>
    <x v="0"/>
    <s v="Operatör"/>
    <s v="Junior"/>
    <x v="0"/>
    <s v="Üretim &amp; Operasyon Müdürü"/>
    <x v="3"/>
    <d v="2025-11-06T00:00:00"/>
    <s v="-"/>
    <x v="2"/>
    <s v="-"/>
    <x v="1"/>
    <n v="28100"/>
    <n v="0"/>
    <n v="20"/>
    <n v="30"/>
    <s v="-"/>
    <n v="0"/>
    <n v="0"/>
    <n v="0"/>
    <n v="0"/>
    <x v="1"/>
    <n v="2"/>
    <s v="Şirket Web Sitesi"/>
    <m/>
    <n v="0"/>
    <s v="20-29"/>
    <s v="0-1 YIL"/>
    <x v="0"/>
  </r>
  <r>
    <s v="PER0850"/>
    <s v="Merve Çetin"/>
    <x v="0"/>
    <d v="1986-02-15T00:00:00"/>
    <n v="40"/>
    <s v="Bekar"/>
    <n v="0"/>
    <s v="Lisans"/>
    <x v="2"/>
    <s v="Mali İşler Uzmanı"/>
    <s v="Senior"/>
    <x v="1"/>
    <s v="Finans &amp; Muhasebe Müdürü"/>
    <x v="0"/>
    <d v="2018-11-04T00:00:00"/>
    <d v="2019-10-07T00:00:00"/>
    <x v="1"/>
    <n v="4"/>
    <x v="0"/>
    <n v="65000"/>
    <n v="0"/>
    <n v="9"/>
    <n v="30"/>
    <s v="-"/>
    <n v="0"/>
    <n v="13"/>
    <n v="0"/>
    <n v="0"/>
    <x v="1"/>
    <n v="8"/>
    <s v="Danışmanlık Firması"/>
    <m/>
    <n v="7"/>
    <s v="40-49"/>
    <s v="5-10 YIL"/>
    <x v="1"/>
  </r>
  <r>
    <s v="PER0851"/>
    <s v="Ömer Kara"/>
    <x v="1"/>
    <d v="1996-05-01T00:00:00"/>
    <n v="30"/>
    <s v="Evli"/>
    <n v="1"/>
    <s v="Lisans"/>
    <x v="2"/>
    <s v="Mali İşler Uzmanı"/>
    <s v="Senior"/>
    <x v="1"/>
    <s v="Finans &amp; Muhasebe Müdürü"/>
    <x v="0"/>
    <d v="2015-11-07T00:00:00"/>
    <d v="2023-09-06T00:00:00"/>
    <x v="0"/>
    <n v="3"/>
    <x v="0"/>
    <n v="61300"/>
    <n v="0"/>
    <n v="2"/>
    <n v="29"/>
    <s v="01-Istirahat"/>
    <n v="1"/>
    <n v="7"/>
    <n v="0"/>
    <n v="0"/>
    <x v="1"/>
    <n v="17"/>
    <s v="LinkedIn"/>
    <m/>
    <n v="10"/>
    <s v="30-39"/>
    <s v="5-10 YIL"/>
    <x v="8"/>
  </r>
  <r>
    <s v="PER0852"/>
    <s v="Fatma Şahin"/>
    <x v="0"/>
    <d v="2000-01-21T00:00:00"/>
    <n v="26"/>
    <s v="Bekar"/>
    <n v="0"/>
    <s v="Yüksek Lisans"/>
    <x v="0"/>
    <s v="Operatör"/>
    <s v="Junior"/>
    <x v="0"/>
    <s v="Üretim &amp; Operasyon Müdürü"/>
    <x v="0"/>
    <d v="2022-12-09T00:00:00"/>
    <s v="-"/>
    <x v="2"/>
    <s v="-"/>
    <x v="1"/>
    <n v="27500"/>
    <n v="0"/>
    <n v="23"/>
    <n v="30"/>
    <s v="-"/>
    <n v="0"/>
    <n v="7"/>
    <n v="0"/>
    <n v="0"/>
    <x v="1"/>
    <n v="7"/>
    <s v="Referans"/>
    <m/>
    <n v="3"/>
    <s v="20-29"/>
    <s v="3-5 YIL"/>
    <x v="7"/>
  </r>
  <r>
    <s v="PER0853"/>
    <s v="Hasan Çetin"/>
    <x v="1"/>
    <d v="2001-12-05T00:00:00"/>
    <n v="25"/>
    <s v="Evli"/>
    <n v="3"/>
    <s v="Yüksek Lisans"/>
    <x v="1"/>
    <s v="Satış Temsilcisi"/>
    <s v="Junior"/>
    <x v="1"/>
    <s v="Satış &amp; Pazarlama Müdürü"/>
    <x v="4"/>
    <d v="2022-12-03T00:00:00"/>
    <s v="-"/>
    <x v="2"/>
    <s v="-"/>
    <x v="1"/>
    <n v="35000"/>
    <n v="0"/>
    <n v="3"/>
    <n v="30"/>
    <s v="-"/>
    <n v="0"/>
    <n v="11"/>
    <n v="0"/>
    <n v="0"/>
    <x v="3"/>
    <n v="27"/>
    <s v="LinkedIn"/>
    <m/>
    <n v="3"/>
    <s v="20-29"/>
    <s v="3-5 YIL"/>
    <x v="7"/>
  </r>
  <r>
    <s v="PER0854"/>
    <s v="Büşra Çelik"/>
    <x v="0"/>
    <d v="1996-05-17T00:00:00"/>
    <n v="30"/>
    <s v="Bekar"/>
    <n v="0"/>
    <s v="Lisans"/>
    <x v="1"/>
    <s v="Kıdemli Satış Uzmanı"/>
    <s v="Senior"/>
    <x v="1"/>
    <s v="Satış &amp; Pazarlama Müdürü"/>
    <x v="4"/>
    <d v="2019-07-26T00:00:00"/>
    <s v="-"/>
    <x v="2"/>
    <s v="-"/>
    <x v="1"/>
    <n v="55100"/>
    <n v="13500"/>
    <n v="0"/>
    <n v="30"/>
    <s v="-"/>
    <n v="0"/>
    <n v="9"/>
    <n v="0"/>
    <n v="0"/>
    <x v="2"/>
    <n v="30"/>
    <s v="LinkedIn"/>
    <m/>
    <n v="6"/>
    <s v="30-39"/>
    <s v="5-10 YIL"/>
    <x v="11"/>
  </r>
  <r>
    <s v="PER0855"/>
    <s v="Ayşe Aydın"/>
    <x v="0"/>
    <d v="1995-08-22T00:00:00"/>
    <n v="31"/>
    <s v="Bekar"/>
    <n v="0"/>
    <s v="Lisans"/>
    <x v="2"/>
    <s v="Mali İşler Uzmanı"/>
    <s v="Senior"/>
    <x v="1"/>
    <s v="Finans &amp; Muhasebe Müdürü"/>
    <x v="0"/>
    <d v="2018-01-05T00:00:00"/>
    <s v="-"/>
    <x v="2"/>
    <s v="-"/>
    <x v="1"/>
    <n v="60300"/>
    <n v="0"/>
    <n v="9"/>
    <n v="24"/>
    <s v="01-Istirahat"/>
    <n v="5"/>
    <n v="5"/>
    <n v="1"/>
    <n v="0"/>
    <x v="4"/>
    <n v="3"/>
    <s v="Danışmanlık Firması"/>
    <m/>
    <n v="8"/>
    <s v="30-39"/>
    <s v="5-10 YIL"/>
    <x v="1"/>
  </r>
  <r>
    <s v="PER0856"/>
    <s v="Hasan Arslan"/>
    <x v="1"/>
    <d v="1973-01-01T00:00:00"/>
    <n v="53"/>
    <s v="Evli"/>
    <n v="1"/>
    <s v="Yüksek Lisans"/>
    <x v="1"/>
    <s v="Satış Müdürü"/>
    <s v="Manager"/>
    <x v="1"/>
    <s v="Genel Müdür"/>
    <x v="3"/>
    <d v="2017-04-02T00:00:00"/>
    <s v="-"/>
    <x v="2"/>
    <s v="-"/>
    <x v="1"/>
    <n v="116900"/>
    <n v="19500"/>
    <n v="3"/>
    <n v="29"/>
    <s v="01-Istirahat"/>
    <n v="1"/>
    <n v="2"/>
    <n v="0"/>
    <n v="0"/>
    <x v="3"/>
    <n v="30"/>
    <s v="LinkedIn"/>
    <m/>
    <n v="9"/>
    <s v="50+"/>
    <s v="5-10 YIL"/>
    <x v="4"/>
  </r>
  <r>
    <s v="PER0857"/>
    <s v="Elif Kılıç"/>
    <x v="0"/>
    <d v="1988-07-25T00:00:00"/>
    <n v="38"/>
    <s v="Bekar"/>
    <n v="0"/>
    <s v="Lisans"/>
    <x v="3"/>
    <s v="Kıdemli Yazılım Uzmanı"/>
    <s v="Senior"/>
    <x v="1"/>
    <s v="Bilgi Teknolojileri Müdürü"/>
    <x v="0"/>
    <d v="2018-01-02T00:00:00"/>
    <s v="-"/>
    <x v="2"/>
    <s v="-"/>
    <x v="1"/>
    <n v="74300"/>
    <n v="0"/>
    <n v="1"/>
    <n v="20"/>
    <s v="01-Istirahat"/>
    <n v="10"/>
    <n v="7"/>
    <n v="0"/>
    <n v="0"/>
    <x v="1"/>
    <n v="13"/>
    <s v="Kariyer.net"/>
    <m/>
    <n v="8"/>
    <s v="30-39"/>
    <s v="5-10 YIL"/>
    <x v="1"/>
  </r>
  <r>
    <s v="PER0858"/>
    <s v="Ahmet Aydın"/>
    <x v="1"/>
    <d v="1978-06-20T00:00:00"/>
    <n v="48"/>
    <s v="Bekar"/>
    <n v="0"/>
    <s v="Lisans"/>
    <x v="1"/>
    <s v="Satış Müdürü"/>
    <s v="Manager"/>
    <x v="1"/>
    <s v="Genel Müdür"/>
    <x v="0"/>
    <d v="2012-07-30T00:00:00"/>
    <d v="2025-11-14T00:00:00"/>
    <x v="1"/>
    <n v="4"/>
    <x v="0"/>
    <n v="102900"/>
    <n v="0"/>
    <n v="4"/>
    <n v="30"/>
    <s v="-"/>
    <n v="0"/>
    <n v="4"/>
    <n v="0"/>
    <n v="0"/>
    <x v="1"/>
    <n v="8"/>
    <s v="Danışmanlık Firması"/>
    <m/>
    <n v="13"/>
    <s v="40-49"/>
    <s v="10+"/>
    <x v="12"/>
  </r>
  <r>
    <s v="PER0859"/>
    <s v="Burak Kılıç"/>
    <x v="1"/>
    <d v="2000-08-14T00:00:00"/>
    <n v="26"/>
    <s v="Bekar"/>
    <n v="0"/>
    <s v="Lisans"/>
    <x v="0"/>
    <s v="Operatör"/>
    <s v="Junior"/>
    <x v="0"/>
    <s v="Üretim &amp; Operasyon Müdürü"/>
    <x v="0"/>
    <d v="2023-02-02T00:00:00"/>
    <s v="-"/>
    <x v="2"/>
    <s v="-"/>
    <x v="1"/>
    <n v="28400"/>
    <n v="0"/>
    <n v="25"/>
    <n v="30"/>
    <s v="-"/>
    <n v="0"/>
    <n v="10"/>
    <n v="0"/>
    <n v="0"/>
    <x v="3"/>
    <n v="39"/>
    <s v="Kariyer.net"/>
    <m/>
    <n v="3"/>
    <s v="20-29"/>
    <s v="3-5 YIL"/>
    <x v="9"/>
  </r>
  <r>
    <s v="PER0860"/>
    <s v="Kübra Öztürk"/>
    <x v="0"/>
    <d v="1998-03-22T00:00:00"/>
    <n v="28"/>
    <s v="Bekar"/>
    <n v="0"/>
    <s v="Lisans"/>
    <x v="0"/>
    <s v="Operatör"/>
    <s v="Junior"/>
    <x v="0"/>
    <s v="Üretim &amp; Operasyon Müdürü"/>
    <x v="1"/>
    <d v="2024-09-22T00:00:00"/>
    <s v="-"/>
    <x v="2"/>
    <s v="-"/>
    <x v="1"/>
    <n v="28200"/>
    <n v="0"/>
    <n v="43"/>
    <n v="30"/>
    <s v="-"/>
    <n v="0"/>
    <n v="8"/>
    <n v="0"/>
    <n v="0"/>
    <x v="1"/>
    <n v="6"/>
    <s v="LinkedIn"/>
    <m/>
    <n v="1"/>
    <s v="20-29"/>
    <s v="1-3 YIL"/>
    <x v="2"/>
  </r>
  <r>
    <s v="PER0861"/>
    <s v="Selin Çelik"/>
    <x v="0"/>
    <d v="1979-08-15T00:00:00"/>
    <n v="47"/>
    <s v="Bekar"/>
    <n v="0"/>
    <s v="Önlisans"/>
    <x v="0"/>
    <s v="Takım Lideri"/>
    <s v="Senior"/>
    <x v="0"/>
    <s v="Üretim &amp; Operasyon Müdürü"/>
    <x v="0"/>
    <d v="2016-02-17T00:00:00"/>
    <s v="-"/>
    <x v="2"/>
    <s v="-"/>
    <x v="1"/>
    <n v="44200"/>
    <n v="0"/>
    <n v="44"/>
    <n v="30"/>
    <s v="-"/>
    <n v="0"/>
    <n v="6"/>
    <n v="0"/>
    <n v="0"/>
    <x v="4"/>
    <n v="2"/>
    <s v="Referans"/>
    <m/>
    <n v="10"/>
    <s v="40-49"/>
    <s v="5-10 YIL"/>
    <x v="13"/>
  </r>
  <r>
    <s v="PER0862"/>
    <s v="Oğuzhan Aslan"/>
    <x v="1"/>
    <d v="1994-01-10T00:00:00"/>
    <n v="32"/>
    <s v="Evli"/>
    <n v="0"/>
    <s v="Yüksek Lisans"/>
    <x v="1"/>
    <s v="Kıdemli Satış Uzmanı"/>
    <s v="Senior"/>
    <x v="1"/>
    <s v="Satış &amp; Pazarlama Müdürü"/>
    <x v="4"/>
    <d v="2020-07-11T00:00:00"/>
    <s v="-"/>
    <x v="2"/>
    <s v="-"/>
    <x v="1"/>
    <n v="60600"/>
    <n v="19500"/>
    <n v="0"/>
    <n v="20"/>
    <s v="01-Istirahat"/>
    <n v="10"/>
    <n v="1"/>
    <n v="0"/>
    <n v="0"/>
    <x v="3"/>
    <n v="12"/>
    <s v="Referans"/>
    <m/>
    <n v="5"/>
    <s v="30-39"/>
    <s v="5-10 YIL"/>
    <x v="5"/>
  </r>
  <r>
    <s v="PER0863"/>
    <s v="Mustafa Özdemir"/>
    <x v="1"/>
    <d v="1984-04-12T00:00:00"/>
    <n v="42"/>
    <s v="Bekar"/>
    <n v="0"/>
    <s v="Lisans"/>
    <x v="3"/>
    <s v="Kıdemli Yazılım Uzmanı"/>
    <s v="Senior"/>
    <x v="1"/>
    <s v="Bilgi Teknolojileri Müdürü"/>
    <x v="1"/>
    <d v="2017-02-08T00:00:00"/>
    <s v="-"/>
    <x v="2"/>
    <s v="-"/>
    <x v="1"/>
    <n v="78300"/>
    <n v="0"/>
    <n v="4"/>
    <n v="30"/>
    <s v="-"/>
    <n v="0"/>
    <n v="14"/>
    <n v="0"/>
    <n v="0"/>
    <x v="4"/>
    <n v="8"/>
    <s v="Kariyer.net"/>
    <m/>
    <n v="9"/>
    <s v="40-49"/>
    <s v="5-10 YIL"/>
    <x v="4"/>
  </r>
  <r>
    <s v="PER0864"/>
    <s v="Emre Özdemir"/>
    <x v="1"/>
    <d v="1979-09-27T00:00:00"/>
    <n v="47"/>
    <s v="Evli"/>
    <n v="1"/>
    <s v="Lisans"/>
    <x v="0"/>
    <s v="Takım Lideri"/>
    <s v="Senior"/>
    <x v="0"/>
    <s v="Üretim &amp; Operasyon Müdürü"/>
    <x v="0"/>
    <d v="2017-08-17T00:00:00"/>
    <s v="-"/>
    <x v="2"/>
    <s v="-"/>
    <x v="1"/>
    <n v="43700"/>
    <n v="0"/>
    <n v="28"/>
    <n v="30"/>
    <s v="-"/>
    <n v="0"/>
    <n v="2"/>
    <n v="0"/>
    <n v="0"/>
    <x v="1"/>
    <n v="6"/>
    <s v="Kariyer.net"/>
    <m/>
    <n v="8"/>
    <s v="40-49"/>
    <s v="5-10 YIL"/>
    <x v="4"/>
  </r>
  <r>
    <s v="PER0865"/>
    <s v="Ömer Aslan"/>
    <x v="1"/>
    <d v="2004-07-01T00:00:00"/>
    <n v="22"/>
    <s v="Bekar"/>
    <n v="0"/>
    <s v="Yüksek Lisans"/>
    <x v="0"/>
    <s v="Operatör"/>
    <s v="Junior"/>
    <x v="0"/>
    <s v="Üretim &amp; Operasyon Müdürü"/>
    <x v="2"/>
    <d v="2022-12-14T00:00:00"/>
    <s v="-"/>
    <x v="2"/>
    <s v="-"/>
    <x v="1"/>
    <n v="28400"/>
    <n v="0"/>
    <n v="19"/>
    <n v="28"/>
    <s v="10-Devamsizlik"/>
    <n v="0"/>
    <n v="10"/>
    <n v="0"/>
    <n v="2"/>
    <x v="3"/>
    <n v="32"/>
    <s v="LinkedIn"/>
    <m/>
    <n v="3"/>
    <s v="20-29"/>
    <s v="3-5 YIL"/>
    <x v="7"/>
  </r>
  <r>
    <s v="PER0866"/>
    <s v="Merve Arslan"/>
    <x v="0"/>
    <d v="2002-10-05T00:00:00"/>
    <n v="24"/>
    <s v="Bekar"/>
    <n v="0"/>
    <s v="Lisans"/>
    <x v="0"/>
    <s v="Operatör"/>
    <s v="Junior"/>
    <x v="0"/>
    <s v="Üretim &amp; Operasyon Müdürü"/>
    <x v="3"/>
    <d v="2024-01-14T00:00:00"/>
    <s v="-"/>
    <x v="2"/>
    <s v="-"/>
    <x v="1"/>
    <n v="28400"/>
    <n v="0"/>
    <n v="30"/>
    <n v="29"/>
    <s v="01-Istirahat"/>
    <n v="1"/>
    <n v="10"/>
    <n v="0"/>
    <n v="0"/>
    <x v="1"/>
    <n v="9"/>
    <s v="Kariyer.net"/>
    <m/>
    <n v="2"/>
    <s v="20-29"/>
    <s v="1-3 YIL"/>
    <x v="2"/>
  </r>
  <r>
    <s v="PER0867"/>
    <s v="Hilal Çelik"/>
    <x v="0"/>
    <d v="1998-10-12T00:00:00"/>
    <n v="28"/>
    <s v="Bekar"/>
    <n v="0"/>
    <s v="Lisans"/>
    <x v="1"/>
    <s v="Kıdemli Satış Uzmanı"/>
    <s v="Senior"/>
    <x v="1"/>
    <s v="Satış &amp; Pazarlama Müdürü"/>
    <x v="4"/>
    <d v="2016-05-13T00:00:00"/>
    <s v="-"/>
    <x v="2"/>
    <s v="-"/>
    <x v="1"/>
    <n v="61500"/>
    <n v="16500"/>
    <n v="3"/>
    <n v="29"/>
    <s v="02-Ucretsiz Izin"/>
    <n v="0"/>
    <n v="12"/>
    <n v="1"/>
    <n v="0"/>
    <x v="1"/>
    <n v="17"/>
    <s v="Kariyer.net"/>
    <m/>
    <n v="10"/>
    <s v="20-29"/>
    <s v="5-10 YIL"/>
    <x v="13"/>
  </r>
  <r>
    <s v="PER0868"/>
    <s v="Ayşe Aslan"/>
    <x v="0"/>
    <d v="2004-03-18T00:00:00"/>
    <n v="22"/>
    <s v="Bekar"/>
    <n v="0"/>
    <s v="Lisans"/>
    <x v="0"/>
    <s v="Operatör"/>
    <s v="Junior"/>
    <x v="0"/>
    <s v="Üretim &amp; Operasyon Müdürü"/>
    <x v="0"/>
    <d v="2025-04-22T00:00:00"/>
    <d v="2025-08-14T00:00:00"/>
    <x v="4"/>
    <n v="3"/>
    <x v="0"/>
    <n v="27700"/>
    <n v="0"/>
    <n v="36"/>
    <n v="28"/>
    <s v="01-Istirahat"/>
    <n v="1"/>
    <n v="5"/>
    <n v="1"/>
    <n v="0"/>
    <x v="3"/>
    <n v="25"/>
    <s v="Şirket Web Sitesi"/>
    <m/>
    <n v="1"/>
    <s v="20-29"/>
    <s v="1-3 YIL"/>
    <x v="0"/>
  </r>
  <r>
    <s v="PER0869"/>
    <s v="Aslan Yılmaz"/>
    <x v="0"/>
    <d v="1998-09-06T00:00:00"/>
    <n v="28"/>
    <s v="Bekar"/>
    <n v="0"/>
    <s v="Yüksek Lisans"/>
    <x v="0"/>
    <s v="Operatör"/>
    <s v="Junior"/>
    <x v="0"/>
    <s v="Üretim &amp; Operasyon Müdürü"/>
    <x v="0"/>
    <d v="2024-01-29T00:00:00"/>
    <s v="-"/>
    <x v="2"/>
    <s v="-"/>
    <x v="1"/>
    <n v="26000"/>
    <n v="0"/>
    <n v="12"/>
    <n v="30"/>
    <s v="-"/>
    <n v="0"/>
    <n v="4"/>
    <n v="0"/>
    <n v="0"/>
    <x v="2"/>
    <n v="35"/>
    <s v="Kariyer.net"/>
    <m/>
    <n v="2"/>
    <s v="20-29"/>
    <s v="1-3 YIL"/>
    <x v="2"/>
  </r>
  <r>
    <s v="PER0870"/>
    <s v="Mustafa Kara"/>
    <x v="1"/>
    <d v="2000-08-19T00:00:00"/>
    <n v="26"/>
    <s v="Bekar"/>
    <n v="0"/>
    <s v="Lisans"/>
    <x v="0"/>
    <s v="Operatör"/>
    <s v="Junior"/>
    <x v="0"/>
    <s v="Üretim &amp; Operasyon Müdürü"/>
    <x v="0"/>
    <d v="2023-07-31T00:00:00"/>
    <s v="-"/>
    <x v="2"/>
    <s v="-"/>
    <x v="1"/>
    <n v="24000"/>
    <n v="0"/>
    <n v="27"/>
    <n v="30"/>
    <s v="-"/>
    <n v="0"/>
    <n v="7"/>
    <n v="0"/>
    <n v="0"/>
    <x v="4"/>
    <n v="18"/>
    <s v="Kariyer.net"/>
    <m/>
    <n v="2"/>
    <s v="20-29"/>
    <s v="1-3 YIL"/>
    <x v="9"/>
  </r>
  <r>
    <s v="PER0871"/>
    <s v="Defne Çetin"/>
    <x v="0"/>
    <d v="1990-08-22T00:00:00"/>
    <n v="36"/>
    <s v="Evli"/>
    <n v="0"/>
    <s v="Önlisans"/>
    <x v="2"/>
    <s v="Mali İşler Uzmanı"/>
    <s v="Senior"/>
    <x v="1"/>
    <s v="Finans &amp; Muhasebe Müdürü"/>
    <x v="0"/>
    <d v="2015-12-15T00:00:00"/>
    <s v="-"/>
    <x v="2"/>
    <s v="-"/>
    <x v="1"/>
    <n v="66500"/>
    <n v="0"/>
    <n v="6"/>
    <n v="20"/>
    <s v="01-Istirahat"/>
    <n v="10"/>
    <n v="1"/>
    <n v="0"/>
    <n v="0"/>
    <x v="1"/>
    <n v="2"/>
    <s v="Kariyer.net"/>
    <m/>
    <n v="10"/>
    <s v="30-39"/>
    <s v="5-10 YIL"/>
    <x v="8"/>
  </r>
  <r>
    <s v="PER0872"/>
    <s v="Zeynep Kara"/>
    <x v="0"/>
    <d v="1997-06-04T00:00:00"/>
    <n v="29"/>
    <s v="Evli"/>
    <n v="2"/>
    <s v="Yüksek Lisans"/>
    <x v="0"/>
    <s v="Takım Lideri"/>
    <s v="Senior"/>
    <x v="0"/>
    <s v="Üretim &amp; Operasyon Müdürü"/>
    <x v="3"/>
    <d v="2015-08-13T00:00:00"/>
    <s v="-"/>
    <x v="2"/>
    <s v="-"/>
    <x v="1"/>
    <n v="38400"/>
    <n v="0"/>
    <n v="38"/>
    <n v="30"/>
    <s v="-"/>
    <n v="0"/>
    <n v="11"/>
    <n v="0"/>
    <n v="0"/>
    <x v="1"/>
    <n v="17"/>
    <s v="Kariyer.net"/>
    <m/>
    <n v="10"/>
    <s v="20-29"/>
    <s v="5-10 YIL"/>
    <x v="8"/>
  </r>
  <r>
    <s v="PER0873"/>
    <s v="Hasan Aydın"/>
    <x v="1"/>
    <d v="1993-05-13T00:00:00"/>
    <n v="33"/>
    <s v="Evli"/>
    <n v="3"/>
    <s v="Önlisans"/>
    <x v="4"/>
    <s v="İK Uzmanı"/>
    <s v="Senior"/>
    <x v="1"/>
    <s v="İnsan Kaynakları Müdürü"/>
    <x v="0"/>
    <d v="2017-12-09T00:00:00"/>
    <s v="-"/>
    <x v="2"/>
    <s v="-"/>
    <x v="1"/>
    <n v="56400"/>
    <n v="6400"/>
    <n v="3"/>
    <n v="30"/>
    <s v="-"/>
    <n v="0"/>
    <n v="3"/>
    <n v="0"/>
    <n v="0"/>
    <x v="1"/>
    <n v="18"/>
    <s v="Kariyer.net"/>
    <m/>
    <n v="8"/>
    <s v="30-39"/>
    <s v="5-10 YIL"/>
    <x v="4"/>
  </r>
  <r>
    <s v="PER0874"/>
    <s v="Hasan Yıldız"/>
    <x v="1"/>
    <d v="1987-11-15T00:00:00"/>
    <n v="39"/>
    <s v="Evli"/>
    <n v="2"/>
    <s v="Lisans"/>
    <x v="3"/>
    <s v="Kıdemli Yazılım Uzmanı"/>
    <s v="Senior"/>
    <x v="1"/>
    <s v="Bilgi Teknolojileri Müdürü"/>
    <x v="4"/>
    <d v="2018-05-31T00:00:00"/>
    <d v="2023-12-31T00:00:00"/>
    <x v="1"/>
    <n v="4"/>
    <x v="0"/>
    <n v="72200"/>
    <n v="0"/>
    <n v="6"/>
    <n v="30"/>
    <s v="-"/>
    <n v="0"/>
    <n v="9"/>
    <n v="0"/>
    <n v="0"/>
    <x v="1"/>
    <n v="16"/>
    <s v="Kariyer.net"/>
    <m/>
    <n v="8"/>
    <s v="30-39"/>
    <s v="5-10 YIL"/>
    <x v="1"/>
  </r>
  <r>
    <s v="PER0875"/>
    <s v="Furkan Öztürk"/>
    <x v="1"/>
    <d v="1993-11-25T00:00:00"/>
    <n v="33"/>
    <s v="Bekar"/>
    <n v="0"/>
    <s v="Lisans"/>
    <x v="2"/>
    <s v="Mali İşler Uzmanı"/>
    <s v="Senior"/>
    <x v="1"/>
    <s v="Finans &amp; Muhasebe Müdürü"/>
    <x v="0"/>
    <d v="2018-08-15T00:00:00"/>
    <s v="-"/>
    <x v="2"/>
    <s v="-"/>
    <x v="1"/>
    <n v="59300"/>
    <n v="0"/>
    <n v="8"/>
    <n v="30"/>
    <s v="-"/>
    <n v="0"/>
    <n v="1"/>
    <n v="0"/>
    <n v="0"/>
    <x v="1"/>
    <n v="10"/>
    <s v="LinkedIn"/>
    <m/>
    <n v="7"/>
    <s v="30-39"/>
    <s v="5-10 YIL"/>
    <x v="1"/>
  </r>
  <r>
    <s v="PER0876"/>
    <s v="Büşra Yıldız"/>
    <x v="0"/>
    <d v="2000-11-27T00:00:00"/>
    <n v="26"/>
    <s v="Evli"/>
    <n v="1"/>
    <s v="Önlisans"/>
    <x v="0"/>
    <s v="Operatör"/>
    <s v="Junior"/>
    <x v="0"/>
    <s v="Üretim &amp; Operasyon Müdürü"/>
    <x v="2"/>
    <d v="2023-03-17T00:00:00"/>
    <s v="-"/>
    <x v="2"/>
    <s v="-"/>
    <x v="1"/>
    <n v="27600"/>
    <n v="0"/>
    <n v="37"/>
    <n v="29"/>
    <s v="10-Devamsizlik"/>
    <n v="0"/>
    <n v="5"/>
    <n v="0"/>
    <n v="1"/>
    <x v="0"/>
    <n v="2"/>
    <s v="LinkedIn"/>
    <m/>
    <n v="3"/>
    <s v="20-29"/>
    <s v="3-5 YIL"/>
    <x v="9"/>
  </r>
  <r>
    <s v="PER0877"/>
    <s v="Mustafa Yılmaz"/>
    <x v="1"/>
    <d v="2000-02-01T00:00:00"/>
    <n v="26"/>
    <s v="Bekar"/>
    <n v="0"/>
    <s v="Lisans"/>
    <x v="0"/>
    <s v="Operatör"/>
    <s v="Junior"/>
    <x v="0"/>
    <s v="Üretim &amp; Operasyon Müdürü"/>
    <x v="1"/>
    <d v="2025-04-12T00:00:00"/>
    <s v="-"/>
    <x v="2"/>
    <s v="-"/>
    <x v="1"/>
    <n v="24200"/>
    <n v="0"/>
    <n v="21"/>
    <n v="29"/>
    <s v="10-Devamsizlik"/>
    <n v="0"/>
    <n v="8"/>
    <n v="0"/>
    <n v="1"/>
    <x v="1"/>
    <n v="12"/>
    <s v="Kariyer.net"/>
    <m/>
    <n v="1"/>
    <s v="20-29"/>
    <s v="1-3 YIL"/>
    <x v="0"/>
  </r>
  <r>
    <s v="PER0878"/>
    <s v="Mehmet Yıldız"/>
    <x v="1"/>
    <d v="2004-05-06T00:00:00"/>
    <n v="22"/>
    <s v="Evli"/>
    <n v="1"/>
    <s v="Lisans"/>
    <x v="0"/>
    <s v="Operatör"/>
    <s v="Junior"/>
    <x v="0"/>
    <s v="Üretim &amp; Operasyon Müdürü"/>
    <x v="0"/>
    <d v="2023-10-08T00:00:00"/>
    <s v="-"/>
    <x v="2"/>
    <s v="-"/>
    <x v="1"/>
    <n v="27000"/>
    <n v="0"/>
    <n v="29"/>
    <n v="27"/>
    <s v="01-Istirahat"/>
    <n v="3"/>
    <n v="1"/>
    <n v="0"/>
    <n v="0"/>
    <x v="1"/>
    <n v="6"/>
    <s v="Referans"/>
    <m/>
    <n v="2"/>
    <s v="20-29"/>
    <s v="1-3 YIL"/>
    <x v="9"/>
  </r>
  <r>
    <s v="PER0879"/>
    <s v="İrem Demir"/>
    <x v="0"/>
    <d v="2000-11-02T00:00:00"/>
    <n v="26"/>
    <s v="Evli"/>
    <n v="1"/>
    <s v="Önlisans"/>
    <x v="2"/>
    <s v="Muhasebe Elemanı"/>
    <s v="Junior"/>
    <x v="1"/>
    <s v="Finans &amp; Muhasebe Müdürü"/>
    <x v="4"/>
    <d v="2024-08-11T00:00:00"/>
    <s v="-"/>
    <x v="2"/>
    <s v="-"/>
    <x v="1"/>
    <n v="36100"/>
    <n v="0"/>
    <n v="3"/>
    <n v="30"/>
    <s v="-"/>
    <n v="0"/>
    <n v="8"/>
    <n v="0"/>
    <n v="0"/>
    <x v="1"/>
    <n v="9"/>
    <s v="Referans"/>
    <m/>
    <n v="1"/>
    <s v="20-29"/>
    <s v="1-3 YIL"/>
    <x v="2"/>
  </r>
  <r>
    <s v="PER0880"/>
    <s v="Emre Yılmaz"/>
    <x v="1"/>
    <d v="2002-06-10T00:00:00"/>
    <n v="24"/>
    <s v="Bekar"/>
    <n v="0"/>
    <s v="Önlisans"/>
    <x v="1"/>
    <s v="Satış Temsilcisi"/>
    <s v="Junior"/>
    <x v="1"/>
    <s v="Satış &amp; Pazarlama Müdürü"/>
    <x v="4"/>
    <d v="2024-02-13T00:00:00"/>
    <s v="-"/>
    <x v="2"/>
    <s v="-"/>
    <x v="1"/>
    <n v="33800"/>
    <n v="10900"/>
    <n v="3"/>
    <n v="30"/>
    <s v="-"/>
    <n v="0"/>
    <n v="0"/>
    <n v="0"/>
    <n v="0"/>
    <x v="1"/>
    <n v="19"/>
    <s v="LinkedIn"/>
    <m/>
    <n v="2"/>
    <s v="20-29"/>
    <s v="1-3 YIL"/>
    <x v="2"/>
  </r>
  <r>
    <s v="PER0881"/>
    <s v="Ömer Yılmaz"/>
    <x v="1"/>
    <d v="2001-01-24T00:00:00"/>
    <n v="25"/>
    <s v="Evli"/>
    <n v="3"/>
    <s v="Lisans"/>
    <x v="0"/>
    <s v="Operatör"/>
    <s v="Junior"/>
    <x v="0"/>
    <s v="Üretim &amp; Operasyon Müdürü"/>
    <x v="0"/>
    <d v="2026-04-03T00:00:00"/>
    <d v="2026-05-04T00:00:00"/>
    <x v="1"/>
    <n v="4"/>
    <x v="0"/>
    <n v="27100"/>
    <n v="0"/>
    <n v="21"/>
    <n v="30"/>
    <s v="-"/>
    <n v="0"/>
    <n v="0"/>
    <n v="0"/>
    <n v="0"/>
    <x v="2"/>
    <n v="22"/>
    <s v="Referans"/>
    <m/>
    <n v="0"/>
    <s v="20-29"/>
    <s v="0-1 YIL"/>
    <x v="3"/>
  </r>
  <r>
    <s v="PER0882"/>
    <s v="Defne Kaya"/>
    <x v="0"/>
    <d v="1990-11-12T00:00:00"/>
    <n v="36"/>
    <s v="Evli"/>
    <n v="1"/>
    <s v="Lisans"/>
    <x v="1"/>
    <s v="Kıdemli Satış Uzmanı"/>
    <s v="Senior"/>
    <x v="1"/>
    <s v="Satış &amp; Pazarlama Müdürü"/>
    <x v="4"/>
    <d v="2014-06-12T00:00:00"/>
    <s v="-"/>
    <x v="2"/>
    <s v="-"/>
    <x v="1"/>
    <n v="55100"/>
    <n v="6300"/>
    <n v="1"/>
    <n v="30"/>
    <s v="-"/>
    <n v="0"/>
    <n v="2"/>
    <n v="0"/>
    <n v="0"/>
    <x v="3"/>
    <n v="24"/>
    <s v="LinkedIn"/>
    <m/>
    <n v="12"/>
    <s v="30-39"/>
    <s v="10+"/>
    <x v="6"/>
  </r>
  <r>
    <s v="PER0883"/>
    <s v="Selin Aydın"/>
    <x v="0"/>
    <d v="1999-09-26T00:00:00"/>
    <n v="27"/>
    <s v="Bekar"/>
    <n v="0"/>
    <s v="Lisans"/>
    <x v="0"/>
    <s v="Operatör"/>
    <s v="Junior"/>
    <x v="0"/>
    <s v="Üretim &amp; Operasyon Müdürü"/>
    <x v="0"/>
    <d v="2024-03-15T00:00:00"/>
    <s v="-"/>
    <x v="2"/>
    <s v="-"/>
    <x v="1"/>
    <n v="27000"/>
    <n v="0"/>
    <n v="12"/>
    <n v="20"/>
    <s v="01-Istirahat"/>
    <n v="10"/>
    <n v="9"/>
    <n v="0"/>
    <n v="0"/>
    <x v="1"/>
    <n v="8"/>
    <s v="LinkedIn"/>
    <m/>
    <n v="2"/>
    <s v="20-29"/>
    <s v="1-3 YIL"/>
    <x v="2"/>
  </r>
  <r>
    <s v="PER0884"/>
    <s v="Büşra Demir"/>
    <x v="0"/>
    <d v="1981-05-21T00:00:00"/>
    <n v="45"/>
    <s v="Evli"/>
    <n v="1"/>
    <s v="Lisans"/>
    <x v="3"/>
    <s v="Kıdemli Yazılım Uzmanı"/>
    <s v="Senior"/>
    <x v="1"/>
    <s v="Bilgi Teknolojileri Müdürü"/>
    <x v="0"/>
    <d v="2022-08-22T00:00:00"/>
    <s v="-"/>
    <x v="2"/>
    <s v="-"/>
    <x v="1"/>
    <n v="72500"/>
    <n v="0"/>
    <n v="3"/>
    <n v="29"/>
    <s v="01-Istirahat"/>
    <n v="1"/>
    <n v="7"/>
    <n v="0"/>
    <n v="0"/>
    <x v="3"/>
    <n v="14"/>
    <s v="LinkedIn"/>
    <m/>
    <n v="3"/>
    <s v="40-49"/>
    <s v="3-5 YIL"/>
    <x v="7"/>
  </r>
  <r>
    <s v="PER0885"/>
    <s v="İrem Demir"/>
    <x v="0"/>
    <d v="1990-11-25T00:00:00"/>
    <n v="36"/>
    <s v="Evli"/>
    <n v="1"/>
    <s v="Lisans"/>
    <x v="3"/>
    <s v="BT Müdürü"/>
    <s v="Manager"/>
    <x v="1"/>
    <s v="Genel Müdür"/>
    <x v="0"/>
    <d v="2018-02-25T00:00:00"/>
    <s v="-"/>
    <x v="2"/>
    <s v="-"/>
    <x v="1"/>
    <n v="114300"/>
    <n v="0"/>
    <n v="5"/>
    <n v="29"/>
    <s v="01-Istirahat"/>
    <n v="1"/>
    <n v="12"/>
    <n v="0"/>
    <n v="0"/>
    <x v="1"/>
    <n v="13"/>
    <s v="LinkedIn"/>
    <m/>
    <n v="8"/>
    <s v="30-39"/>
    <s v="5-10 YIL"/>
    <x v="1"/>
  </r>
  <r>
    <s v="PER0886"/>
    <s v="Selin Şahin"/>
    <x v="0"/>
    <d v="2004-02-15T00:00:00"/>
    <n v="22"/>
    <s v="Evli"/>
    <n v="1"/>
    <s v="Önlisans"/>
    <x v="1"/>
    <s v="Satış Temsilcisi"/>
    <s v="Junior"/>
    <x v="1"/>
    <s v="Satış &amp; Pazarlama Müdürü"/>
    <x v="1"/>
    <d v="2026-02-18T00:00:00"/>
    <d v="2026-03-20T00:00:00"/>
    <x v="1"/>
    <n v="4"/>
    <x v="0"/>
    <n v="35400"/>
    <n v="0"/>
    <n v="5"/>
    <n v="29"/>
    <s v="01-Istirahat"/>
    <n v="1"/>
    <n v="0"/>
    <n v="0"/>
    <n v="0"/>
    <x v="1"/>
    <n v="16"/>
    <s v="LinkedIn"/>
    <m/>
    <n v="0"/>
    <s v="20-29"/>
    <s v="0-1 YIL"/>
    <x v="3"/>
  </r>
  <r>
    <s v="PER0887"/>
    <s v="Can Kılıç"/>
    <x v="1"/>
    <d v="1989-08-19T00:00:00"/>
    <n v="37"/>
    <s v="Evli"/>
    <n v="0"/>
    <s v="Lisans"/>
    <x v="3"/>
    <s v="BT Müdürü"/>
    <s v="Manager"/>
    <x v="1"/>
    <s v="Genel Müdür"/>
    <x v="2"/>
    <d v="2015-04-13T00:00:00"/>
    <s v="-"/>
    <x v="2"/>
    <s v="-"/>
    <x v="1"/>
    <n v="117100"/>
    <n v="0"/>
    <n v="7"/>
    <n v="30"/>
    <s v="-"/>
    <n v="0"/>
    <n v="4"/>
    <n v="0"/>
    <n v="0"/>
    <x v="1"/>
    <n v="5"/>
    <s v="LinkedIn"/>
    <m/>
    <n v="11"/>
    <s v="30-39"/>
    <s v="10+"/>
    <x v="8"/>
  </r>
  <r>
    <s v="PER0888"/>
    <s v="Ecem Kaya"/>
    <x v="0"/>
    <d v="2004-11-27T00:00:00"/>
    <n v="22"/>
    <s v="Bekar"/>
    <n v="0"/>
    <s v="Lisans"/>
    <x v="1"/>
    <s v="Satış Temsilcisi"/>
    <s v="Junior"/>
    <x v="1"/>
    <s v="Satış &amp; Pazarlama Müdürü"/>
    <x v="2"/>
    <d v="2025-04-10T00:00:00"/>
    <s v="-"/>
    <x v="2"/>
    <s v="-"/>
    <x v="1"/>
    <n v="32900"/>
    <n v="11400"/>
    <n v="4"/>
    <n v="29"/>
    <s v="01-Istirahat"/>
    <n v="1"/>
    <n v="12"/>
    <n v="0"/>
    <n v="0"/>
    <x v="4"/>
    <n v="14"/>
    <s v="LinkedIn"/>
    <m/>
    <n v="1"/>
    <s v="20-29"/>
    <s v="1-3 YIL"/>
    <x v="0"/>
  </r>
  <r>
    <s v="PER0889"/>
    <s v="Hilal Şahin"/>
    <x v="0"/>
    <d v="2000-08-14T00:00:00"/>
    <n v="26"/>
    <s v="Bekar"/>
    <n v="0"/>
    <s v="Lisans"/>
    <x v="0"/>
    <s v="Operatör"/>
    <s v="Junior"/>
    <x v="0"/>
    <s v="Üretim &amp; Operasyon Müdürü"/>
    <x v="0"/>
    <d v="2024-09-22T00:00:00"/>
    <s v="-"/>
    <x v="2"/>
    <s v="-"/>
    <x v="1"/>
    <n v="24400"/>
    <n v="0"/>
    <n v="40"/>
    <n v="30"/>
    <s v="-"/>
    <n v="0"/>
    <n v="12"/>
    <n v="0"/>
    <n v="0"/>
    <x v="1"/>
    <n v="18"/>
    <s v="Kariyer.net"/>
    <m/>
    <n v="1"/>
    <s v="20-29"/>
    <s v="1-3 YIL"/>
    <x v="2"/>
  </r>
  <r>
    <s v="PER0890"/>
    <s v="Hasan Aslan"/>
    <x v="1"/>
    <d v="1995-11-10T00:00:00"/>
    <n v="31"/>
    <s v="Bekar"/>
    <n v="0"/>
    <s v="Lisans"/>
    <x v="1"/>
    <s v="Kıdemli Satış Uzmanı"/>
    <s v="Senior"/>
    <x v="1"/>
    <s v="Satış &amp; Pazarlama Müdürü"/>
    <x v="0"/>
    <d v="2019-10-31T00:00:00"/>
    <s v="-"/>
    <x v="2"/>
    <s v="-"/>
    <x v="1"/>
    <n v="53900"/>
    <n v="10800"/>
    <n v="0"/>
    <n v="30"/>
    <s v="-"/>
    <n v="0"/>
    <n v="3"/>
    <n v="0"/>
    <n v="0"/>
    <x v="3"/>
    <n v="23"/>
    <s v="Şirket Web Sitesi"/>
    <m/>
    <n v="6"/>
    <s v="30-39"/>
    <s v="5-10 YIL"/>
    <x v="11"/>
  </r>
  <r>
    <s v="PER0891"/>
    <s v="Gamze Yılmaz"/>
    <x v="0"/>
    <d v="2001-07-22T00:00:00"/>
    <n v="25"/>
    <s v="Evli"/>
    <n v="1"/>
    <s v="Önlisans"/>
    <x v="0"/>
    <s v="Operatör"/>
    <s v="Junior"/>
    <x v="0"/>
    <s v="Üretim &amp; Operasyon Müdürü"/>
    <x v="0"/>
    <d v="2022-07-05T00:00:00"/>
    <s v="-"/>
    <x v="2"/>
    <s v="-"/>
    <x v="1"/>
    <n v="28700"/>
    <n v="0"/>
    <n v="23"/>
    <n v="30"/>
    <s v="-"/>
    <n v="0"/>
    <n v="0"/>
    <n v="0"/>
    <n v="0"/>
    <x v="1"/>
    <n v="3"/>
    <s v="LinkedIn"/>
    <m/>
    <n v="3"/>
    <s v="20-29"/>
    <s v="3-5 YIL"/>
    <x v="7"/>
  </r>
  <r>
    <s v="PER0892"/>
    <s v="Burak Yıldız"/>
    <x v="1"/>
    <d v="1999-01-01T00:00:00"/>
    <n v="27"/>
    <s v="Evli"/>
    <n v="0"/>
    <s v="Lisans"/>
    <x v="1"/>
    <s v="Satış Temsilcisi"/>
    <s v="Junior"/>
    <x v="1"/>
    <s v="Satış &amp; Pazarlama Müdürü"/>
    <x v="0"/>
    <d v="2024-05-13T00:00:00"/>
    <s v="-"/>
    <x v="2"/>
    <s v="-"/>
    <x v="1"/>
    <n v="34200"/>
    <n v="9200"/>
    <n v="4"/>
    <n v="29"/>
    <s v="01-Istirahat"/>
    <n v="1"/>
    <n v="3"/>
    <n v="0"/>
    <n v="0"/>
    <x v="1"/>
    <n v="10"/>
    <s v="Referans"/>
    <m/>
    <n v="2"/>
    <s v="20-29"/>
    <s v="1-3 YIL"/>
    <x v="2"/>
  </r>
  <r>
    <s v="PER0893"/>
    <s v="Mustafa Aslan"/>
    <x v="1"/>
    <d v="2000-06-21T00:00:00"/>
    <n v="26"/>
    <s v="Bekar"/>
    <n v="0"/>
    <s v="Lisans"/>
    <x v="0"/>
    <s v="Operatör"/>
    <s v="Junior"/>
    <x v="0"/>
    <s v="Üretim &amp; Operasyon Müdürü"/>
    <x v="0"/>
    <d v="2024-04-21T00:00:00"/>
    <s v="-"/>
    <x v="2"/>
    <s v="-"/>
    <x v="1"/>
    <n v="26900"/>
    <n v="0"/>
    <n v="22"/>
    <n v="30"/>
    <s v="-"/>
    <n v="0"/>
    <n v="1"/>
    <n v="0"/>
    <n v="0"/>
    <x v="1"/>
    <n v="5"/>
    <s v="Referans"/>
    <m/>
    <n v="2"/>
    <s v="20-29"/>
    <s v="1-3 YIL"/>
    <x v="2"/>
  </r>
  <r>
    <s v="PER0894"/>
    <s v="Aslan Aydın"/>
    <x v="0"/>
    <d v="1997-07-15T00:00:00"/>
    <n v="29"/>
    <s v="Bekar"/>
    <n v="0"/>
    <s v="Lisans"/>
    <x v="0"/>
    <s v="Operatör"/>
    <s v="Junior"/>
    <x v="0"/>
    <s v="Üretim &amp; Operasyon Müdürü"/>
    <x v="0"/>
    <d v="2025-07-13T00:00:00"/>
    <d v="2026-02-16T00:00:00"/>
    <x v="1"/>
    <n v="4"/>
    <x v="0"/>
    <n v="27200"/>
    <n v="0"/>
    <n v="30"/>
    <n v="30"/>
    <s v="-"/>
    <n v="0"/>
    <n v="0"/>
    <n v="0"/>
    <n v="0"/>
    <x v="1"/>
    <n v="17"/>
    <s v="Kariyer.net"/>
    <m/>
    <n v="0"/>
    <s v="20-29"/>
    <s v="0-1 YIL"/>
    <x v="0"/>
  </r>
  <r>
    <s v="PER0895"/>
    <s v="Emre Öztürk"/>
    <x v="1"/>
    <d v="2003-05-21T00:00:00"/>
    <n v="23"/>
    <s v="Bekar"/>
    <n v="0"/>
    <s v="Lisans"/>
    <x v="0"/>
    <s v="Operatör"/>
    <s v="Junior"/>
    <x v="0"/>
    <s v="Üretim &amp; Operasyon Müdürü"/>
    <x v="1"/>
    <d v="2025-12-07T00:00:00"/>
    <s v="-"/>
    <x v="2"/>
    <s v="-"/>
    <x v="1"/>
    <n v="26500"/>
    <n v="0"/>
    <n v="11"/>
    <n v="30"/>
    <s v="-"/>
    <n v="0"/>
    <n v="0"/>
    <n v="0"/>
    <n v="0"/>
    <x v="1"/>
    <n v="13"/>
    <s v="Kariyer.net"/>
    <m/>
    <n v="0"/>
    <s v="20-29"/>
    <s v="0-1 YIL"/>
    <x v="0"/>
  </r>
  <r>
    <s v="PER0896"/>
    <s v="Ayşe Öztürk"/>
    <x v="0"/>
    <d v="1985-03-04T00:00:00"/>
    <n v="41"/>
    <s v="Bekar"/>
    <n v="0"/>
    <s v="Lisans"/>
    <x v="0"/>
    <s v="Takım Lideri"/>
    <s v="Senior"/>
    <x v="0"/>
    <s v="Üretim &amp; Operasyon Müdürü"/>
    <x v="3"/>
    <d v="2021-03-03T00:00:00"/>
    <s v="-"/>
    <x v="2"/>
    <s v="-"/>
    <x v="1"/>
    <n v="43300"/>
    <n v="0"/>
    <n v="19"/>
    <n v="28"/>
    <s v="01-Istirahat"/>
    <n v="2"/>
    <n v="9"/>
    <n v="0"/>
    <n v="0"/>
    <x v="3"/>
    <n v="29"/>
    <s v="LinkedIn"/>
    <m/>
    <n v="5"/>
    <s v="40-49"/>
    <s v="5-10 YIL"/>
    <x v="14"/>
  </r>
  <r>
    <s v="PER0897"/>
    <s v="Emre Kara"/>
    <x v="1"/>
    <d v="1984-03-04T00:00:00"/>
    <n v="42"/>
    <s v="Bekar"/>
    <n v="0"/>
    <s v="Lisans"/>
    <x v="2"/>
    <s v="Mali İşler Uzmanı"/>
    <s v="Senior"/>
    <x v="1"/>
    <s v="Finans &amp; Muhasebe Müdürü"/>
    <x v="0"/>
    <d v="2018-10-08T00:00:00"/>
    <s v="-"/>
    <x v="2"/>
    <s v="-"/>
    <x v="1"/>
    <n v="56900"/>
    <n v="5900"/>
    <n v="9"/>
    <n v="30"/>
    <s v="-"/>
    <n v="0"/>
    <n v="10"/>
    <n v="0"/>
    <n v="0"/>
    <x v="1"/>
    <n v="18"/>
    <s v="Kariyer.net"/>
    <m/>
    <n v="7"/>
    <s v="40-49"/>
    <s v="5-10 YIL"/>
    <x v="1"/>
  </r>
  <r>
    <s v="PER0898"/>
    <s v="Ali Kaya"/>
    <x v="1"/>
    <d v="1982-03-13T00:00:00"/>
    <n v="44"/>
    <s v="Bekar"/>
    <n v="0"/>
    <s v="Lisans"/>
    <x v="0"/>
    <s v="Takım Lideri"/>
    <s v="Senior"/>
    <x v="0"/>
    <s v="Üretim &amp; Operasyon Müdürü"/>
    <x v="1"/>
    <d v="2018-03-07T00:00:00"/>
    <s v="-"/>
    <x v="2"/>
    <s v="-"/>
    <x v="1"/>
    <n v="44800"/>
    <n v="0"/>
    <n v="30"/>
    <n v="30"/>
    <s v="-"/>
    <n v="0"/>
    <n v="6"/>
    <n v="0"/>
    <n v="0"/>
    <x v="4"/>
    <n v="5"/>
    <s v="LinkedIn"/>
    <m/>
    <n v="8"/>
    <s v="40-49"/>
    <s v="5-10 YIL"/>
    <x v="1"/>
  </r>
  <r>
    <s v="PER0899"/>
    <s v="Hüseyin Aydın"/>
    <x v="1"/>
    <d v="2001-07-27T00:00:00"/>
    <n v="25"/>
    <s v="Evli"/>
    <n v="0"/>
    <s v="Lisans"/>
    <x v="1"/>
    <s v="Satış Temsilcisi"/>
    <s v="Junior"/>
    <x v="1"/>
    <s v="Satış &amp; Pazarlama Müdürü"/>
    <x v="3"/>
    <d v="2023-01-23T00:00:00"/>
    <s v="-"/>
    <x v="2"/>
    <s v="-"/>
    <x v="1"/>
    <n v="33300"/>
    <n v="9000"/>
    <n v="0"/>
    <n v="30"/>
    <s v="-"/>
    <n v="0"/>
    <n v="6"/>
    <n v="0"/>
    <n v="0"/>
    <x v="1"/>
    <n v="10"/>
    <s v="LinkedIn"/>
    <m/>
    <n v="3"/>
    <s v="20-29"/>
    <s v="3-5 YIL"/>
    <x v="9"/>
  </r>
  <r>
    <s v="PER0900"/>
    <s v="Ali Arslan"/>
    <x v="1"/>
    <d v="1999-05-07T00:00:00"/>
    <n v="27"/>
    <s v="Evli"/>
    <n v="1"/>
    <s v="Yüksek Lisans"/>
    <x v="0"/>
    <s v="Operatör"/>
    <s v="Junior"/>
    <x v="0"/>
    <s v="Üretim &amp; Operasyon Müdürü"/>
    <x v="1"/>
    <d v="2024-06-06T00:00:00"/>
    <s v="-"/>
    <x v="2"/>
    <s v="-"/>
    <x v="1"/>
    <n v="28700"/>
    <n v="0"/>
    <n v="28"/>
    <n v="30"/>
    <s v="-"/>
    <n v="0"/>
    <n v="12"/>
    <n v="0"/>
    <n v="0"/>
    <x v="3"/>
    <n v="36"/>
    <s v="Referans"/>
    <m/>
    <n v="2"/>
    <s v="20-29"/>
    <s v="1-3 YIL"/>
    <x v="2"/>
  </r>
  <r>
    <s v="PER0901"/>
    <s v="Mehmet Kaya"/>
    <x v="1"/>
    <d v="1998-09-02T00:00:00"/>
    <n v="28"/>
    <s v="Bekar"/>
    <n v="0"/>
    <s v="Lisans"/>
    <x v="0"/>
    <s v="Operatör"/>
    <s v="Junior"/>
    <x v="0"/>
    <s v="Üretim &amp; Operasyon Müdürü"/>
    <x v="3"/>
    <d v="2025-06-12T00:00:00"/>
    <s v="-"/>
    <x v="2"/>
    <s v="-"/>
    <x v="1"/>
    <n v="27500"/>
    <n v="0"/>
    <n v="37"/>
    <n v="30"/>
    <s v="-"/>
    <n v="0"/>
    <n v="0"/>
    <n v="0"/>
    <n v="0"/>
    <x v="1"/>
    <n v="7"/>
    <s v="Kariyer.net"/>
    <m/>
    <n v="1"/>
    <s v="20-29"/>
    <s v="1-3 YIL"/>
    <x v="0"/>
  </r>
  <r>
    <s v="PER0902"/>
    <s v="Hilal Yılmaz"/>
    <x v="0"/>
    <d v="1984-09-22T00:00:00"/>
    <n v="42"/>
    <s v="Bekar"/>
    <n v="0"/>
    <s v="Lisans"/>
    <x v="4"/>
    <s v="İK Uzmanı"/>
    <s v="Senior"/>
    <x v="1"/>
    <s v="İnsan Kaynakları Müdürü"/>
    <x v="0"/>
    <d v="2020-11-21T00:00:00"/>
    <s v="-"/>
    <x v="2"/>
    <s v="-"/>
    <x v="1"/>
    <n v="51900"/>
    <n v="0"/>
    <n v="0"/>
    <n v="27"/>
    <s v="01-Istirahat"/>
    <n v="3"/>
    <n v="5"/>
    <n v="0"/>
    <n v="0"/>
    <x v="1"/>
    <n v="18"/>
    <s v="Referans"/>
    <m/>
    <n v="5"/>
    <s v="40-49"/>
    <s v="5-10 YIL"/>
    <x v="5"/>
  </r>
  <r>
    <s v="PER0903"/>
    <s v="Hasan Şahin"/>
    <x v="1"/>
    <d v="1979-07-21T00:00:00"/>
    <n v="47"/>
    <s v="Bekar"/>
    <n v="0"/>
    <s v="Yüksek Lisans"/>
    <x v="4"/>
    <s v="İK Uzmanı"/>
    <s v="Senior"/>
    <x v="1"/>
    <s v="İnsan Kaynakları Müdürü"/>
    <x v="0"/>
    <d v="2021-07-23T00:00:00"/>
    <s v="-"/>
    <x v="2"/>
    <s v="-"/>
    <x v="1"/>
    <n v="57100"/>
    <n v="0"/>
    <n v="7"/>
    <n v="24"/>
    <s v="01-Istirahat"/>
    <n v="3"/>
    <n v="3"/>
    <n v="3"/>
    <n v="0"/>
    <x v="1"/>
    <n v="18"/>
    <s v="Kariyer.net"/>
    <m/>
    <n v="4"/>
    <s v="40-49"/>
    <s v="3-5 YIL"/>
    <x v="14"/>
  </r>
  <r>
    <s v="PER0904"/>
    <s v="Aslan Aydın"/>
    <x v="0"/>
    <d v="2002-10-15T00:00:00"/>
    <n v="24"/>
    <s v="Evli"/>
    <n v="0"/>
    <s v="Lisans"/>
    <x v="0"/>
    <s v="Operatör"/>
    <s v="Junior"/>
    <x v="0"/>
    <s v="Üretim &amp; Operasyon Müdürü"/>
    <x v="0"/>
    <d v="2025-05-02T00:00:00"/>
    <s v="-"/>
    <x v="2"/>
    <s v="-"/>
    <x v="1"/>
    <n v="27800"/>
    <n v="0"/>
    <n v="20"/>
    <n v="30"/>
    <s v="-"/>
    <n v="0"/>
    <n v="4"/>
    <n v="0"/>
    <n v="0"/>
    <x v="1"/>
    <n v="6"/>
    <s v="LinkedIn"/>
    <m/>
    <n v="1"/>
    <s v="20-29"/>
    <s v="1-3 YIL"/>
    <x v="0"/>
  </r>
  <r>
    <s v="PER0905"/>
    <s v="İrem Yıldız"/>
    <x v="0"/>
    <d v="1984-04-19T00:00:00"/>
    <n v="42"/>
    <s v="Evli"/>
    <n v="0"/>
    <s v="Önlisans"/>
    <x v="3"/>
    <s v="BT Müdürü"/>
    <s v="Manager"/>
    <x v="1"/>
    <s v="Genel Müdür"/>
    <x v="0"/>
    <d v="2021-01-10T00:00:00"/>
    <s v="-"/>
    <x v="2"/>
    <s v="-"/>
    <x v="1"/>
    <n v="125000"/>
    <n v="0"/>
    <n v="9"/>
    <n v="30"/>
    <s v="-"/>
    <n v="0"/>
    <n v="12"/>
    <n v="0"/>
    <n v="0"/>
    <x v="1"/>
    <n v="13"/>
    <s v="Kariyer.net"/>
    <m/>
    <n v="5"/>
    <s v="40-49"/>
    <s v="5-10 YIL"/>
    <x v="14"/>
  </r>
  <r>
    <s v="PER0906"/>
    <s v="Selin Çetin"/>
    <x v="0"/>
    <d v="2002-01-18T00:00:00"/>
    <n v="24"/>
    <s v="Evli"/>
    <n v="0"/>
    <s v="Lisans"/>
    <x v="3"/>
    <s v="Yazılım Uzman Yardımcısı"/>
    <s v="Junior"/>
    <x v="1"/>
    <s v="Bilgi Teknolojileri Müdürü"/>
    <x v="4"/>
    <d v="2026-04-01T00:00:00"/>
    <s v="-"/>
    <x v="2"/>
    <s v="-"/>
    <x v="1"/>
    <n v="51600"/>
    <n v="6100"/>
    <n v="6"/>
    <n v="30"/>
    <s v="-"/>
    <n v="0"/>
    <n v="0"/>
    <n v="0"/>
    <n v="0"/>
    <x v="1"/>
    <n v="12"/>
    <s v="LinkedIn"/>
    <m/>
    <n v="0"/>
    <s v="20-29"/>
    <s v="0-1 YIL"/>
    <x v="3"/>
  </r>
  <r>
    <s v="PER0907"/>
    <s v="Mustafa Kaya"/>
    <x v="1"/>
    <d v="1983-08-18T00:00:00"/>
    <n v="43"/>
    <s v="Bekar"/>
    <n v="0"/>
    <s v="Lisans"/>
    <x v="0"/>
    <s v="Üretim Müdürü"/>
    <s v="Manager"/>
    <x v="1"/>
    <s v="Genel Müdür"/>
    <x v="0"/>
    <d v="2013-10-21T00:00:00"/>
    <s v="-"/>
    <x v="2"/>
    <s v="-"/>
    <x v="1"/>
    <n v="90700"/>
    <n v="0"/>
    <n v="7"/>
    <n v="30"/>
    <s v="-"/>
    <n v="0"/>
    <n v="1"/>
    <n v="0"/>
    <n v="0"/>
    <x v="4"/>
    <n v="7"/>
    <s v="LinkedIn"/>
    <m/>
    <n v="12"/>
    <s v="40-49"/>
    <s v="10+"/>
    <x v="10"/>
  </r>
  <r>
    <s v="PER0908"/>
    <s v="Hüseyin Özdemir"/>
    <x v="1"/>
    <d v="1985-07-10T00:00:00"/>
    <n v="41"/>
    <s v="Evli"/>
    <n v="3"/>
    <s v="Lisans"/>
    <x v="3"/>
    <s v="Kıdemli Yazılım Uzmanı"/>
    <s v="Senior"/>
    <x v="1"/>
    <s v="Bilgi Teknolojileri Müdürü"/>
    <x v="0"/>
    <d v="2021-08-09T00:00:00"/>
    <s v="-"/>
    <x v="2"/>
    <s v="-"/>
    <x v="1"/>
    <n v="76500"/>
    <n v="9400"/>
    <n v="9"/>
    <n v="30"/>
    <s v="-"/>
    <n v="0"/>
    <n v="5"/>
    <n v="0"/>
    <n v="0"/>
    <x v="1"/>
    <n v="18"/>
    <s v="LinkedIn"/>
    <m/>
    <n v="4"/>
    <s v="40-49"/>
    <s v="3-5 YIL"/>
    <x v="14"/>
  </r>
  <r>
    <s v="PER0909"/>
    <s v="Gökhan Kaya"/>
    <x v="1"/>
    <d v="1998-10-03T00:00:00"/>
    <n v="28"/>
    <s v="Evli"/>
    <n v="0"/>
    <s v="Lisans"/>
    <x v="0"/>
    <s v="Takım Lideri"/>
    <s v="Senior"/>
    <x v="0"/>
    <s v="Üretim &amp; Operasyon Müdürü"/>
    <x v="0"/>
    <d v="2015-04-06T00:00:00"/>
    <s v="-"/>
    <x v="2"/>
    <s v="-"/>
    <x v="1"/>
    <n v="44200"/>
    <n v="0"/>
    <n v="10"/>
    <n v="20"/>
    <s v="01-Istirahat"/>
    <n v="10"/>
    <n v="4"/>
    <n v="0"/>
    <n v="0"/>
    <x v="1"/>
    <n v="14"/>
    <s v="Kariyer.net"/>
    <m/>
    <n v="11"/>
    <s v="20-29"/>
    <s v="10+"/>
    <x v="8"/>
  </r>
  <r>
    <s v="PER0910"/>
    <s v="Defne Öztürk"/>
    <x v="0"/>
    <d v="2002-01-07T00:00:00"/>
    <n v="24"/>
    <s v="Bekar"/>
    <n v="0"/>
    <s v="Lisans"/>
    <x v="0"/>
    <s v="Operatör"/>
    <s v="Junior"/>
    <x v="0"/>
    <s v="Üretim &amp; Operasyon Müdürü"/>
    <x v="4"/>
    <d v="2024-12-05T00:00:00"/>
    <s v="-"/>
    <x v="2"/>
    <s v="-"/>
    <x v="1"/>
    <n v="26800"/>
    <n v="0"/>
    <n v="25"/>
    <n v="30"/>
    <s v="-"/>
    <n v="0"/>
    <n v="0"/>
    <n v="0"/>
    <n v="0"/>
    <x v="1"/>
    <n v="19"/>
    <s v="Referans"/>
    <m/>
    <n v="1"/>
    <s v="20-29"/>
    <s v="1-3 YIL"/>
    <x v="2"/>
  </r>
  <r>
    <s v="PER0911"/>
    <s v="Ali Çetin"/>
    <x v="1"/>
    <d v="1998-11-22T00:00:00"/>
    <n v="28"/>
    <s v="Evli"/>
    <n v="1"/>
    <s v="Önlisans"/>
    <x v="2"/>
    <s v="Muhasebe Elemanı"/>
    <s v="Junior"/>
    <x v="1"/>
    <s v="Finans &amp; Muhasebe Müdürü"/>
    <x v="0"/>
    <d v="2023-03-07T00:00:00"/>
    <s v="-"/>
    <x v="2"/>
    <s v="-"/>
    <x v="1"/>
    <n v="36500"/>
    <n v="0"/>
    <n v="5"/>
    <n v="30"/>
    <s v="-"/>
    <n v="0"/>
    <n v="6"/>
    <n v="0"/>
    <n v="0"/>
    <x v="3"/>
    <n v="29"/>
    <s v="Şirket Web Sitesi"/>
    <m/>
    <n v="3"/>
    <s v="20-29"/>
    <s v="3-5 YIL"/>
    <x v="9"/>
  </r>
  <r>
    <s v="PER0912"/>
    <s v="Ayşe Doğan"/>
    <x v="0"/>
    <d v="1999-04-21T00:00:00"/>
    <n v="27"/>
    <s v="Bekar"/>
    <n v="0"/>
    <s v="Lisans"/>
    <x v="0"/>
    <s v="Operatör"/>
    <s v="Junior"/>
    <x v="0"/>
    <s v="Üretim &amp; Operasyon Müdürü"/>
    <x v="0"/>
    <d v="2024-03-09T00:00:00"/>
    <d v="2025-04-02T00:00:00"/>
    <x v="1"/>
    <n v="4"/>
    <x v="0"/>
    <n v="27200"/>
    <n v="0"/>
    <n v="36"/>
    <n v="30"/>
    <s v="-"/>
    <n v="0"/>
    <n v="5"/>
    <n v="0"/>
    <n v="0"/>
    <x v="1"/>
    <n v="7"/>
    <s v="LinkedIn"/>
    <m/>
    <n v="2"/>
    <s v="20-29"/>
    <s v="1-3 YIL"/>
    <x v="2"/>
  </r>
  <r>
    <s v="PER0913"/>
    <s v="Gökhan Öztürk"/>
    <x v="1"/>
    <d v="1985-01-08T00:00:00"/>
    <n v="41"/>
    <s v="Evli"/>
    <n v="0"/>
    <s v="Lisans"/>
    <x v="0"/>
    <s v="Üretim Müdürü"/>
    <s v="Manager"/>
    <x v="1"/>
    <s v="Genel Müdür"/>
    <x v="2"/>
    <d v="2014-10-03T00:00:00"/>
    <s v="-"/>
    <x v="2"/>
    <s v="-"/>
    <x v="1"/>
    <n v="107800"/>
    <n v="0"/>
    <n v="4"/>
    <n v="30"/>
    <s v="-"/>
    <n v="0"/>
    <n v="11"/>
    <n v="0"/>
    <n v="0"/>
    <x v="1"/>
    <n v="9"/>
    <s v="Referans"/>
    <m/>
    <n v="11"/>
    <s v="40-49"/>
    <s v="10+"/>
    <x v="6"/>
  </r>
  <r>
    <s v="PER0914"/>
    <s v="Gamze Kaya"/>
    <x v="0"/>
    <d v="1992-11-05T00:00:00"/>
    <n v="34"/>
    <s v="Evli"/>
    <n v="0"/>
    <s v="Lisans"/>
    <x v="1"/>
    <s v="Kıdemli Satış Uzmanı"/>
    <s v="Senior"/>
    <x v="1"/>
    <s v="Satış &amp; Pazarlama Müdürü"/>
    <x v="0"/>
    <d v="2016-11-25T00:00:00"/>
    <s v="-"/>
    <x v="2"/>
    <s v="-"/>
    <x v="1"/>
    <n v="56400"/>
    <n v="0"/>
    <n v="5"/>
    <n v="30"/>
    <s v="-"/>
    <n v="0"/>
    <n v="12"/>
    <n v="0"/>
    <n v="0"/>
    <x v="1"/>
    <n v="19"/>
    <s v="LinkedIn"/>
    <m/>
    <n v="9"/>
    <s v="30-39"/>
    <s v="5-10 YIL"/>
    <x v="13"/>
  </r>
  <r>
    <s v="PER0915"/>
    <s v="Mustafa Yılmaz"/>
    <x v="1"/>
    <d v="2004-10-15T00:00:00"/>
    <n v="22"/>
    <s v="Evli"/>
    <n v="0"/>
    <s v="Doktora"/>
    <x v="0"/>
    <s v="Operatör"/>
    <s v="Junior"/>
    <x v="0"/>
    <s v="Üretim &amp; Operasyon Müdürü"/>
    <x v="0"/>
    <d v="2022-11-11T00:00:00"/>
    <s v="-"/>
    <x v="2"/>
    <s v="-"/>
    <x v="1"/>
    <n v="27500"/>
    <n v="0"/>
    <n v="40"/>
    <n v="30"/>
    <s v="-"/>
    <n v="0"/>
    <n v="3"/>
    <n v="0"/>
    <n v="0"/>
    <x v="1"/>
    <n v="2"/>
    <s v="LinkedIn"/>
    <m/>
    <n v="3"/>
    <s v="20-29"/>
    <s v="3-5 YIL"/>
    <x v="7"/>
  </r>
  <r>
    <s v="PER0916"/>
    <s v="Can Demir"/>
    <x v="1"/>
    <d v="1999-06-23T00:00:00"/>
    <n v="27"/>
    <s v="Evli"/>
    <n v="1"/>
    <s v="Lisans"/>
    <x v="0"/>
    <s v="Operatör"/>
    <s v="Junior"/>
    <x v="0"/>
    <s v="Üretim &amp; Operasyon Müdürü"/>
    <x v="0"/>
    <d v="2026-05-27T00:00:00"/>
    <s v="-"/>
    <x v="2"/>
    <s v="-"/>
    <x v="1"/>
    <n v="28500"/>
    <n v="0"/>
    <n v="10"/>
    <n v="29"/>
    <s v="01-Istirahat"/>
    <n v="1"/>
    <n v="0"/>
    <n v="0"/>
    <n v="0"/>
    <x v="3"/>
    <n v="23"/>
    <s v="LinkedIn"/>
    <m/>
    <n v="0"/>
    <s v="20-29"/>
    <s v="0-1 YIL"/>
    <x v="3"/>
  </r>
  <r>
    <s v="PER0917"/>
    <s v="Can Aydın"/>
    <x v="1"/>
    <d v="1998-02-08T00:00:00"/>
    <n v="28"/>
    <s v="Evli"/>
    <n v="0"/>
    <s v="Önlisans"/>
    <x v="0"/>
    <s v="Operatör"/>
    <s v="Junior"/>
    <x v="0"/>
    <s v="Üretim &amp; Operasyon Müdürü"/>
    <x v="0"/>
    <d v="2022-11-23T00:00:00"/>
    <s v="-"/>
    <x v="2"/>
    <s v="-"/>
    <x v="1"/>
    <n v="25900"/>
    <n v="0"/>
    <n v="19"/>
    <n v="29"/>
    <s v="02-Ucretsiz Izin"/>
    <n v="0"/>
    <n v="0"/>
    <n v="1"/>
    <n v="0"/>
    <x v="3"/>
    <n v="30"/>
    <s v="LinkedIn"/>
    <m/>
    <n v="3"/>
    <s v="20-29"/>
    <s v="3-5 YIL"/>
    <x v="7"/>
  </r>
  <r>
    <s v="PER0918"/>
    <s v="Hasan Kaya"/>
    <x v="1"/>
    <d v="2004-11-03T00:00:00"/>
    <n v="22"/>
    <s v="Evli"/>
    <n v="3"/>
    <s v="Lisans"/>
    <x v="4"/>
    <s v="İK Uzman Yardımcısı"/>
    <s v="Junior"/>
    <x v="1"/>
    <s v="İnsan Kaynakları Müdürü"/>
    <x v="4"/>
    <d v="2025-07-31T00:00:00"/>
    <s v="-"/>
    <x v="2"/>
    <s v="-"/>
    <x v="1"/>
    <n v="35200"/>
    <n v="0"/>
    <n v="2"/>
    <n v="30"/>
    <s v="-"/>
    <n v="0"/>
    <n v="0"/>
    <n v="0"/>
    <n v="0"/>
    <x v="3"/>
    <n v="33"/>
    <s v="Kariyer.net"/>
    <m/>
    <n v="0"/>
    <s v="20-29"/>
    <s v="0-1 YIL"/>
    <x v="0"/>
  </r>
  <r>
    <s v="PER0919"/>
    <s v="Mustafa Doğan"/>
    <x v="1"/>
    <d v="1985-11-08T00:00:00"/>
    <n v="41"/>
    <s v="Evli"/>
    <n v="3"/>
    <s v="Lisans"/>
    <x v="0"/>
    <s v="Üretim Müdürü"/>
    <s v="Manager"/>
    <x v="1"/>
    <s v="Genel Müdür"/>
    <x v="0"/>
    <d v="2009-03-02T00:00:00"/>
    <s v="-"/>
    <x v="2"/>
    <s v="-"/>
    <x v="1"/>
    <n v="97100"/>
    <n v="0"/>
    <n v="1"/>
    <n v="29"/>
    <s v="01-Istirahat"/>
    <n v="1"/>
    <n v="12"/>
    <n v="0"/>
    <n v="0"/>
    <x v="1"/>
    <n v="5"/>
    <s v="LinkedIn"/>
    <m/>
    <n v="17"/>
    <s v="40-49"/>
    <s v="10+"/>
    <x v="17"/>
  </r>
  <r>
    <s v="PER0920"/>
    <s v="Elif Aslan"/>
    <x v="0"/>
    <d v="1988-08-03T00:00:00"/>
    <n v="38"/>
    <s v="Bekar"/>
    <n v="0"/>
    <s v="Yüksek Lisans"/>
    <x v="2"/>
    <s v="Mali İşler Uzmanı"/>
    <s v="Senior"/>
    <x v="1"/>
    <s v="Finans &amp; Muhasebe Müdürü"/>
    <x v="2"/>
    <d v="2021-01-24T00:00:00"/>
    <d v="2026-01-05T00:00:00"/>
    <x v="4"/>
    <n v="3"/>
    <x v="0"/>
    <n v="58600"/>
    <n v="0"/>
    <n v="9"/>
    <n v="27"/>
    <s v="01-Istirahat"/>
    <n v="3"/>
    <n v="1"/>
    <n v="0"/>
    <n v="0"/>
    <x v="3"/>
    <n v="38"/>
    <s v="Kariyer.net"/>
    <m/>
    <n v="5"/>
    <s v="30-39"/>
    <s v="5-10 YIL"/>
    <x v="14"/>
  </r>
  <r>
    <s v="PER0921"/>
    <s v="Mehmet Öztürk"/>
    <x v="1"/>
    <d v="1984-07-11T00:00:00"/>
    <n v="42"/>
    <s v="Evli"/>
    <n v="0"/>
    <s v="Yüksek Lisans"/>
    <x v="2"/>
    <s v="Mali İşler Uzmanı"/>
    <s v="Senior"/>
    <x v="1"/>
    <s v="Finans &amp; Muhasebe Müdürü"/>
    <x v="0"/>
    <d v="2022-07-31T00:00:00"/>
    <s v="-"/>
    <x v="2"/>
    <s v="-"/>
    <x v="1"/>
    <n v="58500"/>
    <n v="0"/>
    <n v="1"/>
    <n v="29"/>
    <s v="01-Istirahat"/>
    <n v="1"/>
    <n v="10"/>
    <n v="0"/>
    <n v="0"/>
    <x v="1"/>
    <n v="12"/>
    <s v="Referans"/>
    <m/>
    <n v="3"/>
    <s v="40-49"/>
    <s v="3-5 YIL"/>
    <x v="7"/>
  </r>
  <r>
    <s v="PER0922"/>
    <s v="Mustafa Çelik"/>
    <x v="1"/>
    <d v="2001-11-16T00:00:00"/>
    <n v="25"/>
    <s v="Evli"/>
    <n v="0"/>
    <s v="Lisans"/>
    <x v="2"/>
    <s v="Muhasebe Elemanı"/>
    <s v="Junior"/>
    <x v="1"/>
    <s v="Finans &amp; Muhasebe Müdürü"/>
    <x v="4"/>
    <d v="2025-04-02T00:00:00"/>
    <s v="-"/>
    <x v="2"/>
    <s v="-"/>
    <x v="1"/>
    <n v="35600"/>
    <n v="3400"/>
    <n v="0"/>
    <n v="24"/>
    <s v="01-Istirahat"/>
    <n v="3"/>
    <n v="4"/>
    <n v="3"/>
    <n v="0"/>
    <x v="3"/>
    <n v="38"/>
    <s v="Referans"/>
    <m/>
    <n v="1"/>
    <s v="20-29"/>
    <s v="1-3 YIL"/>
    <x v="0"/>
  </r>
  <r>
    <s v="PER0923"/>
    <s v="Burak Yılmaz"/>
    <x v="1"/>
    <d v="1999-07-10T00:00:00"/>
    <n v="27"/>
    <s v="Bekar"/>
    <n v="0"/>
    <s v="Lisans"/>
    <x v="0"/>
    <s v="Operatör"/>
    <s v="Junior"/>
    <x v="0"/>
    <s v="Üretim &amp; Operasyon Müdürü"/>
    <x v="1"/>
    <d v="2026-05-01T00:00:00"/>
    <s v="-"/>
    <x v="2"/>
    <s v="-"/>
    <x v="1"/>
    <n v="26100"/>
    <n v="0"/>
    <n v="44"/>
    <n v="30"/>
    <s v="-"/>
    <n v="0"/>
    <n v="0"/>
    <n v="0"/>
    <n v="0"/>
    <x v="0"/>
    <n v="6"/>
    <s v="Kariyer.net"/>
    <m/>
    <n v="0"/>
    <s v="20-29"/>
    <s v="0-1 YIL"/>
    <x v="3"/>
  </r>
  <r>
    <s v="PER0924"/>
    <s v="Hilal Kara"/>
    <x v="0"/>
    <d v="1996-09-24T00:00:00"/>
    <n v="30"/>
    <s v="Bekar"/>
    <n v="0"/>
    <s v="Önlisans"/>
    <x v="0"/>
    <s v="Takım Lideri"/>
    <s v="Senior"/>
    <x v="0"/>
    <s v="Üretim &amp; Operasyon Müdürü"/>
    <x v="2"/>
    <d v="2018-07-27T00:00:00"/>
    <s v="-"/>
    <x v="2"/>
    <s v="-"/>
    <x v="1"/>
    <n v="39300"/>
    <n v="0"/>
    <n v="34"/>
    <n v="20"/>
    <s v="01-Istirahat"/>
    <n v="10"/>
    <n v="8"/>
    <n v="0"/>
    <n v="0"/>
    <x v="4"/>
    <n v="2"/>
    <s v="Kariyer.net"/>
    <m/>
    <n v="7"/>
    <s v="30-39"/>
    <s v="5-10 YIL"/>
    <x v="1"/>
  </r>
  <r>
    <s v="PER0925"/>
    <s v="Kübra Kaya"/>
    <x v="0"/>
    <d v="1969-12-05T00:00:00"/>
    <n v="57"/>
    <s v="Bekar"/>
    <n v="0"/>
    <s v="Yüksek Lisans"/>
    <x v="3"/>
    <s v="BT Müdürü"/>
    <s v="Manager"/>
    <x v="1"/>
    <s v="Genel Müdür"/>
    <x v="1"/>
    <d v="2017-08-03T00:00:00"/>
    <s v="-"/>
    <x v="2"/>
    <s v="-"/>
    <x v="1"/>
    <n v="133000"/>
    <n v="0"/>
    <n v="6"/>
    <n v="27"/>
    <s v="01-Istirahat"/>
    <n v="2"/>
    <n v="3"/>
    <n v="1"/>
    <n v="0"/>
    <x v="3"/>
    <n v="23"/>
    <s v="Kariyer.net"/>
    <m/>
    <n v="8"/>
    <s v="50+"/>
    <s v="5-10 YIL"/>
    <x v="4"/>
  </r>
  <r>
    <s v="PER0926"/>
    <s v="Selin Özdemir"/>
    <x v="0"/>
    <d v="1984-07-01T00:00:00"/>
    <n v="42"/>
    <s v="Bekar"/>
    <n v="0"/>
    <s v="Önlisans"/>
    <x v="1"/>
    <s v="Kıdemli Satış Uzmanı"/>
    <s v="Senior"/>
    <x v="1"/>
    <s v="Satış &amp; Pazarlama Müdürü"/>
    <x v="0"/>
    <d v="2015-01-22T00:00:00"/>
    <s v="-"/>
    <x v="2"/>
    <s v="-"/>
    <x v="1"/>
    <n v="56700"/>
    <n v="0"/>
    <n v="3"/>
    <n v="30"/>
    <s v="-"/>
    <n v="0"/>
    <n v="3"/>
    <n v="0"/>
    <n v="0"/>
    <x v="3"/>
    <n v="39"/>
    <s v="LinkedIn"/>
    <m/>
    <n v="11"/>
    <s v="40-49"/>
    <s v="10+"/>
    <x v="8"/>
  </r>
  <r>
    <s v="PER0927"/>
    <s v="Ecem Kılıç"/>
    <x v="0"/>
    <d v="2004-02-11T00:00:00"/>
    <n v="22"/>
    <s v="Evli"/>
    <n v="0"/>
    <s v="Yüksek Lisans"/>
    <x v="0"/>
    <s v="Operatör"/>
    <s v="Junior"/>
    <x v="0"/>
    <s v="Üretim &amp; Operasyon Müdürü"/>
    <x v="0"/>
    <d v="2023-05-27T00:00:00"/>
    <s v="-"/>
    <x v="2"/>
    <s v="-"/>
    <x v="1"/>
    <n v="24700"/>
    <n v="0"/>
    <n v="17"/>
    <n v="29"/>
    <s v="01-Istirahat"/>
    <n v="1"/>
    <n v="3"/>
    <n v="0"/>
    <n v="0"/>
    <x v="3"/>
    <n v="33"/>
    <s v="LinkedIn"/>
    <m/>
    <n v="3"/>
    <s v="20-29"/>
    <s v="3-5 YIL"/>
    <x v="9"/>
  </r>
  <r>
    <s v="PER0928"/>
    <s v="Hasan Kaya"/>
    <x v="1"/>
    <d v="1991-08-01T00:00:00"/>
    <n v="35"/>
    <s v="Evli"/>
    <n v="1"/>
    <s v="Lisans"/>
    <x v="1"/>
    <s v="Satış Müdürü"/>
    <s v="Manager"/>
    <x v="1"/>
    <s v="Genel Müdür"/>
    <x v="0"/>
    <d v="2016-07-09T00:00:00"/>
    <s v="-"/>
    <x v="2"/>
    <s v="-"/>
    <x v="1"/>
    <n v="107300"/>
    <n v="33000"/>
    <n v="4"/>
    <n v="28"/>
    <s v="01-Istirahat"/>
    <n v="2"/>
    <n v="4"/>
    <n v="0"/>
    <n v="0"/>
    <x v="1"/>
    <n v="18"/>
    <s v="LinkedIn"/>
    <m/>
    <n v="9"/>
    <s v="30-39"/>
    <s v="5-10 YIL"/>
    <x v="13"/>
  </r>
  <r>
    <s v="PER0929"/>
    <s v="Gamze Doğan"/>
    <x v="0"/>
    <d v="1986-04-03T00:00:00"/>
    <n v="40"/>
    <s v="Bekar"/>
    <n v="0"/>
    <s v="Önlisans"/>
    <x v="2"/>
    <s v="Finans Müdürü"/>
    <s v="Manager"/>
    <x v="1"/>
    <s v="Genel Müdür"/>
    <x v="1"/>
    <d v="2011-08-21T00:00:00"/>
    <s v="-"/>
    <x v="2"/>
    <s v="-"/>
    <x v="1"/>
    <n v="125300"/>
    <n v="0"/>
    <n v="0"/>
    <n v="30"/>
    <s v="-"/>
    <n v="0"/>
    <n v="3"/>
    <n v="0"/>
    <n v="0"/>
    <x v="3"/>
    <n v="18"/>
    <s v="Kariyer.net"/>
    <m/>
    <n v="14"/>
    <s v="40-49"/>
    <s v="10+"/>
    <x v="18"/>
  </r>
  <r>
    <s v="PER0930"/>
    <s v="Ahmet Aydın"/>
    <x v="1"/>
    <d v="1998-05-15T00:00:00"/>
    <n v="28"/>
    <s v="Evli"/>
    <n v="1"/>
    <s v="Lisans"/>
    <x v="0"/>
    <s v="Operatör"/>
    <s v="Junior"/>
    <x v="0"/>
    <s v="Üretim &amp; Operasyon Müdürü"/>
    <x v="0"/>
    <d v="2023-09-27T00:00:00"/>
    <s v="-"/>
    <x v="2"/>
    <s v="-"/>
    <x v="1"/>
    <n v="26700"/>
    <n v="0"/>
    <n v="11"/>
    <n v="30"/>
    <s v="-"/>
    <n v="0"/>
    <n v="12"/>
    <n v="0"/>
    <n v="0"/>
    <x v="4"/>
    <n v="2"/>
    <s v="LinkedIn"/>
    <m/>
    <n v="2"/>
    <s v="20-29"/>
    <s v="1-3 YIL"/>
    <x v="9"/>
  </r>
  <r>
    <s v="PER0931"/>
    <s v="Ecem Kılıç"/>
    <x v="0"/>
    <d v="2004-04-02T00:00:00"/>
    <n v="22"/>
    <s v="Bekar"/>
    <n v="0"/>
    <s v="Lisans"/>
    <x v="0"/>
    <s v="Operatör"/>
    <s v="Junior"/>
    <x v="0"/>
    <s v="Üretim &amp; Operasyon Müdürü"/>
    <x v="0"/>
    <d v="2025-02-01T00:00:00"/>
    <s v="-"/>
    <x v="2"/>
    <s v="-"/>
    <x v="1"/>
    <n v="28500"/>
    <n v="0"/>
    <n v="36"/>
    <n v="30"/>
    <s v="-"/>
    <n v="0"/>
    <n v="3"/>
    <n v="0"/>
    <n v="0"/>
    <x v="1"/>
    <n v="9"/>
    <s v="Kariyer.net"/>
    <m/>
    <n v="1"/>
    <s v="20-29"/>
    <s v="1-3 YIL"/>
    <x v="0"/>
  </r>
  <r>
    <s v="PER0932"/>
    <s v="Can Şahin"/>
    <x v="1"/>
    <d v="1998-09-10T00:00:00"/>
    <n v="28"/>
    <s v="Evli"/>
    <n v="2"/>
    <s v="Lisans"/>
    <x v="2"/>
    <s v="Mali İşler Uzmanı"/>
    <s v="Senior"/>
    <x v="1"/>
    <s v="Finans &amp; Muhasebe Müdürü"/>
    <x v="0"/>
    <d v="2017-07-30T00:00:00"/>
    <s v="-"/>
    <x v="2"/>
    <s v="-"/>
    <x v="1"/>
    <n v="65100"/>
    <n v="9100"/>
    <n v="6"/>
    <n v="27"/>
    <s v="02-Ucretsiz Izin"/>
    <n v="0"/>
    <n v="11"/>
    <n v="3"/>
    <n v="0"/>
    <x v="0"/>
    <n v="13"/>
    <s v="Referans"/>
    <m/>
    <n v="8"/>
    <s v="20-29"/>
    <s v="5-10 YIL"/>
    <x v="4"/>
  </r>
  <r>
    <s v="PER0933"/>
    <s v="İrem Çetin"/>
    <x v="0"/>
    <d v="1982-03-27T00:00:00"/>
    <n v="44"/>
    <s v="Bekar"/>
    <n v="0"/>
    <s v="Lisans"/>
    <x v="1"/>
    <s v="Kıdemli Satış Uzmanı"/>
    <s v="Senior"/>
    <x v="1"/>
    <s v="Satış &amp; Pazarlama Müdürü"/>
    <x v="2"/>
    <d v="2016-05-22T00:00:00"/>
    <s v="-"/>
    <x v="2"/>
    <s v="-"/>
    <x v="1"/>
    <n v="55100"/>
    <n v="0"/>
    <n v="5"/>
    <n v="30"/>
    <s v="-"/>
    <n v="0"/>
    <n v="1"/>
    <n v="0"/>
    <n v="0"/>
    <x v="3"/>
    <n v="33"/>
    <s v="Şirket Web Sitesi"/>
    <m/>
    <n v="10"/>
    <s v="40-49"/>
    <s v="5-10 YIL"/>
    <x v="13"/>
  </r>
  <r>
    <s v="PER0934"/>
    <s v="Kübra Yılmaz"/>
    <x v="0"/>
    <d v="2003-09-17T00:00:00"/>
    <n v="23"/>
    <s v="Bekar"/>
    <n v="0"/>
    <s v="Lisans"/>
    <x v="0"/>
    <s v="Operatör"/>
    <s v="Junior"/>
    <x v="0"/>
    <s v="Üretim &amp; Operasyon Müdürü"/>
    <x v="3"/>
    <d v="2024-04-08T00:00:00"/>
    <s v="-"/>
    <x v="2"/>
    <s v="-"/>
    <x v="1"/>
    <n v="26100"/>
    <n v="0"/>
    <n v="44"/>
    <n v="27"/>
    <s v="01-Istirahat"/>
    <n v="3"/>
    <n v="14"/>
    <n v="0"/>
    <n v="0"/>
    <x v="4"/>
    <n v="11"/>
    <s v="Kariyer.net"/>
    <m/>
    <n v="2"/>
    <s v="20-29"/>
    <s v="1-3 YIL"/>
    <x v="2"/>
  </r>
  <r>
    <s v="PER0935"/>
    <s v="Can Arslan"/>
    <x v="1"/>
    <d v="2001-07-20T00:00:00"/>
    <n v="25"/>
    <s v="Evli"/>
    <n v="1"/>
    <s v="Yüksek Lisans"/>
    <x v="1"/>
    <s v="Satış Temsilcisi"/>
    <s v="Junior"/>
    <x v="1"/>
    <s v="Satış &amp; Pazarlama Müdürü"/>
    <x v="0"/>
    <d v="2022-07-22T00:00:00"/>
    <s v="-"/>
    <x v="2"/>
    <s v="-"/>
    <x v="1"/>
    <n v="32100"/>
    <n v="6300"/>
    <n v="0"/>
    <n v="30"/>
    <s v="-"/>
    <n v="0"/>
    <n v="14"/>
    <n v="0"/>
    <n v="0"/>
    <x v="1"/>
    <n v="2"/>
    <s v="Danışmanlık Firması"/>
    <m/>
    <n v="3"/>
    <s v="20-29"/>
    <s v="3-5 YIL"/>
    <x v="7"/>
  </r>
  <r>
    <s v="PER0936"/>
    <s v="Ali Öztürk"/>
    <x v="1"/>
    <d v="2003-01-17T00:00:00"/>
    <n v="23"/>
    <s v="Bekar"/>
    <n v="0"/>
    <s v="Lisans"/>
    <x v="0"/>
    <s v="Operatör"/>
    <s v="Junior"/>
    <x v="0"/>
    <s v="Üretim &amp; Operasyon Müdürü"/>
    <x v="2"/>
    <d v="2026-03-08T00:00:00"/>
    <s v="-"/>
    <x v="2"/>
    <s v="-"/>
    <x v="1"/>
    <n v="25800"/>
    <n v="0"/>
    <n v="32"/>
    <n v="25"/>
    <s v="01-Istirahat"/>
    <n v="5"/>
    <n v="0"/>
    <n v="0"/>
    <n v="0"/>
    <x v="1"/>
    <n v="6"/>
    <s v="LinkedIn"/>
    <m/>
    <n v="0"/>
    <s v="20-29"/>
    <s v="0-1 YIL"/>
    <x v="3"/>
  </r>
  <r>
    <s v="PER0937"/>
    <s v="Fatma Yılmaz"/>
    <x v="0"/>
    <d v="1989-05-20T00:00:00"/>
    <n v="37"/>
    <s v="Evli"/>
    <n v="2"/>
    <s v="Lisans"/>
    <x v="1"/>
    <s v="Satış Müdürü"/>
    <s v="Manager"/>
    <x v="1"/>
    <s v="Genel Müdür"/>
    <x v="0"/>
    <d v="2019-11-17T00:00:00"/>
    <s v="-"/>
    <x v="2"/>
    <s v="-"/>
    <x v="1"/>
    <n v="110500"/>
    <n v="17700"/>
    <n v="0"/>
    <n v="30"/>
    <s v="-"/>
    <n v="0"/>
    <n v="11"/>
    <n v="0"/>
    <n v="0"/>
    <x v="1"/>
    <n v="6"/>
    <s v="Şirket Web Sitesi"/>
    <m/>
    <n v="6"/>
    <s v="30-39"/>
    <s v="5-10 YIL"/>
    <x v="11"/>
  </r>
  <r>
    <s v="PER0938"/>
    <s v="Volkan Çetin"/>
    <x v="1"/>
    <d v="2003-01-18T00:00:00"/>
    <n v="23"/>
    <s v="Bekar"/>
    <n v="0"/>
    <s v="Lisans"/>
    <x v="1"/>
    <s v="Satış Temsilcisi"/>
    <s v="Junior"/>
    <x v="1"/>
    <s v="Satış &amp; Pazarlama Müdürü"/>
    <x v="0"/>
    <d v="2022-08-04T00:00:00"/>
    <s v="-"/>
    <x v="2"/>
    <s v="-"/>
    <x v="1"/>
    <n v="34900"/>
    <n v="0"/>
    <n v="5"/>
    <n v="27"/>
    <s v="02-Ucretsiz Izin"/>
    <n v="0"/>
    <n v="14"/>
    <n v="3"/>
    <n v="0"/>
    <x v="1"/>
    <n v="17"/>
    <s v="Kariyer.net"/>
    <m/>
    <n v="3"/>
    <s v="20-29"/>
    <s v="3-5 YIL"/>
    <x v="7"/>
  </r>
  <r>
    <s v="PER0939"/>
    <s v="Ahmet Aslan"/>
    <x v="1"/>
    <d v="1998-04-08T00:00:00"/>
    <n v="28"/>
    <s v="Bekar"/>
    <n v="0"/>
    <s v="Lisans"/>
    <x v="0"/>
    <s v="Operatör"/>
    <s v="Junior"/>
    <x v="0"/>
    <s v="Üretim &amp; Operasyon Müdürü"/>
    <x v="0"/>
    <d v="2025-12-11T00:00:00"/>
    <s v="-"/>
    <x v="2"/>
    <s v="-"/>
    <x v="1"/>
    <n v="28400"/>
    <n v="0"/>
    <n v="36"/>
    <n v="29"/>
    <s v="01-Istirahat"/>
    <n v="1"/>
    <n v="0"/>
    <n v="0"/>
    <n v="0"/>
    <x v="3"/>
    <n v="27"/>
    <s v="Kariyer.net"/>
    <m/>
    <n v="0"/>
    <s v="20-29"/>
    <s v="0-1 YIL"/>
    <x v="0"/>
  </r>
  <r>
    <s v="PER0940"/>
    <s v="Hasan Öztürk"/>
    <x v="1"/>
    <d v="1997-10-23T00:00:00"/>
    <n v="29"/>
    <s v="Evli"/>
    <n v="0"/>
    <s v="Yüksek Lisans"/>
    <x v="3"/>
    <s v="Yazılım Uzman Yardımcısı"/>
    <s v="Junior"/>
    <x v="1"/>
    <s v="Bilgi Teknolojileri Müdürü"/>
    <x v="2"/>
    <d v="2025-02-02T00:00:00"/>
    <s v="-"/>
    <x v="2"/>
    <s v="-"/>
    <x v="1"/>
    <n v="50700"/>
    <n v="0"/>
    <n v="6"/>
    <n v="28"/>
    <s v="01-Istirahat"/>
    <n v="2"/>
    <n v="7"/>
    <n v="0"/>
    <n v="0"/>
    <x v="0"/>
    <n v="13"/>
    <s v="Kariyer.net"/>
    <m/>
    <n v="1"/>
    <s v="20-29"/>
    <s v="1-3 YIL"/>
    <x v="0"/>
  </r>
  <r>
    <s v="PER0941"/>
    <s v="İrem Çelik"/>
    <x v="0"/>
    <d v="2003-04-02T00:00:00"/>
    <n v="23"/>
    <s v="Evli"/>
    <n v="1"/>
    <s v="Önlisans"/>
    <x v="0"/>
    <s v="Operatör"/>
    <s v="Junior"/>
    <x v="0"/>
    <s v="Üretim &amp; Operasyon Müdürü"/>
    <x v="0"/>
    <d v="2023-12-14T00:00:00"/>
    <d v="2026-01-14T00:00:00"/>
    <x v="1"/>
    <n v="4"/>
    <x v="0"/>
    <n v="28600"/>
    <n v="0"/>
    <n v="10"/>
    <n v="30"/>
    <s v="-"/>
    <n v="0"/>
    <n v="3"/>
    <n v="0"/>
    <n v="0"/>
    <x v="1"/>
    <n v="11"/>
    <s v="LinkedIn"/>
    <m/>
    <n v="2"/>
    <s v="20-29"/>
    <s v="1-3 YIL"/>
    <x v="9"/>
  </r>
  <r>
    <s v="PER0942"/>
    <s v="Gamze Aydın"/>
    <x v="0"/>
    <d v="1997-06-15T00:00:00"/>
    <n v="29"/>
    <s v="Evli"/>
    <n v="0"/>
    <s v="Lisans"/>
    <x v="0"/>
    <s v="Operatör"/>
    <s v="Junior"/>
    <x v="0"/>
    <s v="Üretim &amp; Operasyon Müdürü"/>
    <x v="3"/>
    <d v="2023-05-18T00:00:00"/>
    <s v="-"/>
    <x v="2"/>
    <s v="-"/>
    <x v="1"/>
    <n v="27500"/>
    <n v="0"/>
    <n v="17"/>
    <n v="28"/>
    <s v="01-Istirahat"/>
    <n v="2"/>
    <n v="10"/>
    <n v="0"/>
    <n v="0"/>
    <x v="1"/>
    <n v="10"/>
    <s v="Kariyer.net"/>
    <m/>
    <n v="3"/>
    <s v="20-29"/>
    <s v="3-5 YIL"/>
    <x v="9"/>
  </r>
  <r>
    <s v="PER0943"/>
    <s v="Serkan Doğan"/>
    <x v="1"/>
    <d v="2004-11-04T00:00:00"/>
    <n v="22"/>
    <s v="Bekar"/>
    <n v="0"/>
    <s v="Yüksek Lisans"/>
    <x v="0"/>
    <s v="Operatör"/>
    <s v="Junior"/>
    <x v="0"/>
    <s v="Üretim &amp; Operasyon Müdürü"/>
    <x v="2"/>
    <d v="2025-08-13T00:00:00"/>
    <d v="2026-05-31T00:00:00"/>
    <x v="1"/>
    <n v="4"/>
    <x v="0"/>
    <n v="27500"/>
    <n v="0"/>
    <n v="26"/>
    <n v="30"/>
    <s v="-"/>
    <n v="0"/>
    <n v="0"/>
    <n v="0"/>
    <n v="0"/>
    <x v="1"/>
    <n v="9"/>
    <s v="Kariyer.net"/>
    <m/>
    <n v="0"/>
    <s v="20-29"/>
    <s v="0-1 YIL"/>
    <x v="0"/>
  </r>
  <r>
    <s v="PER0944"/>
    <s v="Burak Doğan"/>
    <x v="1"/>
    <d v="1992-09-07T00:00:00"/>
    <n v="34"/>
    <s v="Evli"/>
    <n v="1"/>
    <s v="Lisans"/>
    <x v="2"/>
    <s v="Mali İşler Uzmanı"/>
    <s v="Senior"/>
    <x v="1"/>
    <s v="Finans &amp; Muhasebe Müdürü"/>
    <x v="0"/>
    <d v="2017-10-17T00:00:00"/>
    <s v="-"/>
    <x v="2"/>
    <s v="-"/>
    <x v="1"/>
    <n v="60000"/>
    <n v="0"/>
    <n v="9"/>
    <n v="30"/>
    <s v="-"/>
    <n v="0"/>
    <n v="7"/>
    <n v="0"/>
    <n v="0"/>
    <x v="1"/>
    <n v="15"/>
    <s v="Şirket Web Sitesi"/>
    <m/>
    <n v="8"/>
    <s v="30-39"/>
    <s v="5-10 YIL"/>
    <x v="4"/>
  </r>
  <r>
    <s v="PER0945"/>
    <s v="Emre Öztürk"/>
    <x v="1"/>
    <d v="1982-10-07T00:00:00"/>
    <n v="44"/>
    <s v="Bekar"/>
    <n v="0"/>
    <s v="Yüksek Lisans"/>
    <x v="4"/>
    <s v="İK Uzmanı"/>
    <s v="Senior"/>
    <x v="1"/>
    <s v="İnsan Kaynakları Müdürü"/>
    <x v="0"/>
    <d v="2020-06-02T00:00:00"/>
    <s v="-"/>
    <x v="2"/>
    <s v="-"/>
    <x v="1"/>
    <n v="52100"/>
    <n v="0"/>
    <n v="7"/>
    <n v="29"/>
    <s v="02-Ucretsiz Izin"/>
    <n v="0"/>
    <n v="13"/>
    <n v="1"/>
    <n v="0"/>
    <x v="1"/>
    <n v="6"/>
    <s v="Kariyer.net"/>
    <m/>
    <n v="6"/>
    <s v="40-49"/>
    <s v="5-10 YIL"/>
    <x v="5"/>
  </r>
  <r>
    <s v="PER0946"/>
    <s v="Burak Aydın"/>
    <x v="1"/>
    <d v="2000-06-08T00:00:00"/>
    <n v="26"/>
    <s v="Evli"/>
    <n v="1"/>
    <s v="Önlisans"/>
    <x v="0"/>
    <s v="Operatör"/>
    <s v="Junior"/>
    <x v="0"/>
    <s v="Üretim &amp; Operasyon Müdürü"/>
    <x v="0"/>
    <d v="2025-01-15T00:00:00"/>
    <s v="-"/>
    <x v="2"/>
    <s v="-"/>
    <x v="1"/>
    <n v="24000"/>
    <n v="0"/>
    <n v="11"/>
    <n v="29"/>
    <s v="02-Ucretsiz Izin"/>
    <n v="0"/>
    <n v="11"/>
    <n v="1"/>
    <n v="0"/>
    <x v="3"/>
    <n v="27"/>
    <s v="Şirket Web Sitesi"/>
    <m/>
    <n v="1"/>
    <s v="20-29"/>
    <s v="1-3 YIL"/>
    <x v="0"/>
  </r>
  <r>
    <s v="PER0947"/>
    <s v="Elif Yıldız"/>
    <x v="0"/>
    <d v="1999-09-14T00:00:00"/>
    <n v="27"/>
    <s v="Evli"/>
    <n v="1"/>
    <s v="Yüksek Lisans"/>
    <x v="3"/>
    <s v="Yazılım Uzman Yardımcısı"/>
    <s v="Junior"/>
    <x v="1"/>
    <s v="Bilgi Teknolojileri Müdürü"/>
    <x v="0"/>
    <d v="2025-09-25T00:00:00"/>
    <s v="-"/>
    <x v="2"/>
    <s v="-"/>
    <x v="1"/>
    <n v="45000"/>
    <n v="0"/>
    <n v="2"/>
    <n v="30"/>
    <s v="-"/>
    <n v="0"/>
    <n v="0"/>
    <n v="0"/>
    <n v="0"/>
    <x v="1"/>
    <n v="5"/>
    <s v="Kariyer.net"/>
    <m/>
    <n v="0"/>
    <s v="20-29"/>
    <s v="0-1 YIL"/>
    <x v="0"/>
  </r>
  <r>
    <s v="PER0948"/>
    <s v="Fatma Öztürk"/>
    <x v="0"/>
    <d v="2001-04-23T00:00:00"/>
    <n v="25"/>
    <s v="Evli"/>
    <n v="1"/>
    <s v="Lisans"/>
    <x v="0"/>
    <s v="Operatör"/>
    <s v="Junior"/>
    <x v="0"/>
    <s v="Üretim &amp; Operasyon Müdürü"/>
    <x v="0"/>
    <d v="2023-01-28T00:00:00"/>
    <s v="-"/>
    <x v="2"/>
    <s v="-"/>
    <x v="1"/>
    <n v="28300"/>
    <n v="0"/>
    <n v="41"/>
    <n v="30"/>
    <s v="-"/>
    <n v="0"/>
    <n v="2"/>
    <n v="0"/>
    <n v="0"/>
    <x v="1"/>
    <n v="11"/>
    <s v="LinkedIn"/>
    <m/>
    <n v="3"/>
    <s v="20-29"/>
    <s v="3-5 YIL"/>
    <x v="9"/>
  </r>
  <r>
    <s v="PER0949"/>
    <s v="Dilan Aydın"/>
    <x v="0"/>
    <d v="2000-03-05T00:00:00"/>
    <n v="26"/>
    <s v="Bekar"/>
    <n v="0"/>
    <s v="Lisans"/>
    <x v="0"/>
    <s v="Operatör"/>
    <s v="Junior"/>
    <x v="0"/>
    <s v="Üretim &amp; Operasyon Müdürü"/>
    <x v="0"/>
    <d v="2022-07-26T00:00:00"/>
    <s v="-"/>
    <x v="2"/>
    <s v="-"/>
    <x v="1"/>
    <n v="26700"/>
    <n v="0"/>
    <n v="18"/>
    <n v="30"/>
    <s v="-"/>
    <n v="0"/>
    <n v="14"/>
    <n v="0"/>
    <n v="0"/>
    <x v="1"/>
    <n v="9"/>
    <s v="LinkedIn"/>
    <m/>
    <n v="3"/>
    <s v="20-29"/>
    <s v="3-5 YIL"/>
    <x v="7"/>
  </r>
  <r>
    <s v="PER0950"/>
    <s v="Gamze Şahin"/>
    <x v="0"/>
    <d v="1999-05-25T00:00:00"/>
    <n v="27"/>
    <s v="Bekar"/>
    <n v="0"/>
    <s v="Önlisans"/>
    <x v="0"/>
    <s v="Operatör"/>
    <s v="Junior"/>
    <x v="0"/>
    <s v="Üretim &amp; Operasyon Müdürü"/>
    <x v="1"/>
    <d v="2022-09-02T00:00:00"/>
    <s v="-"/>
    <x v="2"/>
    <s v="-"/>
    <x v="1"/>
    <n v="26400"/>
    <n v="0"/>
    <n v="44"/>
    <n v="29"/>
    <s v="10-Devamsizlik"/>
    <n v="0"/>
    <n v="1"/>
    <n v="0"/>
    <n v="1"/>
    <x v="3"/>
    <n v="22"/>
    <s v="Kariyer.net"/>
    <m/>
    <n v="3"/>
    <s v="20-29"/>
    <s v="3-5 YIL"/>
    <x v="7"/>
  </r>
  <r>
    <s v="PER0951"/>
    <s v="Hüseyin Yıldız"/>
    <x v="1"/>
    <d v="1999-09-24T00:00:00"/>
    <n v="27"/>
    <s v="Evli"/>
    <n v="0"/>
    <s v="Önlisans"/>
    <x v="0"/>
    <s v="Operatör"/>
    <s v="Junior"/>
    <x v="0"/>
    <s v="Üretim &amp; Operasyon Müdürü"/>
    <x v="3"/>
    <d v="2025-12-24T00:00:00"/>
    <s v="-"/>
    <x v="2"/>
    <s v="-"/>
    <x v="1"/>
    <n v="26300"/>
    <n v="0"/>
    <n v="38"/>
    <n v="27"/>
    <s v="01-Istirahat"/>
    <n v="3"/>
    <n v="0"/>
    <n v="0"/>
    <n v="0"/>
    <x v="1"/>
    <n v="15"/>
    <s v="Kariyer.net"/>
    <m/>
    <n v="0"/>
    <s v="20-29"/>
    <s v="0-1 YIL"/>
    <x v="0"/>
  </r>
  <r>
    <s v="PER0952"/>
    <s v="Dilan Yılmaz"/>
    <x v="0"/>
    <d v="2001-06-16T00:00:00"/>
    <n v="25"/>
    <s v="Bekar"/>
    <n v="0"/>
    <s v="Yüksek Lisans"/>
    <x v="1"/>
    <s v="Satış Temsilcisi"/>
    <s v="Junior"/>
    <x v="1"/>
    <s v="Satış &amp; Pazarlama Müdürü"/>
    <x v="0"/>
    <d v="2026-03-10T00:00:00"/>
    <s v="-"/>
    <x v="2"/>
    <s v="-"/>
    <x v="1"/>
    <n v="32300"/>
    <n v="0"/>
    <n v="4"/>
    <n v="27"/>
    <s v="01-Istirahat"/>
    <n v="3"/>
    <n v="0"/>
    <n v="0"/>
    <n v="0"/>
    <x v="1"/>
    <n v="12"/>
    <s v="LinkedIn"/>
    <m/>
    <n v="0"/>
    <s v="20-29"/>
    <s v="0-1 YIL"/>
    <x v="3"/>
  </r>
  <r>
    <s v="PER0953"/>
    <s v="Mehmet Kılıç"/>
    <x v="1"/>
    <d v="2000-05-26T00:00:00"/>
    <n v="26"/>
    <s v="Bekar"/>
    <n v="0"/>
    <s v="Lisans"/>
    <x v="2"/>
    <s v="Muhasebe Elemanı"/>
    <s v="Junior"/>
    <x v="1"/>
    <s v="Finans &amp; Muhasebe Müdürü"/>
    <x v="0"/>
    <d v="2024-11-02T00:00:00"/>
    <s v="-"/>
    <x v="2"/>
    <s v="-"/>
    <x v="1"/>
    <n v="39300"/>
    <n v="0"/>
    <n v="4"/>
    <n v="30"/>
    <s v="-"/>
    <n v="0"/>
    <n v="11"/>
    <n v="0"/>
    <n v="0"/>
    <x v="3"/>
    <n v="32"/>
    <s v="Kariyer.net"/>
    <m/>
    <n v="1"/>
    <s v="20-29"/>
    <s v="1-3 YIL"/>
    <x v="2"/>
  </r>
  <r>
    <s v="PER0954"/>
    <s v="Serkan Kaya"/>
    <x v="1"/>
    <d v="1997-05-14T00:00:00"/>
    <n v="29"/>
    <s v="Evli"/>
    <n v="3"/>
    <s v="Lisans"/>
    <x v="0"/>
    <s v="Operatör"/>
    <s v="Junior"/>
    <x v="0"/>
    <s v="Üretim &amp; Operasyon Müdürü"/>
    <x v="3"/>
    <d v="2024-01-06T00:00:00"/>
    <s v="-"/>
    <x v="2"/>
    <s v="-"/>
    <x v="1"/>
    <n v="25200"/>
    <n v="0"/>
    <n v="16"/>
    <n v="25"/>
    <s v="01-Istirahat"/>
    <n v="2"/>
    <n v="1"/>
    <n v="3"/>
    <n v="0"/>
    <x v="3"/>
    <n v="15"/>
    <s v="Kariyer.net"/>
    <m/>
    <n v="2"/>
    <s v="20-29"/>
    <s v="1-3 YIL"/>
    <x v="2"/>
  </r>
  <r>
    <s v="PER0955"/>
    <s v="Elif Yılmaz"/>
    <x v="0"/>
    <d v="1998-03-17T00:00:00"/>
    <n v="28"/>
    <s v="Evli"/>
    <n v="0"/>
    <s v="Lisans"/>
    <x v="0"/>
    <s v="Operatör"/>
    <s v="Junior"/>
    <x v="0"/>
    <s v="Üretim &amp; Operasyon Müdürü"/>
    <x v="0"/>
    <d v="2023-12-15T00:00:00"/>
    <s v="-"/>
    <x v="2"/>
    <s v="-"/>
    <x v="1"/>
    <n v="28000"/>
    <n v="0"/>
    <n v="21"/>
    <n v="29"/>
    <s v="01-Istirahat"/>
    <n v="1"/>
    <n v="9"/>
    <n v="0"/>
    <n v="0"/>
    <x v="3"/>
    <n v="16"/>
    <s v="Referans"/>
    <m/>
    <n v="2"/>
    <s v="20-29"/>
    <s v="1-3 YIL"/>
    <x v="9"/>
  </r>
  <r>
    <s v="PER0956"/>
    <s v="Mehmet Yılmaz"/>
    <x v="1"/>
    <d v="1993-08-02T00:00:00"/>
    <n v="33"/>
    <s v="Evli"/>
    <n v="1"/>
    <s v="Lisans"/>
    <x v="3"/>
    <s v="Kıdemli Yazılım Uzmanı"/>
    <s v="Senior"/>
    <x v="1"/>
    <s v="Bilgi Teknolojileri Müdürü"/>
    <x v="4"/>
    <d v="2022-06-28T00:00:00"/>
    <s v="-"/>
    <x v="2"/>
    <s v="-"/>
    <x v="1"/>
    <n v="85500"/>
    <n v="0"/>
    <n v="1"/>
    <n v="29"/>
    <s v="01-Istirahat"/>
    <n v="1"/>
    <n v="1"/>
    <n v="0"/>
    <n v="0"/>
    <x v="1"/>
    <n v="18"/>
    <s v="LinkedIn"/>
    <m/>
    <n v="4"/>
    <s v="30-39"/>
    <s v="3-5 YIL"/>
    <x v="7"/>
  </r>
  <r>
    <s v="PER0957"/>
    <s v="Elif Öztürk"/>
    <x v="0"/>
    <d v="1985-08-21T00:00:00"/>
    <n v="41"/>
    <s v="Evli"/>
    <n v="1"/>
    <s v="Önlisans"/>
    <x v="4"/>
    <s v="İK Müdürü"/>
    <s v="Manager"/>
    <x v="1"/>
    <s v="Genel Müdür"/>
    <x v="4"/>
    <d v="2009-07-27T00:00:00"/>
    <s v="-"/>
    <x v="2"/>
    <s v="-"/>
    <x v="1"/>
    <n v="99300"/>
    <n v="0"/>
    <n v="8"/>
    <n v="27"/>
    <s v="01-Istirahat"/>
    <n v="2"/>
    <n v="1"/>
    <n v="1"/>
    <n v="0"/>
    <x v="1"/>
    <n v="13"/>
    <s v="Şirket Web Sitesi"/>
    <m/>
    <n v="16"/>
    <s v="40-49"/>
    <s v="10+"/>
    <x v="17"/>
  </r>
  <r>
    <s v="PER0958"/>
    <s v="Ali Aydın"/>
    <x v="1"/>
    <d v="2000-11-02T00:00:00"/>
    <n v="26"/>
    <s v="Evli"/>
    <n v="2"/>
    <s v="Lisans"/>
    <x v="4"/>
    <s v="İK Uzman Yardımcısı"/>
    <s v="Junior"/>
    <x v="1"/>
    <s v="İnsan Kaynakları Müdürü"/>
    <x v="0"/>
    <d v="2022-11-18T00:00:00"/>
    <s v="-"/>
    <x v="2"/>
    <s v="-"/>
    <x v="1"/>
    <n v="35500"/>
    <n v="0"/>
    <n v="1"/>
    <n v="30"/>
    <s v="-"/>
    <n v="0"/>
    <n v="3"/>
    <n v="0"/>
    <n v="0"/>
    <x v="3"/>
    <n v="27"/>
    <s v="Şirket Web Sitesi"/>
    <m/>
    <n v="3"/>
    <s v="20-29"/>
    <s v="3-5 YIL"/>
    <x v="7"/>
  </r>
  <r>
    <s v="PER0959"/>
    <s v="Serkan Şahin"/>
    <x v="1"/>
    <d v="1999-01-14T00:00:00"/>
    <n v="27"/>
    <s v="Bekar"/>
    <n v="0"/>
    <s v="Lisans"/>
    <x v="1"/>
    <s v="Satış Temsilcisi"/>
    <s v="Junior"/>
    <x v="1"/>
    <s v="Satış &amp; Pazarlama Müdürü"/>
    <x v="4"/>
    <d v="2025-02-19T00:00:00"/>
    <s v="-"/>
    <x v="2"/>
    <s v="-"/>
    <x v="1"/>
    <n v="31000"/>
    <n v="7600"/>
    <n v="3"/>
    <n v="30"/>
    <s v="-"/>
    <n v="0"/>
    <n v="8"/>
    <n v="0"/>
    <n v="0"/>
    <x v="1"/>
    <n v="5"/>
    <s v="LinkedIn"/>
    <m/>
    <n v="1"/>
    <s v="20-29"/>
    <s v="1-3 YIL"/>
    <x v="0"/>
  </r>
  <r>
    <s v="PER0960"/>
    <s v="Mehmet Öztürk"/>
    <x v="1"/>
    <d v="1980-08-11T00:00:00"/>
    <n v="46"/>
    <s v="Bekar"/>
    <n v="0"/>
    <s v="Lisans"/>
    <x v="0"/>
    <s v="Üretim Müdürü"/>
    <s v="Manager"/>
    <x v="1"/>
    <s v="Genel Müdür"/>
    <x v="2"/>
    <d v="2012-12-24T00:00:00"/>
    <s v="-"/>
    <x v="2"/>
    <s v="-"/>
    <x v="1"/>
    <n v="93900"/>
    <n v="0"/>
    <n v="5"/>
    <n v="27"/>
    <s v="01-Istirahat"/>
    <n v="3"/>
    <n v="2"/>
    <n v="0"/>
    <n v="0"/>
    <x v="1"/>
    <n v="8"/>
    <s v="LinkedIn"/>
    <m/>
    <n v="13"/>
    <s v="40-49"/>
    <s v="10+"/>
    <x v="12"/>
  </r>
  <r>
    <s v="PER0961"/>
    <s v="Mustafa Çetin"/>
    <x v="1"/>
    <d v="1976-12-04T00:00:00"/>
    <n v="50"/>
    <s v="Evli"/>
    <n v="2"/>
    <s v="Lisans"/>
    <x v="1"/>
    <s v="Satış Müdürü"/>
    <s v="Manager"/>
    <x v="1"/>
    <s v="Genel Müdür"/>
    <x v="3"/>
    <d v="2012-03-17T00:00:00"/>
    <s v="-"/>
    <x v="2"/>
    <s v="-"/>
    <x v="1"/>
    <n v="111000"/>
    <n v="31900"/>
    <n v="1"/>
    <n v="30"/>
    <s v="-"/>
    <n v="0"/>
    <n v="3"/>
    <n v="0"/>
    <n v="0"/>
    <x v="3"/>
    <n v="17"/>
    <s v="LinkedIn"/>
    <m/>
    <n v="14"/>
    <s v="50+"/>
    <s v="10+"/>
    <x v="12"/>
  </r>
  <r>
    <s v="PER0962"/>
    <s v="Ahmet Aslan"/>
    <x v="1"/>
    <d v="1989-11-14T00:00:00"/>
    <n v="37"/>
    <s v="Bekar"/>
    <n v="0"/>
    <s v="Önlisans"/>
    <x v="2"/>
    <s v="Finans Müdürü"/>
    <s v="Manager"/>
    <x v="1"/>
    <s v="Genel Müdür"/>
    <x v="0"/>
    <d v="2010-06-25T00:00:00"/>
    <s v="-"/>
    <x v="2"/>
    <s v="-"/>
    <x v="1"/>
    <n v="122900"/>
    <n v="0"/>
    <n v="8"/>
    <n v="28"/>
    <s v="01-Istirahat"/>
    <n v="1"/>
    <n v="10"/>
    <n v="1"/>
    <n v="0"/>
    <x v="1"/>
    <n v="9"/>
    <s v="LinkedIn"/>
    <m/>
    <n v="16"/>
    <s v="30-39"/>
    <s v="10+"/>
    <x v="16"/>
  </r>
  <r>
    <s v="PER0963"/>
    <s v="Defne Çetin"/>
    <x v="0"/>
    <d v="2004-09-23T00:00:00"/>
    <n v="22"/>
    <s v="Evli"/>
    <n v="0"/>
    <s v="Lisans"/>
    <x v="0"/>
    <s v="Operatör"/>
    <s v="Junior"/>
    <x v="0"/>
    <s v="Üretim &amp; Operasyon Müdürü"/>
    <x v="3"/>
    <d v="2023-11-04T00:00:00"/>
    <s v="-"/>
    <x v="2"/>
    <s v="-"/>
    <x v="1"/>
    <n v="27100"/>
    <n v="0"/>
    <n v="28"/>
    <n v="30"/>
    <s v="-"/>
    <n v="0"/>
    <n v="8"/>
    <n v="0"/>
    <n v="0"/>
    <x v="1"/>
    <n v="9"/>
    <s v="Referans"/>
    <m/>
    <n v="2"/>
    <s v="20-29"/>
    <s v="1-3 YIL"/>
    <x v="9"/>
  </r>
  <r>
    <s v="PER0964"/>
    <s v="Elif Aslan"/>
    <x v="0"/>
    <d v="1985-08-01T00:00:00"/>
    <n v="41"/>
    <s v="Evli"/>
    <n v="0"/>
    <s v="Yüksek Lisans"/>
    <x v="0"/>
    <s v="Takım Lideri"/>
    <s v="Senior"/>
    <x v="0"/>
    <s v="Üretim &amp; Operasyon Müdürü"/>
    <x v="2"/>
    <d v="2019-07-27T00:00:00"/>
    <s v="-"/>
    <x v="2"/>
    <s v="-"/>
    <x v="1"/>
    <n v="40300"/>
    <n v="0"/>
    <n v="42"/>
    <n v="28"/>
    <s v="01-Istirahat"/>
    <n v="2"/>
    <n v="7"/>
    <n v="0"/>
    <n v="0"/>
    <x v="1"/>
    <n v="5"/>
    <s v="Kariyer.net"/>
    <m/>
    <n v="6"/>
    <s v="40-49"/>
    <s v="5-10 YIL"/>
    <x v="11"/>
  </r>
  <r>
    <s v="PER0965"/>
    <s v="Gökhan Arslan"/>
    <x v="1"/>
    <d v="1987-08-21T00:00:00"/>
    <n v="39"/>
    <s v="Bekar"/>
    <n v="0"/>
    <s v="Yüksek Lisans"/>
    <x v="2"/>
    <s v="Finans Müdürü"/>
    <s v="Manager"/>
    <x v="1"/>
    <s v="Genel Müdür"/>
    <x v="2"/>
    <d v="2018-05-16T00:00:00"/>
    <s v="-"/>
    <x v="2"/>
    <s v="-"/>
    <x v="1"/>
    <n v="120900"/>
    <n v="15400"/>
    <n v="7"/>
    <n v="30"/>
    <s v="-"/>
    <n v="0"/>
    <n v="4"/>
    <n v="0"/>
    <n v="0"/>
    <x v="1"/>
    <n v="12"/>
    <s v="Kariyer.net"/>
    <m/>
    <n v="8"/>
    <s v="30-39"/>
    <s v="5-10 YIL"/>
    <x v="1"/>
  </r>
  <r>
    <s v="PER0966"/>
    <s v="Büşra Demir"/>
    <x v="0"/>
    <d v="2004-01-05T00:00:00"/>
    <n v="22"/>
    <s v="Evli"/>
    <n v="1"/>
    <s v="Önlisans"/>
    <x v="0"/>
    <s v="Operatör"/>
    <s v="Junior"/>
    <x v="0"/>
    <s v="Üretim &amp; Operasyon Müdürü"/>
    <x v="0"/>
    <d v="2025-02-04T00:00:00"/>
    <s v="-"/>
    <x v="2"/>
    <s v="-"/>
    <x v="1"/>
    <n v="25400"/>
    <n v="0"/>
    <n v="24"/>
    <n v="30"/>
    <s v="-"/>
    <n v="0"/>
    <n v="12"/>
    <n v="0"/>
    <n v="0"/>
    <x v="1"/>
    <n v="5"/>
    <s v="Şirket Web Sitesi"/>
    <m/>
    <n v="1"/>
    <s v="20-29"/>
    <s v="1-3 YIL"/>
    <x v="0"/>
  </r>
  <r>
    <s v="PER0967"/>
    <s v="Mustafa Kılıç"/>
    <x v="1"/>
    <d v="1991-08-18T00:00:00"/>
    <n v="35"/>
    <s v="Bekar"/>
    <n v="0"/>
    <s v="Önlisans"/>
    <x v="3"/>
    <s v="BT Müdürü"/>
    <s v="Manager"/>
    <x v="1"/>
    <s v="Genel Müdür"/>
    <x v="2"/>
    <d v="2008-09-28T00:00:00"/>
    <s v="-"/>
    <x v="2"/>
    <s v="-"/>
    <x v="1"/>
    <n v="121400"/>
    <n v="0"/>
    <n v="1"/>
    <n v="28"/>
    <s v="01-Istirahat"/>
    <n v="2"/>
    <n v="3"/>
    <n v="0"/>
    <n v="0"/>
    <x v="1"/>
    <n v="19"/>
    <s v="Danışmanlık Firması"/>
    <m/>
    <n v="17"/>
    <s v="30-39"/>
    <s v="10+"/>
    <x v="15"/>
  </r>
  <r>
    <s v="PER0968"/>
    <s v="Ayşe Doğan"/>
    <x v="0"/>
    <d v="1998-08-11T00:00:00"/>
    <n v="28"/>
    <s v="Bekar"/>
    <n v="0"/>
    <s v="Doktora"/>
    <x v="0"/>
    <s v="Operatör"/>
    <s v="Junior"/>
    <x v="0"/>
    <s v="Üretim &amp; Operasyon Müdürü"/>
    <x v="0"/>
    <d v="2022-12-14T00:00:00"/>
    <s v="-"/>
    <x v="2"/>
    <s v="-"/>
    <x v="1"/>
    <n v="28500"/>
    <n v="0"/>
    <n v="33"/>
    <n v="30"/>
    <s v="-"/>
    <n v="0"/>
    <n v="4"/>
    <n v="0"/>
    <n v="0"/>
    <x v="1"/>
    <n v="18"/>
    <s v="LinkedIn"/>
    <m/>
    <n v="3"/>
    <s v="20-29"/>
    <s v="3-5 YIL"/>
    <x v="7"/>
  </r>
  <r>
    <s v="PER0969"/>
    <s v="Volkan Demir"/>
    <x v="1"/>
    <d v="2000-07-07T00:00:00"/>
    <n v="26"/>
    <s v="Evli"/>
    <n v="2"/>
    <s v="Lisans"/>
    <x v="3"/>
    <s v="Yazılım Uzman Yardımcısı"/>
    <s v="Junior"/>
    <x v="1"/>
    <s v="Bilgi Teknolojileri Müdürü"/>
    <x v="0"/>
    <d v="2025-11-30T00:00:00"/>
    <s v="-"/>
    <x v="2"/>
    <s v="-"/>
    <x v="1"/>
    <n v="50400"/>
    <n v="5800"/>
    <n v="1"/>
    <n v="27"/>
    <s v="01-Istirahat"/>
    <n v="3"/>
    <n v="0"/>
    <n v="0"/>
    <n v="0"/>
    <x v="1"/>
    <n v="3"/>
    <s v="Kariyer.net"/>
    <m/>
    <n v="0"/>
    <s v="20-29"/>
    <s v="0-1 YIL"/>
    <x v="0"/>
  </r>
  <r>
    <s v="PER0970"/>
    <s v="Defne Şahin"/>
    <x v="0"/>
    <d v="1981-06-19T00:00:00"/>
    <n v="45"/>
    <s v="Bekar"/>
    <n v="0"/>
    <s v="Yüksek Lisans"/>
    <x v="2"/>
    <s v="Mali İşler Uzmanı"/>
    <s v="Senior"/>
    <x v="1"/>
    <s v="Finans &amp; Muhasebe Müdürü"/>
    <x v="0"/>
    <d v="2015-10-08T00:00:00"/>
    <s v="-"/>
    <x v="2"/>
    <s v="-"/>
    <x v="1"/>
    <n v="58300"/>
    <n v="5600"/>
    <n v="9"/>
    <n v="20"/>
    <s v="01-Istirahat"/>
    <n v="10"/>
    <n v="0"/>
    <n v="0"/>
    <n v="0"/>
    <x v="2"/>
    <n v="21"/>
    <s v="Kariyer.net"/>
    <m/>
    <n v="10"/>
    <s v="40-49"/>
    <s v="5-10 YIL"/>
    <x v="8"/>
  </r>
  <r>
    <s v="PER0971"/>
    <s v="Defne Kaya"/>
    <x v="0"/>
    <d v="1979-10-03T00:00:00"/>
    <n v="47"/>
    <s v="Evli"/>
    <n v="1"/>
    <s v="Lisans"/>
    <x v="1"/>
    <s v="Satış Müdürü"/>
    <s v="Manager"/>
    <x v="1"/>
    <s v="Genel Müdür"/>
    <x v="1"/>
    <d v="2019-08-08T00:00:00"/>
    <s v="-"/>
    <x v="2"/>
    <s v="-"/>
    <x v="1"/>
    <n v="114600"/>
    <n v="0"/>
    <n v="0"/>
    <n v="30"/>
    <s v="-"/>
    <n v="0"/>
    <n v="4"/>
    <n v="0"/>
    <n v="0"/>
    <x v="1"/>
    <n v="3"/>
    <s v="Kariyer.net"/>
    <m/>
    <n v="6"/>
    <s v="40-49"/>
    <s v="5-10 YIL"/>
    <x v="11"/>
  </r>
  <r>
    <s v="PER0972"/>
    <s v="Zeynep Doğan"/>
    <x v="0"/>
    <d v="1997-03-25T00:00:00"/>
    <n v="29"/>
    <s v="Bekar"/>
    <n v="0"/>
    <s v="Önlisans"/>
    <x v="0"/>
    <s v="Operatör"/>
    <s v="Junior"/>
    <x v="0"/>
    <s v="Üretim &amp; Operasyon Müdürü"/>
    <x v="0"/>
    <d v="2022-09-04T00:00:00"/>
    <s v="-"/>
    <x v="2"/>
    <s v="-"/>
    <x v="1"/>
    <n v="26700"/>
    <n v="0"/>
    <n v="32"/>
    <n v="30"/>
    <s v="-"/>
    <n v="0"/>
    <n v="1"/>
    <n v="0"/>
    <n v="0"/>
    <x v="1"/>
    <n v="13"/>
    <s v="Referans"/>
    <m/>
    <n v="3"/>
    <s v="20-29"/>
    <s v="3-5 YIL"/>
    <x v="7"/>
  </r>
  <r>
    <s v="PER0973"/>
    <s v="Elif Öztürk"/>
    <x v="0"/>
    <d v="1998-04-12T00:00:00"/>
    <n v="28"/>
    <s v="Evli"/>
    <n v="1"/>
    <s v="Önlisans"/>
    <x v="2"/>
    <s v="Muhasebe Elemanı"/>
    <s v="Junior"/>
    <x v="1"/>
    <s v="Finans &amp; Muhasebe Müdürü"/>
    <x v="0"/>
    <d v="2023-05-09T00:00:00"/>
    <s v="-"/>
    <x v="2"/>
    <s v="-"/>
    <x v="1"/>
    <n v="33700"/>
    <n v="3500"/>
    <n v="4"/>
    <n v="30"/>
    <s v="-"/>
    <n v="0"/>
    <n v="14"/>
    <n v="0"/>
    <n v="0"/>
    <x v="1"/>
    <n v="12"/>
    <s v="Şirket Web Sitesi"/>
    <m/>
    <n v="3"/>
    <s v="20-29"/>
    <s v="3-5 YIL"/>
    <x v="9"/>
  </r>
  <r>
    <s v="PER0974"/>
    <s v="Mustafa Kara"/>
    <x v="1"/>
    <d v="1998-05-19T00:00:00"/>
    <n v="28"/>
    <s v="Evli"/>
    <n v="0"/>
    <s v="Lisans"/>
    <x v="0"/>
    <s v="Operatör"/>
    <s v="Junior"/>
    <x v="0"/>
    <s v="Üretim &amp; Operasyon Müdürü"/>
    <x v="2"/>
    <d v="2023-04-25T00:00:00"/>
    <s v="-"/>
    <x v="2"/>
    <s v="-"/>
    <x v="1"/>
    <n v="28300"/>
    <n v="0"/>
    <n v="37"/>
    <n v="30"/>
    <s v="-"/>
    <n v="0"/>
    <n v="3"/>
    <n v="0"/>
    <n v="0"/>
    <x v="1"/>
    <n v="6"/>
    <s v="LinkedIn"/>
    <m/>
    <n v="3"/>
    <s v="20-29"/>
    <s v="3-5 YIL"/>
    <x v="9"/>
  </r>
  <r>
    <s v="PER0975"/>
    <s v="Can Şahin"/>
    <x v="1"/>
    <d v="2003-09-19T00:00:00"/>
    <n v="23"/>
    <s v="Evli"/>
    <n v="2"/>
    <s v="Yüksek Lisans"/>
    <x v="2"/>
    <s v="Muhasebe Elemanı"/>
    <s v="Junior"/>
    <x v="1"/>
    <s v="Finans &amp; Muhasebe Müdürü"/>
    <x v="0"/>
    <d v="2023-07-12T00:00:00"/>
    <s v="-"/>
    <x v="2"/>
    <s v="-"/>
    <x v="1"/>
    <n v="36100"/>
    <n v="0"/>
    <n v="9"/>
    <n v="30"/>
    <s v="-"/>
    <n v="0"/>
    <n v="14"/>
    <n v="0"/>
    <n v="0"/>
    <x v="1"/>
    <n v="4"/>
    <s v="LinkedIn"/>
    <m/>
    <n v="2"/>
    <s v="20-29"/>
    <s v="1-3 YIL"/>
    <x v="9"/>
  </r>
  <r>
    <s v="PER0976"/>
    <s v="Merve Arslan"/>
    <x v="0"/>
    <d v="1983-04-21T00:00:00"/>
    <n v="43"/>
    <s v="Bekar"/>
    <n v="0"/>
    <s v="Lisans"/>
    <x v="4"/>
    <s v="İK Müdürü"/>
    <s v="Manager"/>
    <x v="1"/>
    <s v="Genel Müdür"/>
    <x v="0"/>
    <d v="2017-01-04T00:00:00"/>
    <s v="-"/>
    <x v="2"/>
    <s v="-"/>
    <x v="1"/>
    <n v="111300"/>
    <n v="11300"/>
    <n v="6"/>
    <n v="29"/>
    <s v="01-Istirahat"/>
    <n v="1"/>
    <n v="10"/>
    <n v="0"/>
    <n v="0"/>
    <x v="1"/>
    <n v="13"/>
    <s v="LinkedIn"/>
    <m/>
    <n v="9"/>
    <s v="40-49"/>
    <s v="5-10 YIL"/>
    <x v="4"/>
  </r>
  <r>
    <s v="PER0977"/>
    <s v="Kübra Şahin"/>
    <x v="0"/>
    <d v="1992-12-20T00:00:00"/>
    <n v="34"/>
    <s v="Bekar"/>
    <n v="0"/>
    <s v="Yüksek Lisans"/>
    <x v="1"/>
    <s v="Kıdemli Satış Uzmanı"/>
    <s v="Senior"/>
    <x v="1"/>
    <s v="Satış &amp; Pazarlama Müdürü"/>
    <x v="3"/>
    <d v="2023-01-07T00:00:00"/>
    <s v="-"/>
    <x v="2"/>
    <s v="-"/>
    <x v="1"/>
    <n v="55300"/>
    <n v="18700"/>
    <n v="5"/>
    <n v="29"/>
    <s v="01-Istirahat"/>
    <n v="1"/>
    <n v="14"/>
    <n v="0"/>
    <n v="0"/>
    <x v="1"/>
    <n v="7"/>
    <s v="Kariyer.net"/>
    <m/>
    <n v="3"/>
    <s v="30-39"/>
    <s v="3-5 YIL"/>
    <x v="9"/>
  </r>
  <r>
    <s v="PER0978"/>
    <s v="Hasan Arslan"/>
    <x v="1"/>
    <d v="1985-05-27T00:00:00"/>
    <n v="41"/>
    <s v="Bekar"/>
    <n v="0"/>
    <s v="Lisans"/>
    <x v="0"/>
    <s v="Takım Lideri"/>
    <s v="Senior"/>
    <x v="0"/>
    <s v="Üretim &amp; Operasyon Müdürü"/>
    <x v="0"/>
    <d v="2022-12-01T00:00:00"/>
    <s v="-"/>
    <x v="2"/>
    <s v="-"/>
    <x v="1"/>
    <n v="43300"/>
    <n v="0"/>
    <n v="41"/>
    <n v="28"/>
    <s v="01-Istirahat"/>
    <n v="2"/>
    <n v="12"/>
    <n v="0"/>
    <n v="0"/>
    <x v="1"/>
    <n v="2"/>
    <s v="Danışmanlık Firması"/>
    <m/>
    <n v="3"/>
    <s v="40-49"/>
    <s v="3-5 YIL"/>
    <x v="7"/>
  </r>
  <r>
    <s v="PER0979"/>
    <s v="Oğuzhan Çelik"/>
    <x v="1"/>
    <d v="2003-03-10T00:00:00"/>
    <n v="23"/>
    <s v="Evli"/>
    <n v="0"/>
    <s v="Yüksek Lisans"/>
    <x v="0"/>
    <s v="Operatör"/>
    <s v="Junior"/>
    <x v="0"/>
    <s v="Üretim &amp; Operasyon Müdürü"/>
    <x v="2"/>
    <d v="2024-03-29T00:00:00"/>
    <s v="-"/>
    <x v="2"/>
    <s v="-"/>
    <x v="1"/>
    <n v="25100"/>
    <n v="0"/>
    <n v="17"/>
    <n v="30"/>
    <s v="-"/>
    <n v="0"/>
    <n v="6"/>
    <n v="0"/>
    <n v="0"/>
    <x v="1"/>
    <n v="14"/>
    <s v="LinkedIn"/>
    <m/>
    <n v="2"/>
    <s v="20-29"/>
    <s v="1-3 YIL"/>
    <x v="2"/>
  </r>
  <r>
    <s v="PER0980"/>
    <s v="Can Kaya"/>
    <x v="1"/>
    <d v="1999-06-03T00:00:00"/>
    <n v="27"/>
    <s v="Bekar"/>
    <n v="0"/>
    <s v="Önlisans"/>
    <x v="2"/>
    <s v="Muhasebe Elemanı"/>
    <s v="Junior"/>
    <x v="1"/>
    <s v="Finans &amp; Muhasebe Müdürü"/>
    <x v="3"/>
    <d v="2022-12-01T00:00:00"/>
    <s v="-"/>
    <x v="2"/>
    <s v="-"/>
    <x v="1"/>
    <n v="36200"/>
    <n v="0"/>
    <n v="1"/>
    <n v="30"/>
    <s v="-"/>
    <n v="0"/>
    <n v="3"/>
    <n v="0"/>
    <n v="0"/>
    <x v="4"/>
    <n v="19"/>
    <s v="Referans"/>
    <m/>
    <n v="3"/>
    <s v="20-29"/>
    <s v="3-5 YIL"/>
    <x v="7"/>
  </r>
  <r>
    <s v="PER0981"/>
    <s v="Gökhan Doğan"/>
    <x v="1"/>
    <d v="1982-03-19T00:00:00"/>
    <n v="44"/>
    <s v="Evli"/>
    <n v="1"/>
    <s v="Lisans"/>
    <x v="2"/>
    <s v="Mali İşler Uzmanı"/>
    <s v="Senior"/>
    <x v="1"/>
    <s v="Finans &amp; Muhasebe Müdürü"/>
    <x v="0"/>
    <d v="2018-08-28T00:00:00"/>
    <s v="-"/>
    <x v="2"/>
    <s v="-"/>
    <x v="1"/>
    <n v="55900"/>
    <n v="4100"/>
    <n v="3"/>
    <n v="29"/>
    <s v="01-Istirahat"/>
    <n v="1"/>
    <n v="4"/>
    <n v="0"/>
    <n v="0"/>
    <x v="1"/>
    <n v="18"/>
    <s v="Danışmanlık Firması"/>
    <m/>
    <n v="7"/>
    <s v="40-49"/>
    <s v="5-10 YIL"/>
    <x v="1"/>
  </r>
  <r>
    <s v="PER0982"/>
    <s v="Hasan Arslan"/>
    <x v="1"/>
    <d v="1999-04-04T00:00:00"/>
    <n v="27"/>
    <s v="Evli"/>
    <n v="0"/>
    <s v="Lisans"/>
    <x v="0"/>
    <s v="Operatör"/>
    <s v="Junior"/>
    <x v="0"/>
    <s v="Üretim &amp; Operasyon Müdürü"/>
    <x v="2"/>
    <d v="2026-05-08T00:00:00"/>
    <d v="2026-05-27T00:00:00"/>
    <x v="1"/>
    <n v="4"/>
    <x v="0"/>
    <n v="26100"/>
    <n v="0"/>
    <n v="27"/>
    <n v="30"/>
    <s v="-"/>
    <n v="0"/>
    <n v="0"/>
    <n v="0"/>
    <n v="0"/>
    <x v="1"/>
    <n v="9"/>
    <s v="Kariyer.net"/>
    <m/>
    <n v="0"/>
    <s v="20-29"/>
    <s v="0-1 YIL"/>
    <x v="3"/>
  </r>
  <r>
    <s v="PER0983"/>
    <s v="Zeynep Aslan"/>
    <x v="0"/>
    <d v="1991-03-25T00:00:00"/>
    <n v="35"/>
    <s v="Bekar"/>
    <n v="0"/>
    <s v="Lisans"/>
    <x v="3"/>
    <s v="Kıdemli Yazılım Uzmanı"/>
    <s v="Senior"/>
    <x v="1"/>
    <s v="Bilgi Teknolojileri Müdürü"/>
    <x v="3"/>
    <d v="2018-04-04T00:00:00"/>
    <s v="-"/>
    <x v="2"/>
    <s v="-"/>
    <x v="1"/>
    <n v="75900"/>
    <n v="0"/>
    <n v="2"/>
    <n v="30"/>
    <s v="-"/>
    <n v="0"/>
    <n v="10"/>
    <n v="0"/>
    <n v="0"/>
    <x v="3"/>
    <n v="35"/>
    <s v="Kariyer.net"/>
    <m/>
    <n v="8"/>
    <s v="30-39"/>
    <s v="5-10 YIL"/>
    <x v="1"/>
  </r>
  <r>
    <s v="PER0984"/>
    <s v="Dilan Çelik"/>
    <x v="0"/>
    <d v="1990-09-19T00:00:00"/>
    <n v="36"/>
    <s v="Evli"/>
    <n v="3"/>
    <s v="Yüksek Lisans"/>
    <x v="1"/>
    <s v="Kıdemli Satış Uzmanı"/>
    <s v="Senior"/>
    <x v="1"/>
    <s v="Satış &amp; Pazarlama Müdürü"/>
    <x v="1"/>
    <d v="2018-09-05T00:00:00"/>
    <d v="2020-02-02T00:00:00"/>
    <x v="1"/>
    <n v="4"/>
    <x v="0"/>
    <n v="53700"/>
    <n v="0"/>
    <n v="3"/>
    <n v="29"/>
    <s v="01-Istirahat"/>
    <n v="1"/>
    <n v="0"/>
    <n v="0"/>
    <n v="0"/>
    <x v="3"/>
    <n v="16"/>
    <s v="LinkedIn"/>
    <m/>
    <n v="7"/>
    <s v="30-39"/>
    <s v="5-10 YIL"/>
    <x v="1"/>
  </r>
  <r>
    <s v="PER0985"/>
    <s v="Büşra Yılmaz"/>
    <x v="0"/>
    <d v="2003-10-08T00:00:00"/>
    <n v="23"/>
    <s v="Evli"/>
    <n v="0"/>
    <s v="Lisans"/>
    <x v="0"/>
    <s v="Operatör"/>
    <s v="Junior"/>
    <x v="0"/>
    <s v="Üretim &amp; Operasyon Müdürü"/>
    <x v="4"/>
    <d v="2023-07-12T00:00:00"/>
    <s v="-"/>
    <x v="2"/>
    <s v="-"/>
    <x v="1"/>
    <n v="26000"/>
    <n v="0"/>
    <n v="41"/>
    <n v="30"/>
    <s v="-"/>
    <n v="0"/>
    <n v="11"/>
    <n v="0"/>
    <n v="0"/>
    <x v="3"/>
    <n v="23"/>
    <s v="Şirket Web Sitesi"/>
    <m/>
    <n v="2"/>
    <s v="20-29"/>
    <s v="1-3 YIL"/>
    <x v="9"/>
  </r>
  <r>
    <s v="PER0986"/>
    <s v="Burak Kılıç"/>
    <x v="1"/>
    <d v="2001-01-09T00:00:00"/>
    <n v="25"/>
    <s v="Bekar"/>
    <n v="0"/>
    <s v="Önlisans"/>
    <x v="1"/>
    <s v="Satış Temsilcisi"/>
    <s v="Junior"/>
    <x v="1"/>
    <s v="Satış &amp; Pazarlama Müdürü"/>
    <x v="4"/>
    <d v="2025-07-10T00:00:00"/>
    <s v="-"/>
    <x v="2"/>
    <s v="-"/>
    <x v="1"/>
    <n v="33500"/>
    <n v="3900"/>
    <n v="1"/>
    <n v="30"/>
    <s v="-"/>
    <n v="0"/>
    <n v="0"/>
    <n v="0"/>
    <n v="0"/>
    <x v="1"/>
    <n v="10"/>
    <s v="LinkedIn"/>
    <m/>
    <n v="0"/>
    <s v="20-29"/>
    <s v="0-1 YIL"/>
    <x v="0"/>
  </r>
  <r>
    <s v="PER0987"/>
    <s v="Volkan Kılıç"/>
    <x v="1"/>
    <d v="1980-12-11T00:00:00"/>
    <n v="46"/>
    <s v="Bekar"/>
    <n v="0"/>
    <s v="Lisans"/>
    <x v="0"/>
    <s v="Takım Lideri"/>
    <s v="Senior"/>
    <x v="0"/>
    <s v="Üretim &amp; Operasyon Müdürü"/>
    <x v="0"/>
    <d v="2020-11-07T00:00:00"/>
    <s v="-"/>
    <x v="2"/>
    <s v="-"/>
    <x v="1"/>
    <n v="44100"/>
    <n v="0"/>
    <n v="24"/>
    <n v="29"/>
    <s v="10-Devamsizlik"/>
    <n v="0"/>
    <n v="6"/>
    <n v="0"/>
    <n v="1"/>
    <x v="3"/>
    <n v="29"/>
    <s v="LinkedIn"/>
    <m/>
    <n v="5"/>
    <s v="40-49"/>
    <s v="5-10 YIL"/>
    <x v="5"/>
  </r>
  <r>
    <s v="PER0988"/>
    <s v="Elif Çelik"/>
    <x v="0"/>
    <d v="1997-11-24T00:00:00"/>
    <n v="29"/>
    <s v="Evli"/>
    <n v="1"/>
    <s v="Lisans"/>
    <x v="0"/>
    <s v="Operatör"/>
    <s v="Junior"/>
    <x v="0"/>
    <s v="Üretim &amp; Operasyon Müdürü"/>
    <x v="0"/>
    <d v="2026-02-03T00:00:00"/>
    <d v="2026-05-23T00:00:00"/>
    <x v="4"/>
    <n v="3"/>
    <x v="0"/>
    <n v="27700"/>
    <n v="0"/>
    <n v="24"/>
    <n v="27"/>
    <s v="01-Istirahat"/>
    <n v="3"/>
    <n v="0"/>
    <n v="0"/>
    <n v="0"/>
    <x v="0"/>
    <n v="3"/>
    <s v="LinkedIn"/>
    <m/>
    <n v="0"/>
    <s v="20-29"/>
    <s v="0-1 YIL"/>
    <x v="3"/>
  </r>
  <r>
    <s v="PER0989"/>
    <s v="Aslan Doğan"/>
    <x v="0"/>
    <d v="1998-08-10T00:00:00"/>
    <n v="28"/>
    <s v="Bekar"/>
    <n v="0"/>
    <s v="Lisans"/>
    <x v="1"/>
    <s v="Satış Temsilcisi"/>
    <s v="Junior"/>
    <x v="1"/>
    <s v="Satış &amp; Pazarlama Müdürü"/>
    <x v="1"/>
    <d v="2023-01-06T00:00:00"/>
    <d v="2023-10-15T00:00:00"/>
    <x v="4"/>
    <n v="3"/>
    <x v="0"/>
    <n v="32600"/>
    <n v="6200"/>
    <n v="0"/>
    <n v="30"/>
    <s v="-"/>
    <n v="0"/>
    <n v="2"/>
    <n v="0"/>
    <n v="0"/>
    <x v="1"/>
    <n v="10"/>
    <s v="Referans"/>
    <m/>
    <n v="3"/>
    <s v="20-29"/>
    <s v="3-5 YIL"/>
    <x v="9"/>
  </r>
  <r>
    <s v="PER0990"/>
    <s v="Furkan Kara"/>
    <x v="1"/>
    <d v="1997-08-27T00:00:00"/>
    <n v="29"/>
    <s v="Bekar"/>
    <n v="0"/>
    <s v="Yüksek Lisans"/>
    <x v="0"/>
    <s v="Operatör"/>
    <s v="Junior"/>
    <x v="0"/>
    <s v="Üretim &amp; Operasyon Müdürü"/>
    <x v="0"/>
    <d v="2024-05-22T00:00:00"/>
    <s v="-"/>
    <x v="2"/>
    <s v="-"/>
    <x v="1"/>
    <n v="24100"/>
    <n v="0"/>
    <n v="20"/>
    <n v="30"/>
    <s v="-"/>
    <n v="0"/>
    <n v="1"/>
    <n v="0"/>
    <n v="0"/>
    <x v="4"/>
    <n v="6"/>
    <s v="Kariyer.net"/>
    <m/>
    <n v="2"/>
    <s v="20-29"/>
    <s v="1-3 YIL"/>
    <x v="2"/>
  </r>
  <r>
    <s v="PER0991"/>
    <s v="Furkan Şahin"/>
    <x v="1"/>
    <d v="1990-03-24T00:00:00"/>
    <n v="36"/>
    <s v="Evli"/>
    <n v="0"/>
    <s v="Yüksek Lisans"/>
    <x v="1"/>
    <s v="Satış Müdürü"/>
    <s v="Manager"/>
    <x v="1"/>
    <s v="Genel Müdür"/>
    <x v="0"/>
    <d v="2011-02-05T00:00:00"/>
    <s v="-"/>
    <x v="2"/>
    <s v="-"/>
    <x v="1"/>
    <n v="117200"/>
    <n v="30600"/>
    <n v="1"/>
    <n v="27"/>
    <s v="01-Istirahat"/>
    <n v="3"/>
    <n v="0"/>
    <n v="0"/>
    <n v="0"/>
    <x v="1"/>
    <n v="10"/>
    <s v="LinkedIn"/>
    <m/>
    <n v="15"/>
    <s v="30-39"/>
    <s v="10+"/>
    <x v="18"/>
  </r>
  <r>
    <s v="PER0992"/>
    <s v="Hasan Kara"/>
    <x v="1"/>
    <d v="2000-08-04T00:00:00"/>
    <n v="26"/>
    <s v="Evli"/>
    <n v="1"/>
    <s v="Yüksek Lisans"/>
    <x v="1"/>
    <s v="Satış Temsilcisi"/>
    <s v="Junior"/>
    <x v="1"/>
    <s v="Satış &amp; Pazarlama Müdürü"/>
    <x v="2"/>
    <d v="2026-05-09T00:00:00"/>
    <d v="2026-05-27T00:00:00"/>
    <x v="4"/>
    <n v="3"/>
    <x v="0"/>
    <n v="31000"/>
    <n v="6500"/>
    <n v="1"/>
    <n v="30"/>
    <s v="-"/>
    <n v="0"/>
    <n v="0"/>
    <n v="0"/>
    <n v="0"/>
    <x v="2"/>
    <n v="21"/>
    <s v="Kariyer.net"/>
    <m/>
    <n v="0"/>
    <s v="20-29"/>
    <s v="0-1 YIL"/>
    <x v="3"/>
  </r>
  <r>
    <s v="PER0993"/>
    <s v="Volkan Doğan"/>
    <x v="1"/>
    <d v="1998-06-19T00:00:00"/>
    <n v="28"/>
    <s v="Evli"/>
    <n v="2"/>
    <s v="Önlisans"/>
    <x v="1"/>
    <s v="Satış Temsilcisi"/>
    <s v="Junior"/>
    <x v="1"/>
    <s v="Satış &amp; Pazarlama Müdürü"/>
    <x v="0"/>
    <d v="2024-02-12T00:00:00"/>
    <s v="-"/>
    <x v="2"/>
    <s v="-"/>
    <x v="1"/>
    <n v="34500"/>
    <n v="6700"/>
    <n v="0"/>
    <n v="30"/>
    <s v="-"/>
    <n v="0"/>
    <n v="12"/>
    <n v="0"/>
    <n v="0"/>
    <x v="1"/>
    <n v="18"/>
    <s v="Referans"/>
    <m/>
    <n v="2"/>
    <s v="20-29"/>
    <s v="1-3 YIL"/>
    <x v="2"/>
  </r>
  <r>
    <s v="PER0994"/>
    <s v="Furkan Kılıç"/>
    <x v="1"/>
    <d v="1995-04-10T00:00:00"/>
    <n v="31"/>
    <s v="Evli"/>
    <n v="0"/>
    <s v="Lisans"/>
    <x v="2"/>
    <s v="Mali İşler Uzmanı"/>
    <s v="Senior"/>
    <x v="1"/>
    <s v="Finans &amp; Muhasebe Müdürü"/>
    <x v="0"/>
    <d v="2022-11-11T00:00:00"/>
    <s v="-"/>
    <x v="2"/>
    <s v="-"/>
    <x v="1"/>
    <n v="56900"/>
    <n v="0"/>
    <n v="9"/>
    <n v="30"/>
    <s v="-"/>
    <n v="0"/>
    <n v="7"/>
    <n v="0"/>
    <n v="0"/>
    <x v="1"/>
    <n v="5"/>
    <s v="Kariyer.net"/>
    <m/>
    <n v="3"/>
    <s v="30-39"/>
    <s v="3-5 YIL"/>
    <x v="7"/>
  </r>
  <r>
    <s v="PER0995"/>
    <s v="Can Kılıç"/>
    <x v="1"/>
    <d v="1979-04-04T00:00:00"/>
    <n v="47"/>
    <s v="Evli"/>
    <n v="2"/>
    <s v="Lisans"/>
    <x v="0"/>
    <s v="Takım Lideri"/>
    <s v="Senior"/>
    <x v="0"/>
    <s v="Üretim &amp; Operasyon Müdürü"/>
    <x v="0"/>
    <d v="2017-09-22T00:00:00"/>
    <s v="-"/>
    <x v="2"/>
    <s v="-"/>
    <x v="1"/>
    <n v="41000"/>
    <n v="0"/>
    <n v="13"/>
    <n v="30"/>
    <s v="-"/>
    <n v="0"/>
    <n v="8"/>
    <n v="0"/>
    <n v="0"/>
    <x v="3"/>
    <n v="12"/>
    <s v="Referans"/>
    <m/>
    <n v="8"/>
    <s v="40-49"/>
    <s v="5-10 YIL"/>
    <x v="4"/>
  </r>
  <r>
    <s v="PER0996"/>
    <s v="Büşra Çetin"/>
    <x v="0"/>
    <d v="1986-07-05T00:00:00"/>
    <n v="40"/>
    <s v="Evli"/>
    <n v="1"/>
    <s v="Yüksek Lisans"/>
    <x v="3"/>
    <s v="Kıdemli Yazılım Uzmanı"/>
    <s v="Senior"/>
    <x v="1"/>
    <s v="Bilgi Teknolojileri Müdürü"/>
    <x v="0"/>
    <d v="2018-01-30T00:00:00"/>
    <s v="-"/>
    <x v="2"/>
    <s v="-"/>
    <x v="1"/>
    <n v="82400"/>
    <n v="0"/>
    <n v="6"/>
    <n v="30"/>
    <s v="-"/>
    <n v="0"/>
    <n v="12"/>
    <n v="0"/>
    <n v="0"/>
    <x v="1"/>
    <n v="11"/>
    <s v="LinkedIn"/>
    <m/>
    <n v="8"/>
    <s v="40-49"/>
    <s v="5-10 YIL"/>
    <x v="1"/>
  </r>
  <r>
    <s v="PER0997"/>
    <s v="Hilal Yıldız"/>
    <x v="0"/>
    <d v="1982-04-27T00:00:00"/>
    <n v="44"/>
    <s v="Bekar"/>
    <n v="0"/>
    <s v="Lisans"/>
    <x v="0"/>
    <s v="Üretim Müdürü"/>
    <s v="Manager"/>
    <x v="1"/>
    <s v="Genel Müdür"/>
    <x v="1"/>
    <d v="2010-02-25T00:00:00"/>
    <s v="-"/>
    <x v="2"/>
    <s v="-"/>
    <x v="1"/>
    <n v="104000"/>
    <n v="0"/>
    <n v="5"/>
    <n v="30"/>
    <s v="-"/>
    <n v="0"/>
    <n v="6"/>
    <n v="0"/>
    <n v="0"/>
    <x v="1"/>
    <n v="6"/>
    <s v="Kariyer.net"/>
    <m/>
    <n v="16"/>
    <s v="40-49"/>
    <s v="10+"/>
    <x v="16"/>
  </r>
  <r>
    <s v="PER0998"/>
    <s v="Hüseyin Demir"/>
    <x v="1"/>
    <d v="2004-01-19T00:00:00"/>
    <n v="22"/>
    <s v="Bekar"/>
    <n v="0"/>
    <s v="Doktora"/>
    <x v="0"/>
    <s v="Operatör"/>
    <s v="Junior"/>
    <x v="0"/>
    <s v="Üretim &amp; Operasyon Müdürü"/>
    <x v="0"/>
    <d v="2026-03-28T00:00:00"/>
    <s v="-"/>
    <x v="2"/>
    <s v="-"/>
    <x v="1"/>
    <n v="24600"/>
    <n v="0"/>
    <n v="10"/>
    <n v="30"/>
    <s v="-"/>
    <n v="0"/>
    <n v="0"/>
    <n v="0"/>
    <n v="0"/>
    <x v="3"/>
    <n v="37"/>
    <s v="Kariyer.net"/>
    <m/>
    <n v="0"/>
    <s v="20-29"/>
    <s v="0-1 YIL"/>
    <x v="3"/>
  </r>
  <r>
    <s v="PER0999"/>
    <s v="Ali Kaya"/>
    <x v="1"/>
    <d v="1997-12-20T00:00:00"/>
    <n v="29"/>
    <s v="Evli"/>
    <n v="3"/>
    <s v="Yüksek Lisans"/>
    <x v="0"/>
    <s v="Operatör"/>
    <s v="Junior"/>
    <x v="0"/>
    <s v="Üretim &amp; Operasyon Müdürü"/>
    <x v="2"/>
    <d v="2025-03-03T00:00:00"/>
    <s v="-"/>
    <x v="2"/>
    <s v="-"/>
    <x v="1"/>
    <n v="28700"/>
    <n v="0"/>
    <n v="37"/>
    <n v="30"/>
    <s v="-"/>
    <n v="0"/>
    <n v="8"/>
    <n v="0"/>
    <n v="0"/>
    <x v="3"/>
    <n v="34"/>
    <s v="LinkedIn"/>
    <m/>
    <n v="1"/>
    <s v="20-29"/>
    <s v="1-3 YIL"/>
    <x v="0"/>
  </r>
  <r>
    <s v="PER1000"/>
    <s v="Furkan Aslan"/>
    <x v="1"/>
    <d v="2001-09-16T00:00:00"/>
    <n v="25"/>
    <s v="Evli"/>
    <n v="1"/>
    <s v="Lisans"/>
    <x v="4"/>
    <s v="İK Uzman Yardımcısı"/>
    <s v="Junior"/>
    <x v="1"/>
    <s v="İnsan Kaynakları Müdürü"/>
    <x v="0"/>
    <d v="2025-06-19T00:00:00"/>
    <s v="-"/>
    <x v="2"/>
    <s v="-"/>
    <x v="1"/>
    <n v="37500"/>
    <n v="0"/>
    <n v="4"/>
    <n v="30"/>
    <s v="-"/>
    <n v="0"/>
    <n v="0"/>
    <n v="0"/>
    <n v="0"/>
    <x v="0"/>
    <n v="19"/>
    <s v="Referans"/>
    <m/>
    <n v="1"/>
    <s v="20-29"/>
    <s v="1-3 YIL"/>
    <x v="0"/>
  </r>
  <r>
    <m/>
    <m/>
    <x v="2"/>
    <m/>
    <m/>
    <m/>
    <m/>
    <m/>
    <x v="5"/>
    <m/>
    <m/>
    <x v="2"/>
    <m/>
    <x v="5"/>
    <m/>
    <m/>
    <x v="6"/>
    <m/>
    <x v="2"/>
    <m/>
    <m/>
    <m/>
    <m/>
    <m/>
    <m/>
    <m/>
    <m/>
    <m/>
    <x v="5"/>
    <m/>
    <m/>
    <m/>
    <m/>
    <m/>
    <m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0574B-9D07-45C2-804B-439FBBC7A75A}" name="PivotTable6" cacheId="42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9" rowHeaderCaption="Performans Notu">
  <location ref="I27:J33" firstHeaderRow="1" firstDataRow="1" firstDataCol="1"/>
  <pivotFields count="36"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numFmtId="3" showAll="0"/>
    <pivotField showAll="0"/>
    <pivotField numFmtId="3" showAll="0"/>
    <pivotField showAll="0"/>
    <pivotField showAll="0">
      <items count="7">
        <item x="3"/>
        <item x="2"/>
        <item x="4"/>
        <item x="1"/>
        <item x="0"/>
        <item x="5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7">
        <item x="3"/>
        <item x="4"/>
        <item x="2"/>
        <item x="0"/>
        <item x="1"/>
        <item x="5"/>
        <item t="default"/>
      </items>
    </pivotField>
    <pivotField numFmtId="14" showAll="0"/>
    <pivotField showAll="0"/>
    <pivotField showAll="0"/>
    <pivotField showAll="0"/>
    <pivotField showAll="0"/>
    <pivotField numFmtId="164" showAll="0"/>
    <pivotField numFmtId="164" showAll="0"/>
    <pivotField numFmtId="3" showAll="0"/>
    <pivotField numFmtId="3" showAll="0"/>
    <pivotField showAll="0"/>
    <pivotField numFmtId="3" showAll="0"/>
    <pivotField numFmtId="3" showAll="0"/>
    <pivotField numFmtId="3" showAll="0"/>
    <pivotField numFmtId="3" showAll="0"/>
    <pivotField axis="axisRow" numFmtId="3" showAll="0">
      <items count="7">
        <item x="0"/>
        <item x="4"/>
        <item x="1"/>
        <item x="3"/>
        <item x="2"/>
        <item h="1" x="5"/>
        <item t="default"/>
      </items>
    </pivotField>
    <pivotField dataField="1" numFmtId="3"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talama Eğitim Saati" fld="29" subtotal="average" baseField="28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42AED-712D-440E-8C9C-5D8BDC92004C}" name="PivotTable5" cacheId="42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9">
  <location ref="A29:B35" firstHeaderRow="1" firstDataRow="1" firstDataCol="1" rowPageCount="1" colPageCount="1"/>
  <pivotFields count="36">
    <pivotField dataField="1"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numFmtId="3" showAll="0"/>
    <pivotField showAll="0"/>
    <pivotField numFmtId="3" showAll="0"/>
    <pivotField showAll="0"/>
    <pivotField showAll="0">
      <items count="7">
        <item x="3"/>
        <item x="2"/>
        <item x="4"/>
        <item x="1"/>
        <item x="0"/>
        <item x="5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7">
        <item x="3"/>
        <item x="4"/>
        <item x="2"/>
        <item x="0"/>
        <item x="1"/>
        <item x="5"/>
        <item t="default"/>
      </items>
    </pivotField>
    <pivotField numFmtId="14" showAll="0"/>
    <pivotField showAll="0"/>
    <pivotField axis="axisRow" showAll="0">
      <items count="8">
        <item h="1" x="2"/>
        <item x="5"/>
        <item x="4"/>
        <item x="1"/>
        <item x="3"/>
        <item x="0"/>
        <item h="1" x="6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numFmtId="164" showAll="0"/>
    <pivotField numFmtId="164" showAll="0"/>
    <pivotField numFmtId="3"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item="1" hier="-1"/>
  </pageFields>
  <dataFields count="1">
    <dataField name="Say Sicil No" fld="0" subtotal="count" baseField="1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016A6-81B7-4649-A3FA-A0B6498A2EF5}" name="PivotTable4" cacheId="42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0" rowHeaderCaption="İşe Giriş yılı">
  <location ref="G1:H21" firstHeaderRow="1" firstDataRow="1" firstDataCol="1"/>
  <pivotFields count="36">
    <pivotField dataField="1"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numFmtId="3" showAll="0"/>
    <pivotField showAll="0"/>
    <pivotField numFmtId="3" showAll="0"/>
    <pivotField showAll="0"/>
    <pivotField showAll="0">
      <items count="7">
        <item x="3"/>
        <item x="2"/>
        <item x="4"/>
        <item x="1"/>
        <item x="0"/>
        <item x="5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7">
        <item x="3"/>
        <item x="4"/>
        <item x="2"/>
        <item x="0"/>
        <item x="1"/>
        <item x="5"/>
        <item t="default"/>
      </items>
    </pivotField>
    <pivotField numFmtId="14" showAll="0"/>
    <pivotField showAll="0"/>
    <pivotField showAll="0"/>
    <pivotField showAll="0"/>
    <pivotField showAll="0"/>
    <pivotField numFmtId="164" showAll="0"/>
    <pivotField numFmtId="164" showAll="0"/>
    <pivotField numFmtId="3"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axis="axisRow" showAll="0">
      <items count="21">
        <item x="15"/>
        <item x="17"/>
        <item x="16"/>
        <item x="18"/>
        <item x="12"/>
        <item x="10"/>
        <item x="6"/>
        <item x="8"/>
        <item x="13"/>
        <item x="4"/>
        <item x="1"/>
        <item x="11"/>
        <item x="5"/>
        <item x="14"/>
        <item x="7"/>
        <item x="9"/>
        <item x="2"/>
        <item x="0"/>
        <item x="3"/>
        <item h="1" x="19"/>
        <item t="default"/>
      </items>
    </pivotField>
  </pivotFields>
  <rowFields count="1">
    <field x="3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Kişi" fld="0" subtotal="count" baseField="3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2262D-19D1-4500-8040-42246E325EF8}" name="PivotTable8" cacheId="42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2" rowHeaderCaption="Departman">
  <location ref="A3:C9" firstHeaderRow="0" firstDataRow="1" firstDataCol="1" rowPageCount="1" colPageCount="1"/>
  <pivotFields count="36">
    <pivotField dataField="1" showAll="0"/>
    <pivotField showAll="0"/>
    <pivotField showAll="0">
      <items count="4">
        <item x="1"/>
        <item x="0"/>
        <item x="2"/>
        <item t="default"/>
      </items>
    </pivotField>
    <pivotField showAll="0"/>
    <pivotField numFmtId="3" showAll="0"/>
    <pivotField showAll="0"/>
    <pivotField numFmtId="3" showAll="0"/>
    <pivotField showAll="0"/>
    <pivotField axis="axisRow" showAll="0">
      <items count="7">
        <item x="3"/>
        <item x="2"/>
        <item x="4"/>
        <item x="1"/>
        <item x="0"/>
        <item x="5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7">
        <item x="3"/>
        <item x="4"/>
        <item x="2"/>
        <item x="0"/>
        <item x="1"/>
        <item x="5"/>
        <item t="default"/>
      </items>
    </pivotField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dataField="1" numFmtId="164" showAll="0"/>
    <pivotField numFmtId="164" showAll="0"/>
    <pivotField numFmtId="3"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8" item="0" hier="-1"/>
  </pageFields>
  <dataFields count="2">
    <dataField name="Kişi" fld="0" subtotal="count" baseField="8" baseItem="0"/>
    <dataField name="Ortalama Brüt Maaş" fld="19" subtotal="average" baseField="8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Lokasyon" xr10:uid="{37136679-475F-4726-8DB9-F8525CE8102E}" sourceName="Lokasyon">
  <pivotTables>
    <pivotTable tabId="3" name="PivotTable8"/>
    <pivotTable tabId="3" name="PivotTable4"/>
    <pivotTable tabId="3" name="PivotTable5"/>
    <pivotTable tabId="3" name="PivotTable6"/>
  </pivotTables>
  <data>
    <tabular pivotCacheId="1080123085">
      <items count="6">
        <i x="3" s="1"/>
        <i x="4" s="1"/>
        <i x="2" s="1"/>
        <i x="0" s="1"/>
        <i x="1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aka_Tipi" xr10:uid="{67091D59-65B6-4323-8B64-7114365B865A}" sourceName="Yaka Tipi">
  <pivotTables>
    <pivotTable tabId="3" name="PivotTable8"/>
    <pivotTable tabId="3" name="PivotTable4"/>
    <pivotTable tabId="3" name="PivotTable5"/>
    <pivotTable tabId="3" name="PivotTable6"/>
  </pivotTables>
  <data>
    <tabular pivotCacheId="1080123085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Departman" xr10:uid="{48F2C9E1-E82D-48C9-A147-7D56BA20CA65}" sourceName="Departman">
  <pivotTables>
    <pivotTable tabId="3" name="PivotTable8"/>
    <pivotTable tabId="3" name="PivotTable4"/>
    <pivotTable tabId="3" name="PivotTable5"/>
    <pivotTable tabId="3" name="PivotTable6"/>
  </pivotTables>
  <data>
    <tabular pivotCacheId="1080123085">
      <items count="6">
        <i x="3" s="1"/>
        <i x="2" s="1"/>
        <i x="4" s="1"/>
        <i x="1" s="1"/>
        <i x="0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Cinsiyet" xr10:uid="{C8951274-21A2-4846-AEBA-0655BCC1C88C}" sourceName="Cinsiyet">
  <pivotTables>
    <pivotTable tabId="3" name="PivotTable8"/>
    <pivotTable tabId="3" name="PivotTable4"/>
    <pivotTable tabId="3" name="PivotTable5"/>
    <pivotTable tabId="3" name="PivotTable6"/>
  </pivotTables>
  <data>
    <tabular pivotCacheId="1080123085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kasyon" xr10:uid="{451378C3-4923-41F9-A537-5EE0DC3B165F}" cache="Dilimleyici_Lokasyon" caption="Lokasyon" rowHeight="234950"/>
  <slicer name="Yaka Tipi" xr10:uid="{DD6F9067-F029-49AD-B711-C92D93F5D6B8}" cache="Dilimleyici_Yaka_Tipi" caption="Yaka Tipi" rowHeight="234950"/>
  <slicer name="Departman" xr10:uid="{0548D850-322F-4B6D-9372-74AA87BF2FE8}" cache="Dilimleyici_Departman" caption="Departman" rowHeight="234950"/>
  <slicer name="Cinsiyet" xr10:uid="{DD010853-F7B9-41C9-86C1-E0039D6DFAD0}" cache="Dilimleyici_Cinsiyet" caption="Cinsiyet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opLeftCell="AA1" workbookViewId="0">
      <pane ySplit="1" topLeftCell="A131" activePane="bottomLeft" state="frozen"/>
      <selection pane="bottomLeft" activeCell="AL126" sqref="AL126"/>
    </sheetView>
  </sheetViews>
  <sheetFormatPr defaultRowHeight="14.4" x14ac:dyDescent="0.3"/>
  <cols>
    <col min="1" max="1" width="12" customWidth="1"/>
    <col min="2" max="2" width="18" customWidth="1"/>
    <col min="3" max="3" width="12" customWidth="1"/>
    <col min="4" max="4" width="15" style="32" customWidth="1"/>
    <col min="5" max="5" width="12" customWidth="1"/>
    <col min="6" max="7" width="15" customWidth="1"/>
    <col min="8" max="8" width="16" customWidth="1"/>
    <col min="9" max="9" width="22" customWidth="1"/>
    <col min="10" max="10" width="27" customWidth="1"/>
    <col min="11" max="11" width="12" customWidth="1"/>
    <col min="12" max="12" width="13" customWidth="1"/>
    <col min="13" max="13" width="29" customWidth="1"/>
    <col min="14" max="14" width="18" customWidth="1"/>
    <col min="15" max="15" width="19" style="15" customWidth="1"/>
    <col min="16" max="16" width="19" customWidth="1"/>
    <col min="17" max="17" width="31" customWidth="1"/>
    <col min="18" max="18" width="17" customWidth="1"/>
    <col min="19" max="21" width="12" customWidth="1"/>
    <col min="22" max="22" width="21" customWidth="1"/>
    <col min="23" max="23" width="17" customWidth="1"/>
    <col min="24" max="25" width="19" customWidth="1"/>
    <col min="26" max="26" width="25" customWidth="1"/>
    <col min="27" max="27" width="20" customWidth="1"/>
    <col min="28" max="29" width="18" customWidth="1"/>
    <col min="30" max="30" width="15" customWidth="1"/>
    <col min="31" max="31" width="22" customWidth="1"/>
    <col min="34" max="34" width="9.44140625" style="23" bestFit="1" customWidth="1"/>
    <col min="35" max="35" width="12.21875" style="24" customWidth="1"/>
  </cols>
  <sheetData>
    <row r="1" spans="1:37" ht="28.05" customHeight="1" x14ac:dyDescent="0.3">
      <c r="A1" s="1" t="s">
        <v>0</v>
      </c>
      <c r="B1" s="1" t="s">
        <v>1</v>
      </c>
      <c r="C1" s="1" t="s">
        <v>2</v>
      </c>
      <c r="D1" s="3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s="16" t="s">
        <v>1507</v>
      </c>
      <c r="AH1" s="16" t="s">
        <v>1514</v>
      </c>
      <c r="AI1" s="23" t="s">
        <v>1515</v>
      </c>
      <c r="AJ1" t="s">
        <v>1532</v>
      </c>
      <c r="AK1" t="s">
        <v>1540</v>
      </c>
    </row>
    <row r="2" spans="1:37" x14ac:dyDescent="0.3">
      <c r="A2" s="2" t="s">
        <v>31</v>
      </c>
      <c r="B2" s="3" t="s">
        <v>32</v>
      </c>
      <c r="C2" s="2" t="s">
        <v>33</v>
      </c>
      <c r="D2" s="13">
        <v>35528</v>
      </c>
      <c r="E2" s="4">
        <v>29</v>
      </c>
      <c r="F2" s="2" t="s">
        <v>34</v>
      </c>
      <c r="G2" s="4">
        <v>0</v>
      </c>
      <c r="H2" s="2" t="s">
        <v>35</v>
      </c>
      <c r="I2" s="3" t="s">
        <v>36</v>
      </c>
      <c r="J2" s="3" t="s">
        <v>37</v>
      </c>
      <c r="K2" s="2" t="s">
        <v>38</v>
      </c>
      <c r="L2" s="2" t="s">
        <v>39</v>
      </c>
      <c r="M2" s="3" t="s">
        <v>40</v>
      </c>
      <c r="N2" s="2" t="s">
        <v>41</v>
      </c>
      <c r="O2" s="13">
        <v>46022</v>
      </c>
      <c r="P2" s="13">
        <v>46139</v>
      </c>
      <c r="Q2" s="3" t="s">
        <v>42</v>
      </c>
      <c r="R2" s="2">
        <v>3</v>
      </c>
      <c r="S2" s="2" t="s">
        <v>43</v>
      </c>
      <c r="T2" s="5">
        <v>24800</v>
      </c>
      <c r="U2" s="5">
        <v>0</v>
      </c>
      <c r="V2" s="4">
        <v>30</v>
      </c>
      <c r="W2" s="4">
        <v>30</v>
      </c>
      <c r="X2" s="2" t="s">
        <v>44</v>
      </c>
      <c r="Y2" s="4">
        <v>0</v>
      </c>
      <c r="Z2" s="4">
        <v>0</v>
      </c>
      <c r="AA2" s="4">
        <v>0</v>
      </c>
      <c r="AB2" s="4">
        <v>0</v>
      </c>
      <c r="AC2" s="4">
        <v>1</v>
      </c>
      <c r="AD2" s="4">
        <v>11</v>
      </c>
      <c r="AE2" s="3" t="s">
        <v>45</v>
      </c>
      <c r="AG2">
        <f ca="1">DATEDIF(O2,TODAY(),"Y")</f>
        <v>0</v>
      </c>
      <c r="AH2" s="23" t="str" cm="1">
        <f t="array" ref="AH2">_xlfn.IFS(E2&gt;49,"50+",E2&gt;39,"40-49",E2&gt;29,"30-39",E2&gt;19,"20-29")</f>
        <v>20-29</v>
      </c>
      <c r="AI2" s="24" t="str" cm="1">
        <f t="array" aca="1" ref="AI2" ca="1">_xlfn.IFS(AG2&gt;10,"10+",AG2&gt;4,"5-10 YIL",AG2&gt;2,"3-5 YIL",AG2&gt;0.9,"1-3 YIL",AG2&lt;1,"0-1 YIL")</f>
        <v>0-1 YIL</v>
      </c>
      <c r="AJ2">
        <f>YEAR(O2)</f>
        <v>2025</v>
      </c>
      <c r="AK2">
        <f>YEAR(P2)</f>
        <v>2026</v>
      </c>
    </row>
    <row r="3" spans="1:37" x14ac:dyDescent="0.3">
      <c r="A3" s="6" t="s">
        <v>46</v>
      </c>
      <c r="B3" s="7" t="s">
        <v>47</v>
      </c>
      <c r="C3" s="6" t="s">
        <v>48</v>
      </c>
      <c r="D3" s="14">
        <v>33854</v>
      </c>
      <c r="E3" s="8">
        <v>34</v>
      </c>
      <c r="F3" s="6" t="s">
        <v>49</v>
      </c>
      <c r="G3" s="8">
        <v>1</v>
      </c>
      <c r="H3" s="6" t="s">
        <v>35</v>
      </c>
      <c r="I3" s="7" t="s">
        <v>36</v>
      </c>
      <c r="J3" s="7" t="s">
        <v>50</v>
      </c>
      <c r="K3" s="6" t="s">
        <v>51</v>
      </c>
      <c r="L3" s="6" t="s">
        <v>39</v>
      </c>
      <c r="M3" s="7" t="s">
        <v>40</v>
      </c>
      <c r="N3" s="6" t="s">
        <v>52</v>
      </c>
      <c r="O3" s="14">
        <v>43344</v>
      </c>
      <c r="P3" s="14">
        <v>45737</v>
      </c>
      <c r="Q3" s="7" t="s">
        <v>53</v>
      </c>
      <c r="R3" s="6">
        <v>4</v>
      </c>
      <c r="S3" s="6" t="s">
        <v>43</v>
      </c>
      <c r="T3" s="9">
        <v>41100</v>
      </c>
      <c r="U3" s="9">
        <v>0</v>
      </c>
      <c r="V3" s="8">
        <v>35</v>
      </c>
      <c r="W3" s="8">
        <v>30</v>
      </c>
      <c r="X3" s="6" t="s">
        <v>44</v>
      </c>
      <c r="Y3" s="8">
        <v>0</v>
      </c>
      <c r="Z3" s="8">
        <v>14</v>
      </c>
      <c r="AA3" s="8">
        <v>0</v>
      </c>
      <c r="AB3" s="8">
        <v>0</v>
      </c>
      <c r="AC3" s="8">
        <v>3</v>
      </c>
      <c r="AD3" s="8">
        <v>9</v>
      </c>
      <c r="AE3" s="7" t="s">
        <v>45</v>
      </c>
      <c r="AG3">
        <f t="shared" ref="AG3:AG66" ca="1" si="0">DATEDIF(O3,TODAY(),"Y")</f>
        <v>7</v>
      </c>
      <c r="AH3" s="23" t="str" cm="1">
        <f t="array" ref="AH3">_xlfn.IFS(E3&gt;49,"50+",E3&gt;39,"40-49",E3&gt;29,"30-39",E3&gt;19,"20-29")</f>
        <v>30-39</v>
      </c>
      <c r="AI3" s="24" t="str" cm="1">
        <f t="array" aca="1" ref="AI3" ca="1">_xlfn.IFS(AG3&gt;10,"10+",AG3&gt;4,"5-10 YIL",AG3&gt;2,"3-5 YIL",AG3&gt;0.9,"1-3 YIL",AG3&lt;1,"0-1 YIL")</f>
        <v>5-10 YIL</v>
      </c>
      <c r="AJ3">
        <f t="shared" ref="AJ3:AJ66" si="1">YEAR(O3)</f>
        <v>2018</v>
      </c>
      <c r="AK3">
        <f t="shared" ref="AK3:AK66" si="2">YEAR(P3)</f>
        <v>2025</v>
      </c>
    </row>
    <row r="4" spans="1:37" x14ac:dyDescent="0.3">
      <c r="A4" s="2" t="s">
        <v>54</v>
      </c>
      <c r="B4" s="3" t="s">
        <v>55</v>
      </c>
      <c r="C4" s="2" t="s">
        <v>48</v>
      </c>
      <c r="D4" s="13">
        <v>36080</v>
      </c>
      <c r="E4" s="4">
        <v>28</v>
      </c>
      <c r="F4" s="2" t="s">
        <v>34</v>
      </c>
      <c r="G4" s="4">
        <v>0</v>
      </c>
      <c r="H4" s="2" t="s">
        <v>35</v>
      </c>
      <c r="I4" s="3" t="s">
        <v>36</v>
      </c>
      <c r="J4" s="3" t="s">
        <v>37</v>
      </c>
      <c r="K4" s="2" t="s">
        <v>38</v>
      </c>
      <c r="L4" s="2" t="s">
        <v>39</v>
      </c>
      <c r="M4" s="3" t="s">
        <v>40</v>
      </c>
      <c r="N4" s="2" t="s">
        <v>41</v>
      </c>
      <c r="O4" s="13">
        <v>45647</v>
      </c>
      <c r="P4" s="2" t="s">
        <v>44</v>
      </c>
      <c r="Q4" s="3" t="s">
        <v>44</v>
      </c>
      <c r="R4" s="2" t="s">
        <v>44</v>
      </c>
      <c r="S4" s="2" t="s">
        <v>56</v>
      </c>
      <c r="T4" s="5">
        <v>28400</v>
      </c>
      <c r="U4" s="5">
        <v>0</v>
      </c>
      <c r="V4" s="4">
        <v>40</v>
      </c>
      <c r="W4" s="4">
        <v>27</v>
      </c>
      <c r="X4" s="2" t="s">
        <v>57</v>
      </c>
      <c r="Y4" s="4">
        <v>3</v>
      </c>
      <c r="Z4" s="4">
        <v>6</v>
      </c>
      <c r="AA4" s="4">
        <v>0</v>
      </c>
      <c r="AB4" s="4">
        <v>0</v>
      </c>
      <c r="AC4" s="4">
        <v>5</v>
      </c>
      <c r="AD4" s="4">
        <v>32</v>
      </c>
      <c r="AE4" s="3" t="s">
        <v>58</v>
      </c>
      <c r="AG4">
        <f t="shared" ca="1" si="0"/>
        <v>1</v>
      </c>
      <c r="AH4" s="23" t="str" cm="1">
        <f t="array" ref="AH4">_xlfn.IFS(E4&gt;49,"50+",E4&gt;39,"40-49",E4&gt;29,"30-39",E4&gt;19,"20-29")</f>
        <v>20-29</v>
      </c>
      <c r="AI4" s="24" t="str" cm="1">
        <f t="array" aca="1" ref="AI4" ca="1">_xlfn.IFS(AG4&gt;10,"10+",AG4&gt;4,"5-10 YIL",AG4&gt;2,"3-5 YIL",AG4&gt;0.9,"1-3 YIL",AG4&lt;1,"0-1 YIL")</f>
        <v>1-3 YIL</v>
      </c>
      <c r="AJ4">
        <f t="shared" si="1"/>
        <v>2024</v>
      </c>
      <c r="AK4" t="e">
        <f t="shared" si="2"/>
        <v>#VALUE!</v>
      </c>
    </row>
    <row r="5" spans="1:37" x14ac:dyDescent="0.3">
      <c r="A5" s="6" t="s">
        <v>59</v>
      </c>
      <c r="B5" s="7" t="s">
        <v>60</v>
      </c>
      <c r="C5" s="6" t="s">
        <v>33</v>
      </c>
      <c r="D5" s="14">
        <v>36008</v>
      </c>
      <c r="E5" s="8">
        <v>28</v>
      </c>
      <c r="F5" s="6" t="s">
        <v>49</v>
      </c>
      <c r="G5" s="8">
        <v>0</v>
      </c>
      <c r="H5" s="6" t="s">
        <v>35</v>
      </c>
      <c r="I5" s="7" t="s">
        <v>61</v>
      </c>
      <c r="J5" s="7" t="s">
        <v>62</v>
      </c>
      <c r="K5" s="6" t="s">
        <v>38</v>
      </c>
      <c r="L5" s="6" t="s">
        <v>63</v>
      </c>
      <c r="M5" s="7" t="s">
        <v>64</v>
      </c>
      <c r="N5" s="6" t="s">
        <v>41</v>
      </c>
      <c r="O5" s="14">
        <v>46038</v>
      </c>
      <c r="P5" s="6" t="s">
        <v>44</v>
      </c>
      <c r="Q5" s="7" t="s">
        <v>44</v>
      </c>
      <c r="R5" s="6" t="s">
        <v>44</v>
      </c>
      <c r="S5" s="6" t="s">
        <v>56</v>
      </c>
      <c r="T5" s="9">
        <v>34900</v>
      </c>
      <c r="U5" s="9">
        <v>9900</v>
      </c>
      <c r="V5" s="8">
        <v>4</v>
      </c>
      <c r="W5" s="8">
        <v>27</v>
      </c>
      <c r="X5" s="6" t="s">
        <v>57</v>
      </c>
      <c r="Y5" s="8">
        <v>3</v>
      </c>
      <c r="Z5" s="8">
        <v>0</v>
      </c>
      <c r="AA5" s="8">
        <v>0</v>
      </c>
      <c r="AB5" s="8">
        <v>0</v>
      </c>
      <c r="AC5" s="8">
        <v>4</v>
      </c>
      <c r="AD5" s="8">
        <v>20</v>
      </c>
      <c r="AE5" s="7" t="s">
        <v>58</v>
      </c>
      <c r="AG5">
        <f t="shared" ca="1" si="0"/>
        <v>0</v>
      </c>
      <c r="AH5" s="23" t="str" cm="1">
        <f t="array" ref="AH5">_xlfn.IFS(E5&gt;49,"50+",E5&gt;39,"40-49",E5&gt;29,"30-39",E5&gt;19,"20-29")</f>
        <v>20-29</v>
      </c>
      <c r="AI5" s="24" t="str" cm="1">
        <f t="array" aca="1" ref="AI5" ca="1">_xlfn.IFS(AG5&gt;10,"10+",AG5&gt;4,"5-10 YIL",AG5&gt;2,"3-5 YIL",AG5&gt;0.9,"1-3 YIL",AG5&lt;1,"0-1 YIL")</f>
        <v>0-1 YIL</v>
      </c>
      <c r="AJ5">
        <f t="shared" si="1"/>
        <v>2026</v>
      </c>
      <c r="AK5" t="e">
        <f t="shared" si="2"/>
        <v>#VALUE!</v>
      </c>
    </row>
    <row r="6" spans="1:37" x14ac:dyDescent="0.3">
      <c r="A6" s="2" t="s">
        <v>65</v>
      </c>
      <c r="B6" s="3" t="s">
        <v>66</v>
      </c>
      <c r="C6" s="2" t="s">
        <v>33</v>
      </c>
      <c r="D6" s="13">
        <v>37316</v>
      </c>
      <c r="E6" s="4">
        <v>24</v>
      </c>
      <c r="F6" s="2" t="s">
        <v>34</v>
      </c>
      <c r="G6" s="4">
        <v>0</v>
      </c>
      <c r="H6" s="2" t="s">
        <v>35</v>
      </c>
      <c r="I6" s="3" t="s">
        <v>36</v>
      </c>
      <c r="J6" s="3" t="s">
        <v>37</v>
      </c>
      <c r="K6" s="2" t="s">
        <v>38</v>
      </c>
      <c r="L6" s="2" t="s">
        <v>39</v>
      </c>
      <c r="M6" s="3" t="s">
        <v>40</v>
      </c>
      <c r="N6" s="2" t="s">
        <v>67</v>
      </c>
      <c r="O6" s="13">
        <v>46169</v>
      </c>
      <c r="P6" s="2" t="s">
        <v>44</v>
      </c>
      <c r="Q6" s="3" t="s">
        <v>44</v>
      </c>
      <c r="R6" s="2" t="s">
        <v>44</v>
      </c>
      <c r="S6" s="2" t="s">
        <v>56</v>
      </c>
      <c r="T6" s="5">
        <v>26200</v>
      </c>
      <c r="U6" s="5">
        <v>0</v>
      </c>
      <c r="V6" s="4">
        <v>18</v>
      </c>
      <c r="W6" s="4">
        <v>29</v>
      </c>
      <c r="X6" s="2" t="s">
        <v>57</v>
      </c>
      <c r="Y6" s="4">
        <v>1</v>
      </c>
      <c r="Z6" s="4">
        <v>0</v>
      </c>
      <c r="AA6" s="4">
        <v>0</v>
      </c>
      <c r="AB6" s="4">
        <v>0</v>
      </c>
      <c r="AC6" s="4">
        <v>3</v>
      </c>
      <c r="AD6" s="4">
        <v>8</v>
      </c>
      <c r="AE6" s="3" t="s">
        <v>58</v>
      </c>
      <c r="AG6">
        <f t="shared" ca="1" si="0"/>
        <v>0</v>
      </c>
      <c r="AH6" s="23" t="str" cm="1">
        <f t="array" ref="AH6">_xlfn.IFS(E6&gt;49,"50+",E6&gt;39,"40-49",E6&gt;29,"30-39",E6&gt;19,"20-29")</f>
        <v>20-29</v>
      </c>
      <c r="AI6" s="24" t="str" cm="1">
        <f t="array" aca="1" ref="AI6" ca="1">_xlfn.IFS(AG6&gt;10,"10+",AG6&gt;4,"5-10 YIL",AG6&gt;2,"3-5 YIL",AG6&gt;0.9,"1-3 YIL",AG6&lt;1,"0-1 YIL")</f>
        <v>0-1 YIL</v>
      </c>
      <c r="AJ6">
        <f t="shared" si="1"/>
        <v>2026</v>
      </c>
      <c r="AK6" t="e">
        <f t="shared" si="2"/>
        <v>#VALUE!</v>
      </c>
    </row>
    <row r="7" spans="1:37" x14ac:dyDescent="0.3">
      <c r="A7" s="6" t="s">
        <v>68</v>
      </c>
      <c r="B7" s="7" t="s">
        <v>69</v>
      </c>
      <c r="C7" s="6" t="s">
        <v>48</v>
      </c>
      <c r="D7" s="14">
        <v>29557</v>
      </c>
      <c r="E7" s="8">
        <v>46</v>
      </c>
      <c r="F7" s="6" t="s">
        <v>49</v>
      </c>
      <c r="G7" s="8">
        <v>1</v>
      </c>
      <c r="H7" s="6" t="s">
        <v>35</v>
      </c>
      <c r="I7" s="7" t="s">
        <v>70</v>
      </c>
      <c r="J7" s="7" t="s">
        <v>71</v>
      </c>
      <c r="K7" s="6" t="s">
        <v>51</v>
      </c>
      <c r="L7" s="6" t="s">
        <v>63</v>
      </c>
      <c r="M7" s="7" t="s">
        <v>72</v>
      </c>
      <c r="N7" s="6" t="s">
        <v>41</v>
      </c>
      <c r="O7" s="14">
        <v>43082</v>
      </c>
      <c r="P7" s="6" t="s">
        <v>44</v>
      </c>
      <c r="Q7" s="7" t="s">
        <v>44</v>
      </c>
      <c r="R7" s="6" t="s">
        <v>44</v>
      </c>
      <c r="S7" s="6" t="s">
        <v>56</v>
      </c>
      <c r="T7" s="9">
        <v>62400</v>
      </c>
      <c r="U7" s="9">
        <v>8600</v>
      </c>
      <c r="V7" s="8">
        <v>3</v>
      </c>
      <c r="W7" s="8">
        <v>28</v>
      </c>
      <c r="X7" s="6" t="s">
        <v>57</v>
      </c>
      <c r="Y7" s="8">
        <v>2</v>
      </c>
      <c r="Z7" s="8">
        <v>9</v>
      </c>
      <c r="AA7" s="8">
        <v>0</v>
      </c>
      <c r="AB7" s="8">
        <v>0</v>
      </c>
      <c r="AC7" s="8">
        <v>2</v>
      </c>
      <c r="AD7" s="8">
        <v>8</v>
      </c>
      <c r="AE7" s="7" t="s">
        <v>73</v>
      </c>
      <c r="AG7">
        <f t="shared" ca="1" si="0"/>
        <v>8</v>
      </c>
      <c r="AH7" s="23" t="str" cm="1">
        <f t="array" ref="AH7">_xlfn.IFS(E7&gt;49,"50+",E7&gt;39,"40-49",E7&gt;29,"30-39",E7&gt;19,"20-29")</f>
        <v>40-49</v>
      </c>
      <c r="AI7" s="24" t="str" cm="1">
        <f t="array" aca="1" ref="AI7" ca="1">_xlfn.IFS(AG7&gt;10,"10+",AG7&gt;4,"5-10 YIL",AG7&gt;2,"3-5 YIL",AG7&gt;0.9,"1-3 YIL",AG7&lt;1,"0-1 YIL")</f>
        <v>5-10 YIL</v>
      </c>
      <c r="AJ7">
        <f t="shared" si="1"/>
        <v>2017</v>
      </c>
      <c r="AK7" t="e">
        <f t="shared" si="2"/>
        <v>#VALUE!</v>
      </c>
    </row>
    <row r="8" spans="1:37" x14ac:dyDescent="0.3">
      <c r="A8" s="2" t="s">
        <v>74</v>
      </c>
      <c r="B8" s="3" t="s">
        <v>75</v>
      </c>
      <c r="C8" s="2" t="s">
        <v>33</v>
      </c>
      <c r="D8" s="13">
        <v>38272</v>
      </c>
      <c r="E8" s="4">
        <v>22</v>
      </c>
      <c r="F8" s="2" t="s">
        <v>49</v>
      </c>
      <c r="G8" s="4">
        <v>1</v>
      </c>
      <c r="H8" s="2" t="s">
        <v>35</v>
      </c>
      <c r="I8" s="3" t="s">
        <v>36</v>
      </c>
      <c r="J8" s="3" t="s">
        <v>37</v>
      </c>
      <c r="K8" s="2" t="s">
        <v>38</v>
      </c>
      <c r="L8" s="2" t="s">
        <v>39</v>
      </c>
      <c r="M8" s="3" t="s">
        <v>40</v>
      </c>
      <c r="N8" s="2" t="s">
        <v>41</v>
      </c>
      <c r="O8" s="13">
        <v>45292</v>
      </c>
      <c r="P8" s="13">
        <v>45695</v>
      </c>
      <c r="Q8" s="3" t="s">
        <v>53</v>
      </c>
      <c r="R8" s="2">
        <v>4</v>
      </c>
      <c r="S8" s="2" t="s">
        <v>43</v>
      </c>
      <c r="T8" s="5">
        <v>26500</v>
      </c>
      <c r="U8" s="5">
        <v>0</v>
      </c>
      <c r="V8" s="4">
        <v>21</v>
      </c>
      <c r="W8" s="4">
        <v>30</v>
      </c>
      <c r="X8" s="2" t="s">
        <v>44</v>
      </c>
      <c r="Y8" s="4">
        <v>0</v>
      </c>
      <c r="Z8" s="4">
        <v>0</v>
      </c>
      <c r="AA8" s="4">
        <v>0</v>
      </c>
      <c r="AB8" s="4">
        <v>0</v>
      </c>
      <c r="AC8" s="4">
        <v>5</v>
      </c>
      <c r="AD8" s="4">
        <v>38</v>
      </c>
      <c r="AE8" s="3" t="s">
        <v>58</v>
      </c>
      <c r="AG8">
        <f t="shared" ca="1" si="0"/>
        <v>2</v>
      </c>
      <c r="AH8" s="23" t="str" cm="1">
        <f t="array" ref="AH8">_xlfn.IFS(E8&gt;49,"50+",E8&gt;39,"40-49",E8&gt;29,"30-39",E8&gt;19,"20-29")</f>
        <v>20-29</v>
      </c>
      <c r="AI8" s="24" t="str" cm="1">
        <f t="array" aca="1" ref="AI8" ca="1">_xlfn.IFS(AG8&gt;10,"10+",AG8&gt;4,"5-10 YIL",AG8&gt;2,"3-5 YIL",AG8&gt;0.9,"1-3 YIL",AG8&lt;1,"0-1 YIL")</f>
        <v>1-3 YIL</v>
      </c>
      <c r="AJ8">
        <f t="shared" si="1"/>
        <v>2024</v>
      </c>
      <c r="AK8">
        <f t="shared" si="2"/>
        <v>2025</v>
      </c>
    </row>
    <row r="9" spans="1:37" x14ac:dyDescent="0.3">
      <c r="A9" s="6" t="s">
        <v>76</v>
      </c>
      <c r="B9" s="7" t="s">
        <v>77</v>
      </c>
      <c r="C9" s="6" t="s">
        <v>48</v>
      </c>
      <c r="D9" s="14">
        <v>25395</v>
      </c>
      <c r="E9" s="8">
        <v>57</v>
      </c>
      <c r="F9" s="6" t="s">
        <v>49</v>
      </c>
      <c r="G9" s="8">
        <v>3</v>
      </c>
      <c r="H9" s="6" t="s">
        <v>35</v>
      </c>
      <c r="I9" s="7" t="s">
        <v>36</v>
      </c>
      <c r="J9" s="7" t="s">
        <v>78</v>
      </c>
      <c r="K9" s="6" t="s">
        <v>79</v>
      </c>
      <c r="L9" s="6" t="s">
        <v>63</v>
      </c>
      <c r="M9" s="7" t="s">
        <v>80</v>
      </c>
      <c r="N9" s="6" t="s">
        <v>41</v>
      </c>
      <c r="O9" s="14">
        <v>43068</v>
      </c>
      <c r="P9" s="6" t="s">
        <v>44</v>
      </c>
      <c r="Q9" s="7" t="s">
        <v>44</v>
      </c>
      <c r="R9" s="6" t="s">
        <v>44</v>
      </c>
      <c r="S9" s="6" t="s">
        <v>56</v>
      </c>
      <c r="T9" s="9">
        <v>104100</v>
      </c>
      <c r="U9" s="9">
        <v>0</v>
      </c>
      <c r="V9" s="8">
        <v>7</v>
      </c>
      <c r="W9" s="8">
        <v>27</v>
      </c>
      <c r="X9" s="6" t="s">
        <v>81</v>
      </c>
      <c r="Y9" s="8">
        <v>0</v>
      </c>
      <c r="Z9" s="8">
        <v>5</v>
      </c>
      <c r="AA9" s="8">
        <v>3</v>
      </c>
      <c r="AB9" s="8">
        <v>0</v>
      </c>
      <c r="AC9" s="8">
        <v>3</v>
      </c>
      <c r="AD9" s="8">
        <v>17</v>
      </c>
      <c r="AE9" s="7" t="s">
        <v>82</v>
      </c>
      <c r="AG9">
        <f t="shared" ca="1" si="0"/>
        <v>8</v>
      </c>
      <c r="AH9" s="23" t="str" cm="1">
        <f t="array" ref="AH9">_xlfn.IFS(E9&gt;49,"50+",E9&gt;39,"40-49",E9&gt;29,"30-39",E9&gt;19,"20-29")</f>
        <v>50+</v>
      </c>
      <c r="AI9" s="24" t="str" cm="1">
        <f t="array" aca="1" ref="AI9" ca="1">_xlfn.IFS(AG9&gt;10,"10+",AG9&gt;4,"5-10 YIL",AG9&gt;2,"3-5 YIL",AG9&gt;0.9,"1-3 YIL",AG9&lt;1,"0-1 YIL")</f>
        <v>5-10 YIL</v>
      </c>
      <c r="AJ9">
        <f t="shared" si="1"/>
        <v>2017</v>
      </c>
      <c r="AK9" t="e">
        <f t="shared" si="2"/>
        <v>#VALUE!</v>
      </c>
    </row>
    <row r="10" spans="1:37" x14ac:dyDescent="0.3">
      <c r="A10" s="2" t="s">
        <v>83</v>
      </c>
      <c r="B10" s="3" t="s">
        <v>84</v>
      </c>
      <c r="C10" s="2" t="s">
        <v>33</v>
      </c>
      <c r="D10" s="13">
        <v>29422</v>
      </c>
      <c r="E10" s="4">
        <v>46</v>
      </c>
      <c r="F10" s="2" t="s">
        <v>34</v>
      </c>
      <c r="G10" s="4">
        <v>0</v>
      </c>
      <c r="H10" s="2" t="s">
        <v>85</v>
      </c>
      <c r="I10" s="3" t="s">
        <v>36</v>
      </c>
      <c r="J10" s="3" t="s">
        <v>50</v>
      </c>
      <c r="K10" s="2" t="s">
        <v>51</v>
      </c>
      <c r="L10" s="2" t="s">
        <v>39</v>
      </c>
      <c r="M10" s="3" t="s">
        <v>40</v>
      </c>
      <c r="N10" s="2" t="s">
        <v>41</v>
      </c>
      <c r="O10" s="13">
        <v>43855</v>
      </c>
      <c r="P10" s="2" t="s">
        <v>44</v>
      </c>
      <c r="Q10" s="3" t="s">
        <v>44</v>
      </c>
      <c r="R10" s="2" t="s">
        <v>44</v>
      </c>
      <c r="S10" s="2" t="s">
        <v>56</v>
      </c>
      <c r="T10" s="5">
        <v>44700</v>
      </c>
      <c r="U10" s="5">
        <v>0</v>
      </c>
      <c r="V10" s="4">
        <v>20</v>
      </c>
      <c r="W10" s="4">
        <v>30</v>
      </c>
      <c r="X10" s="2" t="s">
        <v>44</v>
      </c>
      <c r="Y10" s="4">
        <v>0</v>
      </c>
      <c r="Z10" s="4">
        <v>6</v>
      </c>
      <c r="AA10" s="4">
        <v>0</v>
      </c>
      <c r="AB10" s="4">
        <v>0</v>
      </c>
      <c r="AC10" s="4">
        <v>3</v>
      </c>
      <c r="AD10" s="4">
        <v>8</v>
      </c>
      <c r="AE10" s="3" t="s">
        <v>58</v>
      </c>
      <c r="AG10">
        <f t="shared" ca="1" si="0"/>
        <v>6</v>
      </c>
      <c r="AH10" s="23" t="str" cm="1">
        <f t="array" ref="AH10">_xlfn.IFS(E10&gt;49,"50+",E10&gt;39,"40-49",E10&gt;29,"30-39",E10&gt;19,"20-29")</f>
        <v>40-49</v>
      </c>
      <c r="AI10" s="24" t="str" cm="1">
        <f t="array" aca="1" ref="AI10" ca="1">_xlfn.IFS(AG10&gt;10,"10+",AG10&gt;4,"5-10 YIL",AG10&gt;2,"3-5 YIL",AG10&gt;0.9,"1-3 YIL",AG10&lt;1,"0-1 YIL")</f>
        <v>5-10 YIL</v>
      </c>
      <c r="AJ10">
        <f t="shared" si="1"/>
        <v>2020</v>
      </c>
      <c r="AK10" t="e">
        <f t="shared" si="2"/>
        <v>#VALUE!</v>
      </c>
    </row>
    <row r="11" spans="1:37" x14ac:dyDescent="0.3">
      <c r="A11" s="6" t="s">
        <v>86</v>
      </c>
      <c r="B11" s="7" t="s">
        <v>87</v>
      </c>
      <c r="C11" s="6" t="s">
        <v>48</v>
      </c>
      <c r="D11" s="14">
        <v>32951</v>
      </c>
      <c r="E11" s="8">
        <v>36</v>
      </c>
      <c r="F11" s="6" t="s">
        <v>49</v>
      </c>
      <c r="G11" s="8">
        <v>0</v>
      </c>
      <c r="H11" s="6" t="s">
        <v>88</v>
      </c>
      <c r="I11" s="7" t="s">
        <v>70</v>
      </c>
      <c r="J11" s="7" t="s">
        <v>71</v>
      </c>
      <c r="K11" s="6" t="s">
        <v>51</v>
      </c>
      <c r="L11" s="6" t="s">
        <v>63</v>
      </c>
      <c r="M11" s="7" t="s">
        <v>72</v>
      </c>
      <c r="N11" s="6" t="s">
        <v>89</v>
      </c>
      <c r="O11" s="14">
        <v>41853</v>
      </c>
      <c r="P11" s="6" t="s">
        <v>44</v>
      </c>
      <c r="Q11" s="7" t="s">
        <v>44</v>
      </c>
      <c r="R11" s="6" t="s">
        <v>44</v>
      </c>
      <c r="S11" s="6" t="s">
        <v>56</v>
      </c>
      <c r="T11" s="9">
        <v>65000</v>
      </c>
      <c r="U11" s="9">
        <v>5900</v>
      </c>
      <c r="V11" s="8">
        <v>3</v>
      </c>
      <c r="W11" s="8">
        <v>30</v>
      </c>
      <c r="X11" s="6" t="s">
        <v>44</v>
      </c>
      <c r="Y11" s="8">
        <v>0</v>
      </c>
      <c r="Z11" s="8">
        <v>5</v>
      </c>
      <c r="AA11" s="8">
        <v>0</v>
      </c>
      <c r="AB11" s="8">
        <v>0</v>
      </c>
      <c r="AC11" s="8">
        <v>3</v>
      </c>
      <c r="AD11" s="8">
        <v>4</v>
      </c>
      <c r="AE11" s="7" t="s">
        <v>58</v>
      </c>
      <c r="AG11">
        <f t="shared" ca="1" si="0"/>
        <v>11</v>
      </c>
      <c r="AH11" s="23" t="str" cm="1">
        <f t="array" ref="AH11">_xlfn.IFS(E11&gt;49,"50+",E11&gt;39,"40-49",E11&gt;29,"30-39",E11&gt;19,"20-29")</f>
        <v>30-39</v>
      </c>
      <c r="AI11" s="24" t="str" cm="1">
        <f t="array" aca="1" ref="AI11" ca="1">_xlfn.IFS(AG11&gt;10,"10+",AG11&gt;4,"5-10 YIL",AG11&gt;2,"3-5 YIL",AG11&gt;0.9,"1-3 YIL",AG11&lt;1,"0-1 YIL")</f>
        <v>10+</v>
      </c>
      <c r="AJ11">
        <f t="shared" si="1"/>
        <v>2014</v>
      </c>
      <c r="AK11" t="e">
        <f t="shared" si="2"/>
        <v>#VALUE!</v>
      </c>
    </row>
    <row r="12" spans="1:37" x14ac:dyDescent="0.3">
      <c r="A12" s="2" t="s">
        <v>90</v>
      </c>
      <c r="B12" s="3" t="s">
        <v>91</v>
      </c>
      <c r="C12" s="2" t="s">
        <v>48</v>
      </c>
      <c r="D12" s="13">
        <v>37027</v>
      </c>
      <c r="E12" s="4">
        <v>25</v>
      </c>
      <c r="F12" s="2" t="s">
        <v>49</v>
      </c>
      <c r="G12" s="4">
        <v>1</v>
      </c>
      <c r="H12" s="2" t="s">
        <v>35</v>
      </c>
      <c r="I12" s="3" t="s">
        <v>70</v>
      </c>
      <c r="J12" s="3" t="s">
        <v>92</v>
      </c>
      <c r="K12" s="2" t="s">
        <v>38</v>
      </c>
      <c r="L12" s="2" t="s">
        <v>63</v>
      </c>
      <c r="M12" s="3" t="s">
        <v>72</v>
      </c>
      <c r="N12" s="2" t="s">
        <v>41</v>
      </c>
      <c r="O12" s="13">
        <v>46039</v>
      </c>
      <c r="P12" s="2" t="s">
        <v>44</v>
      </c>
      <c r="Q12" s="3" t="s">
        <v>44</v>
      </c>
      <c r="R12" s="2" t="s">
        <v>44</v>
      </c>
      <c r="S12" s="2" t="s">
        <v>56</v>
      </c>
      <c r="T12" s="5">
        <v>37000</v>
      </c>
      <c r="U12" s="5">
        <v>0</v>
      </c>
      <c r="V12" s="4">
        <v>5</v>
      </c>
      <c r="W12" s="4">
        <v>29</v>
      </c>
      <c r="X12" s="2" t="s">
        <v>81</v>
      </c>
      <c r="Y12" s="4">
        <v>0</v>
      </c>
      <c r="Z12" s="4">
        <v>0</v>
      </c>
      <c r="AA12" s="4">
        <v>1</v>
      </c>
      <c r="AB12" s="4">
        <v>0</v>
      </c>
      <c r="AC12" s="4">
        <v>3</v>
      </c>
      <c r="AD12" s="4">
        <v>9</v>
      </c>
      <c r="AE12" s="3" t="s">
        <v>58</v>
      </c>
      <c r="AG12">
        <f t="shared" ca="1" si="0"/>
        <v>0</v>
      </c>
      <c r="AH12" s="23" t="str" cm="1">
        <f t="array" ref="AH12">_xlfn.IFS(E12&gt;49,"50+",E12&gt;39,"40-49",E12&gt;29,"30-39",E12&gt;19,"20-29")</f>
        <v>20-29</v>
      </c>
      <c r="AI12" s="24" t="str" cm="1">
        <f t="array" aca="1" ref="AI12" ca="1">_xlfn.IFS(AG12&gt;10,"10+",AG12&gt;4,"5-10 YIL",AG12&gt;2,"3-5 YIL",AG12&gt;0.9,"1-3 YIL",AG12&lt;1,"0-1 YIL")</f>
        <v>0-1 YIL</v>
      </c>
      <c r="AJ12">
        <f t="shared" si="1"/>
        <v>2026</v>
      </c>
      <c r="AK12" t="e">
        <f t="shared" si="2"/>
        <v>#VALUE!</v>
      </c>
    </row>
    <row r="13" spans="1:37" x14ac:dyDescent="0.3">
      <c r="A13" s="6" t="s">
        <v>93</v>
      </c>
      <c r="B13" s="7" t="s">
        <v>94</v>
      </c>
      <c r="C13" s="6" t="s">
        <v>48</v>
      </c>
      <c r="D13" s="14">
        <v>37998</v>
      </c>
      <c r="E13" s="8">
        <v>22</v>
      </c>
      <c r="F13" s="6" t="s">
        <v>49</v>
      </c>
      <c r="G13" s="8">
        <v>1</v>
      </c>
      <c r="H13" s="6" t="s">
        <v>35</v>
      </c>
      <c r="I13" s="7" t="s">
        <v>36</v>
      </c>
      <c r="J13" s="7" t="s">
        <v>37</v>
      </c>
      <c r="K13" s="6" t="s">
        <v>38</v>
      </c>
      <c r="L13" s="6" t="s">
        <v>39</v>
      </c>
      <c r="M13" s="7" t="s">
        <v>40</v>
      </c>
      <c r="N13" s="6" t="s">
        <v>95</v>
      </c>
      <c r="O13" s="14">
        <v>44859</v>
      </c>
      <c r="P13" s="6" t="s">
        <v>44</v>
      </c>
      <c r="Q13" s="7" t="s">
        <v>44</v>
      </c>
      <c r="R13" s="6" t="s">
        <v>44</v>
      </c>
      <c r="S13" s="6" t="s">
        <v>56</v>
      </c>
      <c r="T13" s="9">
        <v>25100</v>
      </c>
      <c r="U13" s="9">
        <v>0</v>
      </c>
      <c r="V13" s="8">
        <v>15</v>
      </c>
      <c r="W13" s="8">
        <v>30</v>
      </c>
      <c r="X13" s="6" t="s">
        <v>44</v>
      </c>
      <c r="Y13" s="8">
        <v>0</v>
      </c>
      <c r="Z13" s="8">
        <v>7</v>
      </c>
      <c r="AA13" s="8">
        <v>0</v>
      </c>
      <c r="AB13" s="8">
        <v>0</v>
      </c>
      <c r="AC13" s="8">
        <v>3</v>
      </c>
      <c r="AD13" s="8">
        <v>4</v>
      </c>
      <c r="AE13" s="7" t="s">
        <v>96</v>
      </c>
      <c r="AG13">
        <f t="shared" ca="1" si="0"/>
        <v>3</v>
      </c>
      <c r="AH13" s="23" t="str" cm="1">
        <f t="array" ref="AH13">_xlfn.IFS(E13&gt;49,"50+",E13&gt;39,"40-49",E13&gt;29,"30-39",E13&gt;19,"20-29")</f>
        <v>20-29</v>
      </c>
      <c r="AI13" s="24" t="str" cm="1">
        <f t="array" aca="1" ref="AI13" ca="1">_xlfn.IFS(AG13&gt;10,"10+",AG13&gt;4,"5-10 YIL",AG13&gt;2,"3-5 YIL",AG13&gt;0.9,"1-3 YIL",AG13&lt;1,"0-1 YIL")</f>
        <v>3-5 YIL</v>
      </c>
      <c r="AJ13">
        <f t="shared" si="1"/>
        <v>2022</v>
      </c>
      <c r="AK13" t="e">
        <f t="shared" si="2"/>
        <v>#VALUE!</v>
      </c>
    </row>
    <row r="14" spans="1:37" x14ac:dyDescent="0.3">
      <c r="A14" s="2" t="s">
        <v>97</v>
      </c>
      <c r="B14" s="3" t="s">
        <v>98</v>
      </c>
      <c r="C14" s="2" t="s">
        <v>33</v>
      </c>
      <c r="D14" s="13">
        <v>35295</v>
      </c>
      <c r="E14" s="4">
        <v>30</v>
      </c>
      <c r="F14" s="2" t="s">
        <v>49</v>
      </c>
      <c r="G14" s="4">
        <v>0</v>
      </c>
      <c r="H14" s="2" t="s">
        <v>35</v>
      </c>
      <c r="I14" s="3" t="s">
        <v>36</v>
      </c>
      <c r="J14" s="3" t="s">
        <v>50</v>
      </c>
      <c r="K14" s="2" t="s">
        <v>51</v>
      </c>
      <c r="L14" s="2" t="s">
        <v>39</v>
      </c>
      <c r="M14" s="3" t="s">
        <v>40</v>
      </c>
      <c r="N14" s="2" t="s">
        <v>41</v>
      </c>
      <c r="O14" s="13">
        <v>42234</v>
      </c>
      <c r="P14" s="2" t="s">
        <v>44</v>
      </c>
      <c r="Q14" s="3" t="s">
        <v>44</v>
      </c>
      <c r="R14" s="2" t="s">
        <v>44</v>
      </c>
      <c r="S14" s="2" t="s">
        <v>56</v>
      </c>
      <c r="T14" s="5">
        <v>40900</v>
      </c>
      <c r="U14" s="5">
        <v>0</v>
      </c>
      <c r="V14" s="4">
        <v>36</v>
      </c>
      <c r="W14" s="4">
        <v>30</v>
      </c>
      <c r="X14" s="2" t="s">
        <v>44</v>
      </c>
      <c r="Y14" s="4">
        <v>0</v>
      </c>
      <c r="Z14" s="4">
        <v>7</v>
      </c>
      <c r="AA14" s="4">
        <v>0</v>
      </c>
      <c r="AB14" s="4">
        <v>0</v>
      </c>
      <c r="AC14" s="4">
        <v>3</v>
      </c>
      <c r="AD14" s="4">
        <v>17</v>
      </c>
      <c r="AE14" s="3" t="s">
        <v>58</v>
      </c>
      <c r="AG14">
        <f t="shared" ca="1" si="0"/>
        <v>10</v>
      </c>
      <c r="AH14" s="23" t="str" cm="1">
        <f t="array" ref="AH14">_xlfn.IFS(E14&gt;49,"50+",E14&gt;39,"40-49",E14&gt;29,"30-39",E14&gt;19,"20-29")</f>
        <v>30-39</v>
      </c>
      <c r="AI14" s="24" t="str" cm="1">
        <f t="array" aca="1" ref="AI14" ca="1">_xlfn.IFS(AG14&gt;10,"10+",AG14&gt;4,"5-10 YIL",AG14&gt;2,"3-5 YIL",AG14&gt;0.9,"1-3 YIL",AG14&lt;1,"0-1 YIL")</f>
        <v>5-10 YIL</v>
      </c>
      <c r="AJ14">
        <f t="shared" si="1"/>
        <v>2015</v>
      </c>
      <c r="AK14" t="e">
        <f t="shared" si="2"/>
        <v>#VALUE!</v>
      </c>
    </row>
    <row r="15" spans="1:37" x14ac:dyDescent="0.3">
      <c r="A15" s="6" t="s">
        <v>99</v>
      </c>
      <c r="B15" s="7" t="s">
        <v>100</v>
      </c>
      <c r="C15" s="6" t="s">
        <v>33</v>
      </c>
      <c r="D15" s="14">
        <v>35783</v>
      </c>
      <c r="E15" s="8">
        <v>29</v>
      </c>
      <c r="F15" s="6" t="s">
        <v>49</v>
      </c>
      <c r="G15" s="8">
        <v>1</v>
      </c>
      <c r="H15" s="6" t="s">
        <v>88</v>
      </c>
      <c r="I15" s="7" t="s">
        <v>61</v>
      </c>
      <c r="J15" s="7" t="s">
        <v>62</v>
      </c>
      <c r="K15" s="6" t="s">
        <v>38</v>
      </c>
      <c r="L15" s="6" t="s">
        <v>63</v>
      </c>
      <c r="M15" s="7" t="s">
        <v>64</v>
      </c>
      <c r="N15" s="6" t="s">
        <v>41</v>
      </c>
      <c r="O15" s="14">
        <v>44936</v>
      </c>
      <c r="P15" s="6" t="s">
        <v>44</v>
      </c>
      <c r="Q15" s="7" t="s">
        <v>44</v>
      </c>
      <c r="R15" s="6" t="s">
        <v>44</v>
      </c>
      <c r="S15" s="6" t="s">
        <v>56</v>
      </c>
      <c r="T15" s="9">
        <v>31000</v>
      </c>
      <c r="U15" s="9">
        <v>0</v>
      </c>
      <c r="V15" s="8">
        <v>0</v>
      </c>
      <c r="W15" s="8">
        <v>27</v>
      </c>
      <c r="X15" s="6" t="s">
        <v>81</v>
      </c>
      <c r="Y15" s="8">
        <v>0</v>
      </c>
      <c r="Z15" s="8">
        <v>5</v>
      </c>
      <c r="AA15" s="8">
        <v>3</v>
      </c>
      <c r="AB15" s="8">
        <v>0</v>
      </c>
      <c r="AC15" s="8">
        <v>3</v>
      </c>
      <c r="AD15" s="8">
        <v>18</v>
      </c>
      <c r="AE15" s="7" t="s">
        <v>45</v>
      </c>
      <c r="AG15">
        <f t="shared" ca="1" si="0"/>
        <v>3</v>
      </c>
      <c r="AH15" s="23" t="str" cm="1">
        <f t="array" ref="AH15">_xlfn.IFS(E15&gt;49,"50+",E15&gt;39,"40-49",E15&gt;29,"30-39",E15&gt;19,"20-29")</f>
        <v>20-29</v>
      </c>
      <c r="AI15" s="24" t="str" cm="1">
        <f t="array" aca="1" ref="AI15" ca="1">_xlfn.IFS(AG15&gt;10,"10+",AG15&gt;4,"5-10 YIL",AG15&gt;2,"3-5 YIL",AG15&gt;0.9,"1-3 YIL",AG15&lt;1,"0-1 YIL")</f>
        <v>3-5 YIL</v>
      </c>
      <c r="AJ15">
        <f t="shared" si="1"/>
        <v>2023</v>
      </c>
      <c r="AK15" t="e">
        <f t="shared" si="2"/>
        <v>#VALUE!</v>
      </c>
    </row>
    <row r="16" spans="1:37" x14ac:dyDescent="0.3">
      <c r="A16" s="2" t="s">
        <v>101</v>
      </c>
      <c r="B16" s="3" t="s">
        <v>102</v>
      </c>
      <c r="C16" s="2" t="s">
        <v>48</v>
      </c>
      <c r="D16" s="13">
        <v>36631</v>
      </c>
      <c r="E16" s="4">
        <v>26</v>
      </c>
      <c r="F16" s="2" t="s">
        <v>49</v>
      </c>
      <c r="G16" s="4">
        <v>1</v>
      </c>
      <c r="H16" s="2" t="s">
        <v>35</v>
      </c>
      <c r="I16" s="3" t="s">
        <v>61</v>
      </c>
      <c r="J16" s="3" t="s">
        <v>62</v>
      </c>
      <c r="K16" s="2" t="s">
        <v>38</v>
      </c>
      <c r="L16" s="2" t="s">
        <v>63</v>
      </c>
      <c r="M16" s="3" t="s">
        <v>64</v>
      </c>
      <c r="N16" s="2" t="s">
        <v>41</v>
      </c>
      <c r="O16" s="13">
        <v>44724</v>
      </c>
      <c r="P16" s="2" t="s">
        <v>44</v>
      </c>
      <c r="Q16" s="3" t="s">
        <v>44</v>
      </c>
      <c r="R16" s="2" t="s">
        <v>44</v>
      </c>
      <c r="S16" s="2" t="s">
        <v>56</v>
      </c>
      <c r="T16" s="5">
        <v>35000</v>
      </c>
      <c r="U16" s="5">
        <v>12000</v>
      </c>
      <c r="V16" s="4">
        <v>5</v>
      </c>
      <c r="W16" s="4">
        <v>30</v>
      </c>
      <c r="X16" s="2" t="s">
        <v>44</v>
      </c>
      <c r="Y16" s="4">
        <v>0</v>
      </c>
      <c r="Z16" s="4">
        <v>2</v>
      </c>
      <c r="AA16" s="4">
        <v>0</v>
      </c>
      <c r="AB16" s="4">
        <v>0</v>
      </c>
      <c r="AC16" s="4">
        <v>3</v>
      </c>
      <c r="AD16" s="4">
        <v>6</v>
      </c>
      <c r="AE16" s="3" t="s">
        <v>45</v>
      </c>
      <c r="AG16">
        <f t="shared" ca="1" si="0"/>
        <v>4</v>
      </c>
      <c r="AH16" s="23" t="str" cm="1">
        <f t="array" ref="AH16">_xlfn.IFS(E16&gt;49,"50+",E16&gt;39,"40-49",E16&gt;29,"30-39",E16&gt;19,"20-29")</f>
        <v>20-29</v>
      </c>
      <c r="AI16" s="24" t="str" cm="1">
        <f t="array" aca="1" ref="AI16" ca="1">_xlfn.IFS(AG16&gt;10,"10+",AG16&gt;4,"5-10 YIL",AG16&gt;2,"3-5 YIL",AG16&gt;0.9,"1-3 YIL",AG16&lt;1,"0-1 YIL")</f>
        <v>3-5 YIL</v>
      </c>
      <c r="AJ16">
        <f t="shared" si="1"/>
        <v>2022</v>
      </c>
      <c r="AK16" t="e">
        <f t="shared" si="2"/>
        <v>#VALUE!</v>
      </c>
    </row>
    <row r="17" spans="1:37" x14ac:dyDescent="0.3">
      <c r="A17" s="6" t="s">
        <v>103</v>
      </c>
      <c r="B17" s="7" t="s">
        <v>104</v>
      </c>
      <c r="C17" s="6" t="s">
        <v>33</v>
      </c>
      <c r="D17" s="14">
        <v>36411</v>
      </c>
      <c r="E17" s="8">
        <v>27</v>
      </c>
      <c r="F17" s="6" t="s">
        <v>34</v>
      </c>
      <c r="G17" s="8">
        <v>0</v>
      </c>
      <c r="H17" s="6" t="s">
        <v>88</v>
      </c>
      <c r="I17" s="7" t="s">
        <v>36</v>
      </c>
      <c r="J17" s="7" t="s">
        <v>37</v>
      </c>
      <c r="K17" s="6" t="s">
        <v>38</v>
      </c>
      <c r="L17" s="6" t="s">
        <v>39</v>
      </c>
      <c r="M17" s="7" t="s">
        <v>40</v>
      </c>
      <c r="N17" s="6" t="s">
        <v>89</v>
      </c>
      <c r="O17" s="14">
        <v>44842</v>
      </c>
      <c r="P17" s="6" t="s">
        <v>44</v>
      </c>
      <c r="Q17" s="7" t="s">
        <v>44</v>
      </c>
      <c r="R17" s="6" t="s">
        <v>44</v>
      </c>
      <c r="S17" s="6" t="s">
        <v>56</v>
      </c>
      <c r="T17" s="9">
        <v>28500</v>
      </c>
      <c r="U17" s="9">
        <v>0</v>
      </c>
      <c r="V17" s="8">
        <v>14</v>
      </c>
      <c r="W17" s="8">
        <v>30</v>
      </c>
      <c r="X17" s="6" t="s">
        <v>44</v>
      </c>
      <c r="Y17" s="8">
        <v>0</v>
      </c>
      <c r="Z17" s="8">
        <v>11</v>
      </c>
      <c r="AA17" s="8">
        <v>0</v>
      </c>
      <c r="AB17" s="8">
        <v>0</v>
      </c>
      <c r="AC17" s="8">
        <v>2</v>
      </c>
      <c r="AD17" s="8">
        <v>15</v>
      </c>
      <c r="AE17" s="7" t="s">
        <v>45</v>
      </c>
      <c r="AG17">
        <f t="shared" ca="1" si="0"/>
        <v>3</v>
      </c>
      <c r="AH17" s="23" t="str" cm="1">
        <f t="array" ref="AH17">_xlfn.IFS(E17&gt;49,"50+",E17&gt;39,"40-49",E17&gt;29,"30-39",E17&gt;19,"20-29")</f>
        <v>20-29</v>
      </c>
      <c r="AI17" s="24" t="str" cm="1">
        <f t="array" aca="1" ref="AI17" ca="1">_xlfn.IFS(AG17&gt;10,"10+",AG17&gt;4,"5-10 YIL",AG17&gt;2,"3-5 YIL",AG17&gt;0.9,"1-3 YIL",AG17&lt;1,"0-1 YIL")</f>
        <v>3-5 YIL</v>
      </c>
      <c r="AJ17">
        <f t="shared" si="1"/>
        <v>2022</v>
      </c>
      <c r="AK17" t="e">
        <f t="shared" si="2"/>
        <v>#VALUE!</v>
      </c>
    </row>
    <row r="18" spans="1:37" x14ac:dyDescent="0.3">
      <c r="A18" s="2" t="s">
        <v>105</v>
      </c>
      <c r="B18" s="3" t="s">
        <v>106</v>
      </c>
      <c r="C18" s="2" t="s">
        <v>33</v>
      </c>
      <c r="D18" s="13">
        <v>34842</v>
      </c>
      <c r="E18" s="4">
        <v>31</v>
      </c>
      <c r="F18" s="2" t="s">
        <v>34</v>
      </c>
      <c r="G18" s="4">
        <v>0</v>
      </c>
      <c r="H18" s="2" t="s">
        <v>35</v>
      </c>
      <c r="I18" s="3" t="s">
        <v>61</v>
      </c>
      <c r="J18" s="3" t="s">
        <v>107</v>
      </c>
      <c r="K18" s="2" t="s">
        <v>51</v>
      </c>
      <c r="L18" s="2" t="s">
        <v>63</v>
      </c>
      <c r="M18" s="3" t="s">
        <v>64</v>
      </c>
      <c r="N18" s="2" t="s">
        <v>41</v>
      </c>
      <c r="O18" s="13">
        <v>44829</v>
      </c>
      <c r="P18" s="2" t="s">
        <v>44</v>
      </c>
      <c r="Q18" s="3" t="s">
        <v>44</v>
      </c>
      <c r="R18" s="2" t="s">
        <v>44</v>
      </c>
      <c r="S18" s="2" t="s">
        <v>56</v>
      </c>
      <c r="T18" s="5">
        <v>59200</v>
      </c>
      <c r="U18" s="5">
        <v>6600</v>
      </c>
      <c r="V18" s="4">
        <v>1</v>
      </c>
      <c r="W18" s="4">
        <v>27</v>
      </c>
      <c r="X18" s="2" t="s">
        <v>57</v>
      </c>
      <c r="Y18" s="4">
        <v>3</v>
      </c>
      <c r="Z18" s="4">
        <v>7</v>
      </c>
      <c r="AA18" s="4">
        <v>0</v>
      </c>
      <c r="AB18" s="4">
        <v>0</v>
      </c>
      <c r="AC18" s="4">
        <v>3</v>
      </c>
      <c r="AD18" s="4">
        <v>5</v>
      </c>
      <c r="AE18" s="3" t="s">
        <v>58</v>
      </c>
      <c r="AG18">
        <f t="shared" ca="1" si="0"/>
        <v>3</v>
      </c>
      <c r="AH18" s="23" t="str" cm="1">
        <f t="array" ref="AH18">_xlfn.IFS(E18&gt;49,"50+",E18&gt;39,"40-49",E18&gt;29,"30-39",E18&gt;19,"20-29")</f>
        <v>30-39</v>
      </c>
      <c r="AI18" s="24" t="str" cm="1">
        <f t="array" aca="1" ref="AI18" ca="1">_xlfn.IFS(AG18&gt;10,"10+",AG18&gt;4,"5-10 YIL",AG18&gt;2,"3-5 YIL",AG18&gt;0.9,"1-3 YIL",AG18&lt;1,"0-1 YIL")</f>
        <v>3-5 YIL</v>
      </c>
      <c r="AJ18">
        <f t="shared" si="1"/>
        <v>2022</v>
      </c>
      <c r="AK18" t="e">
        <f t="shared" si="2"/>
        <v>#VALUE!</v>
      </c>
    </row>
    <row r="19" spans="1:37" x14ac:dyDescent="0.3">
      <c r="A19" s="6" t="s">
        <v>108</v>
      </c>
      <c r="B19" s="7" t="s">
        <v>109</v>
      </c>
      <c r="C19" s="6" t="s">
        <v>48</v>
      </c>
      <c r="D19" s="14">
        <v>35865</v>
      </c>
      <c r="E19" s="8">
        <v>28</v>
      </c>
      <c r="F19" s="6" t="s">
        <v>34</v>
      </c>
      <c r="G19" s="8">
        <v>0</v>
      </c>
      <c r="H19" s="6" t="s">
        <v>35</v>
      </c>
      <c r="I19" s="7" t="s">
        <v>61</v>
      </c>
      <c r="J19" s="7" t="s">
        <v>107</v>
      </c>
      <c r="K19" s="6" t="s">
        <v>51</v>
      </c>
      <c r="L19" s="6" t="s">
        <v>63</v>
      </c>
      <c r="M19" s="7" t="s">
        <v>64</v>
      </c>
      <c r="N19" s="6" t="s">
        <v>95</v>
      </c>
      <c r="O19" s="14">
        <v>44978</v>
      </c>
      <c r="P19" s="6" t="s">
        <v>44</v>
      </c>
      <c r="Q19" s="7" t="s">
        <v>44</v>
      </c>
      <c r="R19" s="6" t="s">
        <v>44</v>
      </c>
      <c r="S19" s="6" t="s">
        <v>56</v>
      </c>
      <c r="T19" s="9">
        <v>61300</v>
      </c>
      <c r="U19" s="9">
        <v>16100</v>
      </c>
      <c r="V19" s="8">
        <v>4</v>
      </c>
      <c r="W19" s="8">
        <v>30</v>
      </c>
      <c r="X19" s="6" t="s">
        <v>44</v>
      </c>
      <c r="Y19" s="8">
        <v>0</v>
      </c>
      <c r="Z19" s="8">
        <v>1</v>
      </c>
      <c r="AA19" s="8">
        <v>0</v>
      </c>
      <c r="AB19" s="8">
        <v>0</v>
      </c>
      <c r="AC19" s="8">
        <v>1</v>
      </c>
      <c r="AD19" s="8">
        <v>19</v>
      </c>
      <c r="AE19" s="7" t="s">
        <v>58</v>
      </c>
      <c r="AG19">
        <f t="shared" ca="1" si="0"/>
        <v>3</v>
      </c>
      <c r="AH19" s="23" t="str" cm="1">
        <f t="array" ref="AH19">_xlfn.IFS(E19&gt;49,"50+",E19&gt;39,"40-49",E19&gt;29,"30-39",E19&gt;19,"20-29")</f>
        <v>20-29</v>
      </c>
      <c r="AI19" s="24" t="str" cm="1">
        <f t="array" aca="1" ref="AI19" ca="1">_xlfn.IFS(AG19&gt;10,"10+",AG19&gt;4,"5-10 YIL",AG19&gt;2,"3-5 YIL",AG19&gt;0.9,"1-3 YIL",AG19&lt;1,"0-1 YIL")</f>
        <v>3-5 YIL</v>
      </c>
      <c r="AJ19">
        <f t="shared" si="1"/>
        <v>2023</v>
      </c>
      <c r="AK19" t="e">
        <f t="shared" si="2"/>
        <v>#VALUE!</v>
      </c>
    </row>
    <row r="20" spans="1:37" x14ac:dyDescent="0.3">
      <c r="A20" s="2" t="s">
        <v>110</v>
      </c>
      <c r="B20" s="3" t="s">
        <v>111</v>
      </c>
      <c r="C20" s="2" t="s">
        <v>33</v>
      </c>
      <c r="D20" s="13">
        <v>36854</v>
      </c>
      <c r="E20" s="4">
        <v>26</v>
      </c>
      <c r="F20" s="2" t="s">
        <v>34</v>
      </c>
      <c r="G20" s="4">
        <v>0</v>
      </c>
      <c r="H20" s="2" t="s">
        <v>88</v>
      </c>
      <c r="I20" s="3" t="s">
        <v>36</v>
      </c>
      <c r="J20" s="3" t="s">
        <v>37</v>
      </c>
      <c r="K20" s="2" t="s">
        <v>38</v>
      </c>
      <c r="L20" s="2" t="s">
        <v>39</v>
      </c>
      <c r="M20" s="3" t="s">
        <v>40</v>
      </c>
      <c r="N20" s="2" t="s">
        <v>95</v>
      </c>
      <c r="O20" s="13">
        <v>45592</v>
      </c>
      <c r="P20" s="2" t="s">
        <v>44</v>
      </c>
      <c r="Q20" s="3" t="s">
        <v>44</v>
      </c>
      <c r="R20" s="2" t="s">
        <v>44</v>
      </c>
      <c r="S20" s="2" t="s">
        <v>56</v>
      </c>
      <c r="T20" s="5">
        <v>25200</v>
      </c>
      <c r="U20" s="5">
        <v>0</v>
      </c>
      <c r="V20" s="4">
        <v>19</v>
      </c>
      <c r="W20" s="4">
        <v>28</v>
      </c>
      <c r="X20" s="2" t="s">
        <v>112</v>
      </c>
      <c r="Y20" s="4">
        <v>0</v>
      </c>
      <c r="Z20" s="4">
        <v>2</v>
      </c>
      <c r="AA20" s="4">
        <v>0</v>
      </c>
      <c r="AB20" s="4">
        <v>2</v>
      </c>
      <c r="AC20" s="4">
        <v>3</v>
      </c>
      <c r="AD20" s="4">
        <v>19</v>
      </c>
      <c r="AE20" s="3" t="s">
        <v>45</v>
      </c>
      <c r="AG20">
        <f t="shared" ca="1" si="0"/>
        <v>1</v>
      </c>
      <c r="AH20" s="23" t="str" cm="1">
        <f t="array" ref="AH20">_xlfn.IFS(E20&gt;49,"50+",E20&gt;39,"40-49",E20&gt;29,"30-39",E20&gt;19,"20-29")</f>
        <v>20-29</v>
      </c>
      <c r="AI20" s="24" t="str" cm="1">
        <f t="array" aca="1" ref="AI20" ca="1">_xlfn.IFS(AG20&gt;10,"10+",AG20&gt;4,"5-10 YIL",AG20&gt;2,"3-5 YIL",AG20&gt;0.9,"1-3 YIL",AG20&lt;1,"0-1 YIL")</f>
        <v>1-3 YIL</v>
      </c>
      <c r="AJ20">
        <f t="shared" si="1"/>
        <v>2024</v>
      </c>
      <c r="AK20" t="e">
        <f t="shared" si="2"/>
        <v>#VALUE!</v>
      </c>
    </row>
    <row r="21" spans="1:37" x14ac:dyDescent="0.3">
      <c r="A21" s="6" t="s">
        <v>113</v>
      </c>
      <c r="B21" s="7" t="s">
        <v>114</v>
      </c>
      <c r="C21" s="6" t="s">
        <v>48</v>
      </c>
      <c r="D21" s="14">
        <v>38093</v>
      </c>
      <c r="E21" s="8">
        <v>22</v>
      </c>
      <c r="F21" s="6" t="s">
        <v>49</v>
      </c>
      <c r="G21" s="8">
        <v>0</v>
      </c>
      <c r="H21" s="6" t="s">
        <v>35</v>
      </c>
      <c r="I21" s="7" t="s">
        <v>36</v>
      </c>
      <c r="J21" s="7" t="s">
        <v>37</v>
      </c>
      <c r="K21" s="6" t="s">
        <v>38</v>
      </c>
      <c r="L21" s="6" t="s">
        <v>39</v>
      </c>
      <c r="M21" s="7" t="s">
        <v>40</v>
      </c>
      <c r="N21" s="6" t="s">
        <v>95</v>
      </c>
      <c r="O21" s="14">
        <v>45592</v>
      </c>
      <c r="P21" s="6" t="s">
        <v>44</v>
      </c>
      <c r="Q21" s="7" t="s">
        <v>44</v>
      </c>
      <c r="R21" s="6" t="s">
        <v>44</v>
      </c>
      <c r="S21" s="6" t="s">
        <v>56</v>
      </c>
      <c r="T21" s="9">
        <v>28200</v>
      </c>
      <c r="U21" s="9">
        <v>0</v>
      </c>
      <c r="V21" s="8">
        <v>21</v>
      </c>
      <c r="W21" s="8">
        <v>25</v>
      </c>
      <c r="X21" s="6" t="s">
        <v>57</v>
      </c>
      <c r="Y21" s="8">
        <v>5</v>
      </c>
      <c r="Z21" s="8">
        <v>8</v>
      </c>
      <c r="AA21" s="8">
        <v>0</v>
      </c>
      <c r="AB21" s="8">
        <v>0</v>
      </c>
      <c r="AC21" s="8">
        <v>5</v>
      </c>
      <c r="AD21" s="8">
        <v>31</v>
      </c>
      <c r="AE21" s="7" t="s">
        <v>58</v>
      </c>
      <c r="AG21">
        <f t="shared" ca="1" si="0"/>
        <v>1</v>
      </c>
      <c r="AH21" s="23" t="str" cm="1">
        <f t="array" ref="AH21">_xlfn.IFS(E21&gt;49,"50+",E21&gt;39,"40-49",E21&gt;29,"30-39",E21&gt;19,"20-29")</f>
        <v>20-29</v>
      </c>
      <c r="AI21" s="24" t="str" cm="1">
        <f t="array" aca="1" ref="AI21" ca="1">_xlfn.IFS(AG21&gt;10,"10+",AG21&gt;4,"5-10 YIL",AG21&gt;2,"3-5 YIL",AG21&gt;0.9,"1-3 YIL",AG21&lt;1,"0-1 YIL")</f>
        <v>1-3 YIL</v>
      </c>
      <c r="AJ21">
        <f t="shared" si="1"/>
        <v>2024</v>
      </c>
      <c r="AK21" t="e">
        <f t="shared" si="2"/>
        <v>#VALUE!</v>
      </c>
    </row>
    <row r="22" spans="1:37" x14ac:dyDescent="0.3">
      <c r="A22" s="2" t="s">
        <v>115</v>
      </c>
      <c r="B22" s="3" t="s">
        <v>116</v>
      </c>
      <c r="C22" s="2" t="s">
        <v>48</v>
      </c>
      <c r="D22" s="13">
        <v>31711</v>
      </c>
      <c r="E22" s="4">
        <v>40</v>
      </c>
      <c r="F22" s="2" t="s">
        <v>49</v>
      </c>
      <c r="G22" s="4">
        <v>1</v>
      </c>
      <c r="H22" s="2" t="s">
        <v>35</v>
      </c>
      <c r="I22" s="3" t="s">
        <v>61</v>
      </c>
      <c r="J22" s="3" t="s">
        <v>107</v>
      </c>
      <c r="K22" s="2" t="s">
        <v>51</v>
      </c>
      <c r="L22" s="2" t="s">
        <v>63</v>
      </c>
      <c r="M22" s="3" t="s">
        <v>64</v>
      </c>
      <c r="N22" s="2" t="s">
        <v>95</v>
      </c>
      <c r="O22" s="13">
        <v>43395</v>
      </c>
      <c r="P22" s="2" t="s">
        <v>44</v>
      </c>
      <c r="Q22" s="3" t="s">
        <v>44</v>
      </c>
      <c r="R22" s="2" t="s">
        <v>44</v>
      </c>
      <c r="S22" s="2" t="s">
        <v>56</v>
      </c>
      <c r="T22" s="5">
        <v>60400</v>
      </c>
      <c r="U22" s="5">
        <v>14300</v>
      </c>
      <c r="V22" s="4">
        <v>3</v>
      </c>
      <c r="W22" s="4">
        <v>29</v>
      </c>
      <c r="X22" s="2" t="s">
        <v>57</v>
      </c>
      <c r="Y22" s="4">
        <v>1</v>
      </c>
      <c r="Z22" s="4">
        <v>0</v>
      </c>
      <c r="AA22" s="4">
        <v>0</v>
      </c>
      <c r="AB22" s="4">
        <v>0</v>
      </c>
      <c r="AC22" s="4">
        <v>2</v>
      </c>
      <c r="AD22" s="4">
        <v>8</v>
      </c>
      <c r="AE22" s="3" t="s">
        <v>58</v>
      </c>
      <c r="AG22">
        <f t="shared" ca="1" si="0"/>
        <v>7</v>
      </c>
      <c r="AH22" s="23" t="str" cm="1">
        <f t="array" ref="AH22">_xlfn.IFS(E22&gt;49,"50+",E22&gt;39,"40-49",E22&gt;29,"30-39",E22&gt;19,"20-29")</f>
        <v>40-49</v>
      </c>
      <c r="AI22" s="24" t="str" cm="1">
        <f t="array" aca="1" ref="AI22" ca="1">_xlfn.IFS(AG22&gt;10,"10+",AG22&gt;4,"5-10 YIL",AG22&gt;2,"3-5 YIL",AG22&gt;0.9,"1-3 YIL",AG22&lt;1,"0-1 YIL")</f>
        <v>5-10 YIL</v>
      </c>
      <c r="AJ22">
        <f t="shared" si="1"/>
        <v>2018</v>
      </c>
      <c r="AK22" t="e">
        <f t="shared" si="2"/>
        <v>#VALUE!</v>
      </c>
    </row>
    <row r="23" spans="1:37" x14ac:dyDescent="0.3">
      <c r="A23" s="6" t="s">
        <v>117</v>
      </c>
      <c r="B23" s="7" t="s">
        <v>118</v>
      </c>
      <c r="C23" s="6" t="s">
        <v>33</v>
      </c>
      <c r="D23" s="14">
        <v>36697</v>
      </c>
      <c r="E23" s="8">
        <v>26</v>
      </c>
      <c r="F23" s="6" t="s">
        <v>34</v>
      </c>
      <c r="G23" s="8">
        <v>0</v>
      </c>
      <c r="H23" s="6" t="s">
        <v>88</v>
      </c>
      <c r="I23" s="7" t="s">
        <v>36</v>
      </c>
      <c r="J23" s="7" t="s">
        <v>37</v>
      </c>
      <c r="K23" s="6" t="s">
        <v>38</v>
      </c>
      <c r="L23" s="6" t="s">
        <v>39</v>
      </c>
      <c r="M23" s="7" t="s">
        <v>40</v>
      </c>
      <c r="N23" s="6" t="s">
        <v>41</v>
      </c>
      <c r="O23" s="14">
        <v>46029</v>
      </c>
      <c r="P23" s="14">
        <v>46062</v>
      </c>
      <c r="Q23" s="7" t="s">
        <v>53</v>
      </c>
      <c r="R23" s="6">
        <v>4</v>
      </c>
      <c r="S23" s="6" t="s">
        <v>43</v>
      </c>
      <c r="T23" s="9">
        <v>27300</v>
      </c>
      <c r="U23" s="9">
        <v>0</v>
      </c>
      <c r="V23" s="8">
        <v>28</v>
      </c>
      <c r="W23" s="8">
        <v>29</v>
      </c>
      <c r="X23" s="6" t="s">
        <v>57</v>
      </c>
      <c r="Y23" s="8">
        <v>1</v>
      </c>
      <c r="Z23" s="8">
        <v>0</v>
      </c>
      <c r="AA23" s="8">
        <v>0</v>
      </c>
      <c r="AB23" s="8">
        <v>0</v>
      </c>
      <c r="AC23" s="8">
        <v>4</v>
      </c>
      <c r="AD23" s="8">
        <v>18</v>
      </c>
      <c r="AE23" s="7" t="s">
        <v>58</v>
      </c>
      <c r="AG23">
        <f t="shared" ca="1" si="0"/>
        <v>0</v>
      </c>
      <c r="AH23" s="23" t="str" cm="1">
        <f t="array" ref="AH23">_xlfn.IFS(E23&gt;49,"50+",E23&gt;39,"40-49",E23&gt;29,"30-39",E23&gt;19,"20-29")</f>
        <v>20-29</v>
      </c>
      <c r="AI23" s="24" t="str" cm="1">
        <f t="array" aca="1" ref="AI23" ca="1">_xlfn.IFS(AG23&gt;10,"10+",AG23&gt;4,"5-10 YIL",AG23&gt;2,"3-5 YIL",AG23&gt;0.9,"1-3 YIL",AG23&lt;1,"0-1 YIL")</f>
        <v>0-1 YIL</v>
      </c>
      <c r="AJ23">
        <f t="shared" si="1"/>
        <v>2026</v>
      </c>
      <c r="AK23">
        <f t="shared" si="2"/>
        <v>2026</v>
      </c>
    </row>
    <row r="24" spans="1:37" x14ac:dyDescent="0.3">
      <c r="A24" s="2" t="s">
        <v>119</v>
      </c>
      <c r="B24" s="3" t="s">
        <v>120</v>
      </c>
      <c r="C24" s="2" t="s">
        <v>33</v>
      </c>
      <c r="D24" s="13">
        <v>30164</v>
      </c>
      <c r="E24" s="4">
        <v>44</v>
      </c>
      <c r="F24" s="2" t="s">
        <v>49</v>
      </c>
      <c r="G24" s="4">
        <v>2</v>
      </c>
      <c r="H24" s="2" t="s">
        <v>35</v>
      </c>
      <c r="I24" s="3" t="s">
        <v>61</v>
      </c>
      <c r="J24" s="3" t="s">
        <v>107</v>
      </c>
      <c r="K24" s="2" t="s">
        <v>51</v>
      </c>
      <c r="L24" s="2" t="s">
        <v>63</v>
      </c>
      <c r="M24" s="3" t="s">
        <v>64</v>
      </c>
      <c r="N24" s="2" t="s">
        <v>89</v>
      </c>
      <c r="O24" s="13">
        <v>42040</v>
      </c>
      <c r="P24" s="13">
        <v>45697</v>
      </c>
      <c r="Q24" s="3" t="s">
        <v>121</v>
      </c>
      <c r="R24" s="2">
        <v>17</v>
      </c>
      <c r="S24" s="2" t="s">
        <v>43</v>
      </c>
      <c r="T24" s="5">
        <v>58400</v>
      </c>
      <c r="U24" s="5">
        <v>0</v>
      </c>
      <c r="V24" s="4">
        <v>4</v>
      </c>
      <c r="W24" s="4">
        <v>20</v>
      </c>
      <c r="X24" s="2" t="s">
        <v>57</v>
      </c>
      <c r="Y24" s="4">
        <v>10</v>
      </c>
      <c r="Z24" s="4">
        <v>2</v>
      </c>
      <c r="AA24" s="4">
        <v>0</v>
      </c>
      <c r="AB24" s="4">
        <v>0</v>
      </c>
      <c r="AC24" s="4">
        <v>3</v>
      </c>
      <c r="AD24" s="4">
        <v>19</v>
      </c>
      <c r="AE24" s="3" t="s">
        <v>45</v>
      </c>
      <c r="AG24">
        <f t="shared" ca="1" si="0"/>
        <v>11</v>
      </c>
      <c r="AH24" s="23" t="str" cm="1">
        <f t="array" ref="AH24">_xlfn.IFS(E24&gt;49,"50+",E24&gt;39,"40-49",E24&gt;29,"30-39",E24&gt;19,"20-29")</f>
        <v>40-49</v>
      </c>
      <c r="AI24" s="24" t="str" cm="1">
        <f t="array" aca="1" ref="AI24" ca="1">_xlfn.IFS(AG24&gt;10,"10+",AG24&gt;4,"5-10 YIL",AG24&gt;2,"3-5 YIL",AG24&gt;0.9,"1-3 YIL",AG24&lt;1,"0-1 YIL")</f>
        <v>10+</v>
      </c>
      <c r="AJ24">
        <f t="shared" si="1"/>
        <v>2015</v>
      </c>
      <c r="AK24">
        <f t="shared" si="2"/>
        <v>2025</v>
      </c>
    </row>
    <row r="25" spans="1:37" x14ac:dyDescent="0.3">
      <c r="A25" s="6" t="s">
        <v>122</v>
      </c>
      <c r="B25" s="7" t="s">
        <v>123</v>
      </c>
      <c r="C25" s="6" t="s">
        <v>33</v>
      </c>
      <c r="D25" s="14">
        <v>30114</v>
      </c>
      <c r="E25" s="8">
        <v>44</v>
      </c>
      <c r="F25" s="6" t="s">
        <v>34</v>
      </c>
      <c r="G25" s="8">
        <v>0</v>
      </c>
      <c r="H25" s="6" t="s">
        <v>35</v>
      </c>
      <c r="I25" s="7" t="s">
        <v>61</v>
      </c>
      <c r="J25" s="7" t="s">
        <v>124</v>
      </c>
      <c r="K25" s="6" t="s">
        <v>79</v>
      </c>
      <c r="L25" s="6" t="s">
        <v>63</v>
      </c>
      <c r="M25" s="7" t="s">
        <v>80</v>
      </c>
      <c r="N25" s="6" t="s">
        <v>41</v>
      </c>
      <c r="O25" s="14">
        <v>41635</v>
      </c>
      <c r="P25" s="6" t="s">
        <v>44</v>
      </c>
      <c r="Q25" s="7" t="s">
        <v>44</v>
      </c>
      <c r="R25" s="6" t="s">
        <v>44</v>
      </c>
      <c r="S25" s="6" t="s">
        <v>56</v>
      </c>
      <c r="T25" s="9">
        <v>103300</v>
      </c>
      <c r="U25" s="9">
        <v>27000</v>
      </c>
      <c r="V25" s="8">
        <v>3</v>
      </c>
      <c r="W25" s="8">
        <v>30</v>
      </c>
      <c r="X25" s="6" t="s">
        <v>44</v>
      </c>
      <c r="Y25" s="8">
        <v>0</v>
      </c>
      <c r="Z25" s="8">
        <v>8</v>
      </c>
      <c r="AA25" s="8">
        <v>0</v>
      </c>
      <c r="AB25" s="8">
        <v>0</v>
      </c>
      <c r="AC25" s="8">
        <v>3</v>
      </c>
      <c r="AD25" s="8">
        <v>18</v>
      </c>
      <c r="AE25" s="7" t="s">
        <v>45</v>
      </c>
      <c r="AG25">
        <f t="shared" ca="1" si="0"/>
        <v>12</v>
      </c>
      <c r="AH25" s="23" t="str" cm="1">
        <f t="array" ref="AH25">_xlfn.IFS(E25&gt;49,"50+",E25&gt;39,"40-49",E25&gt;29,"30-39",E25&gt;19,"20-29")</f>
        <v>40-49</v>
      </c>
      <c r="AI25" s="24" t="str" cm="1">
        <f t="array" aca="1" ref="AI25" ca="1">_xlfn.IFS(AG25&gt;10,"10+",AG25&gt;4,"5-10 YIL",AG25&gt;2,"3-5 YIL",AG25&gt;0.9,"1-3 YIL",AG25&lt;1,"0-1 YIL")</f>
        <v>10+</v>
      </c>
      <c r="AJ25">
        <f t="shared" si="1"/>
        <v>2013</v>
      </c>
      <c r="AK25" t="e">
        <f t="shared" si="2"/>
        <v>#VALUE!</v>
      </c>
    </row>
    <row r="26" spans="1:37" x14ac:dyDescent="0.3">
      <c r="A26" s="2" t="s">
        <v>125</v>
      </c>
      <c r="B26" s="3" t="s">
        <v>126</v>
      </c>
      <c r="C26" s="2" t="s">
        <v>33</v>
      </c>
      <c r="D26" s="13">
        <v>38284</v>
      </c>
      <c r="E26" s="4">
        <v>22</v>
      </c>
      <c r="F26" s="2" t="s">
        <v>49</v>
      </c>
      <c r="G26" s="4">
        <v>0</v>
      </c>
      <c r="H26" s="2" t="s">
        <v>88</v>
      </c>
      <c r="I26" s="3" t="s">
        <v>36</v>
      </c>
      <c r="J26" s="3" t="s">
        <v>37</v>
      </c>
      <c r="K26" s="2" t="s">
        <v>38</v>
      </c>
      <c r="L26" s="2" t="s">
        <v>39</v>
      </c>
      <c r="M26" s="3" t="s">
        <v>40</v>
      </c>
      <c r="N26" s="2" t="s">
        <v>52</v>
      </c>
      <c r="O26" s="13">
        <v>45523</v>
      </c>
      <c r="P26" s="2" t="s">
        <v>44</v>
      </c>
      <c r="Q26" s="3" t="s">
        <v>44</v>
      </c>
      <c r="R26" s="2" t="s">
        <v>44</v>
      </c>
      <c r="S26" s="2" t="s">
        <v>56</v>
      </c>
      <c r="T26" s="5">
        <v>24000</v>
      </c>
      <c r="U26" s="5">
        <v>0</v>
      </c>
      <c r="V26" s="4">
        <v>42</v>
      </c>
      <c r="W26" s="4">
        <v>29</v>
      </c>
      <c r="X26" s="2" t="s">
        <v>57</v>
      </c>
      <c r="Y26" s="4">
        <v>1</v>
      </c>
      <c r="Z26" s="4">
        <v>14</v>
      </c>
      <c r="AA26" s="4">
        <v>0</v>
      </c>
      <c r="AB26" s="4">
        <v>0</v>
      </c>
      <c r="AC26" s="4">
        <v>3</v>
      </c>
      <c r="AD26" s="4">
        <v>18</v>
      </c>
      <c r="AE26" s="3" t="s">
        <v>82</v>
      </c>
      <c r="AG26">
        <f t="shared" ca="1" si="0"/>
        <v>1</v>
      </c>
      <c r="AH26" s="23" t="str" cm="1">
        <f t="array" ref="AH26">_xlfn.IFS(E26&gt;49,"50+",E26&gt;39,"40-49",E26&gt;29,"30-39",E26&gt;19,"20-29")</f>
        <v>20-29</v>
      </c>
      <c r="AI26" s="24" t="str" cm="1">
        <f t="array" aca="1" ref="AI26" ca="1">_xlfn.IFS(AG26&gt;10,"10+",AG26&gt;4,"5-10 YIL",AG26&gt;2,"3-5 YIL",AG26&gt;0.9,"1-3 YIL",AG26&lt;1,"0-1 YIL")</f>
        <v>1-3 YIL</v>
      </c>
      <c r="AJ26">
        <f t="shared" si="1"/>
        <v>2024</v>
      </c>
      <c r="AK26" t="e">
        <f t="shared" si="2"/>
        <v>#VALUE!</v>
      </c>
    </row>
    <row r="27" spans="1:37" x14ac:dyDescent="0.3">
      <c r="A27" s="6" t="s">
        <v>127</v>
      </c>
      <c r="B27" s="7" t="s">
        <v>128</v>
      </c>
      <c r="C27" s="6" t="s">
        <v>48</v>
      </c>
      <c r="D27" s="14">
        <v>26074</v>
      </c>
      <c r="E27" s="8">
        <v>55</v>
      </c>
      <c r="F27" s="6" t="s">
        <v>49</v>
      </c>
      <c r="G27" s="8">
        <v>0</v>
      </c>
      <c r="H27" s="6" t="s">
        <v>85</v>
      </c>
      <c r="I27" s="7" t="s">
        <v>70</v>
      </c>
      <c r="J27" s="7" t="s">
        <v>129</v>
      </c>
      <c r="K27" s="6" t="s">
        <v>79</v>
      </c>
      <c r="L27" s="6" t="s">
        <v>63</v>
      </c>
      <c r="M27" s="7" t="s">
        <v>80</v>
      </c>
      <c r="N27" s="6" t="s">
        <v>95</v>
      </c>
      <c r="O27" s="14">
        <v>41992</v>
      </c>
      <c r="P27" s="6" t="s">
        <v>44</v>
      </c>
      <c r="Q27" s="7" t="s">
        <v>44</v>
      </c>
      <c r="R27" s="6" t="s">
        <v>44</v>
      </c>
      <c r="S27" s="6" t="s">
        <v>56</v>
      </c>
      <c r="T27" s="9">
        <v>112800</v>
      </c>
      <c r="U27" s="9">
        <v>0</v>
      </c>
      <c r="V27" s="8">
        <v>0</v>
      </c>
      <c r="W27" s="8">
        <v>25</v>
      </c>
      <c r="X27" s="6" t="s">
        <v>57</v>
      </c>
      <c r="Y27" s="8">
        <v>5</v>
      </c>
      <c r="Z27" s="8">
        <v>13</v>
      </c>
      <c r="AA27" s="8">
        <v>0</v>
      </c>
      <c r="AB27" s="8">
        <v>0</v>
      </c>
      <c r="AC27" s="8">
        <v>4</v>
      </c>
      <c r="AD27" s="8">
        <v>19</v>
      </c>
      <c r="AE27" s="7" t="s">
        <v>58</v>
      </c>
      <c r="AG27">
        <f t="shared" ca="1" si="0"/>
        <v>11</v>
      </c>
      <c r="AH27" s="23" t="str" cm="1">
        <f t="array" ref="AH27">_xlfn.IFS(E27&gt;49,"50+",E27&gt;39,"40-49",E27&gt;29,"30-39",E27&gt;19,"20-29")</f>
        <v>50+</v>
      </c>
      <c r="AI27" s="24" t="str" cm="1">
        <f t="array" aca="1" ref="AI27" ca="1">_xlfn.IFS(AG27&gt;10,"10+",AG27&gt;4,"5-10 YIL",AG27&gt;2,"3-5 YIL",AG27&gt;0.9,"1-3 YIL",AG27&lt;1,"0-1 YIL")</f>
        <v>10+</v>
      </c>
      <c r="AJ27">
        <f t="shared" si="1"/>
        <v>2014</v>
      </c>
      <c r="AK27" t="e">
        <f t="shared" si="2"/>
        <v>#VALUE!</v>
      </c>
    </row>
    <row r="28" spans="1:37" x14ac:dyDescent="0.3">
      <c r="A28" s="2" t="s">
        <v>130</v>
      </c>
      <c r="B28" s="3" t="s">
        <v>131</v>
      </c>
      <c r="C28" s="2" t="s">
        <v>33</v>
      </c>
      <c r="D28" s="13">
        <v>32106</v>
      </c>
      <c r="E28" s="4">
        <v>39</v>
      </c>
      <c r="F28" s="2" t="s">
        <v>34</v>
      </c>
      <c r="G28" s="4">
        <v>0</v>
      </c>
      <c r="H28" s="2" t="s">
        <v>35</v>
      </c>
      <c r="I28" s="3" t="s">
        <v>36</v>
      </c>
      <c r="J28" s="3" t="s">
        <v>50</v>
      </c>
      <c r="K28" s="2" t="s">
        <v>51</v>
      </c>
      <c r="L28" s="2" t="s">
        <v>39</v>
      </c>
      <c r="M28" s="3" t="s">
        <v>40</v>
      </c>
      <c r="N28" s="2" t="s">
        <v>95</v>
      </c>
      <c r="O28" s="13">
        <v>43506</v>
      </c>
      <c r="P28" s="2" t="s">
        <v>44</v>
      </c>
      <c r="Q28" s="3" t="s">
        <v>44</v>
      </c>
      <c r="R28" s="2" t="s">
        <v>44</v>
      </c>
      <c r="S28" s="2" t="s">
        <v>56</v>
      </c>
      <c r="T28" s="5">
        <v>41400</v>
      </c>
      <c r="U28" s="5">
        <v>0</v>
      </c>
      <c r="V28" s="4">
        <v>30</v>
      </c>
      <c r="W28" s="4">
        <v>30</v>
      </c>
      <c r="X28" s="2" t="s">
        <v>44</v>
      </c>
      <c r="Y28" s="4">
        <v>0</v>
      </c>
      <c r="Z28" s="4">
        <v>6</v>
      </c>
      <c r="AA28" s="4">
        <v>0</v>
      </c>
      <c r="AB28" s="4">
        <v>0</v>
      </c>
      <c r="AC28" s="4">
        <v>1</v>
      </c>
      <c r="AD28" s="4">
        <v>7</v>
      </c>
      <c r="AE28" s="3" t="s">
        <v>58</v>
      </c>
      <c r="AG28">
        <f t="shared" ca="1" si="0"/>
        <v>7</v>
      </c>
      <c r="AH28" s="23" t="str" cm="1">
        <f t="array" ref="AH28">_xlfn.IFS(E28&gt;49,"50+",E28&gt;39,"40-49",E28&gt;29,"30-39",E28&gt;19,"20-29")</f>
        <v>30-39</v>
      </c>
      <c r="AI28" s="24" t="str" cm="1">
        <f t="array" aca="1" ref="AI28" ca="1">_xlfn.IFS(AG28&gt;10,"10+",AG28&gt;4,"5-10 YIL",AG28&gt;2,"3-5 YIL",AG28&gt;0.9,"1-3 YIL",AG28&lt;1,"0-1 YIL")</f>
        <v>5-10 YIL</v>
      </c>
      <c r="AJ28">
        <f t="shared" si="1"/>
        <v>2019</v>
      </c>
      <c r="AK28" t="e">
        <f t="shared" si="2"/>
        <v>#VALUE!</v>
      </c>
    </row>
    <row r="29" spans="1:37" x14ac:dyDescent="0.3">
      <c r="A29" s="6" t="s">
        <v>132</v>
      </c>
      <c r="B29" s="7" t="s">
        <v>133</v>
      </c>
      <c r="C29" s="6" t="s">
        <v>48</v>
      </c>
      <c r="D29" s="14">
        <v>37626</v>
      </c>
      <c r="E29" s="8">
        <v>23</v>
      </c>
      <c r="F29" s="6" t="s">
        <v>49</v>
      </c>
      <c r="G29" s="8">
        <v>2</v>
      </c>
      <c r="H29" s="6" t="s">
        <v>35</v>
      </c>
      <c r="I29" s="7" t="s">
        <v>70</v>
      </c>
      <c r="J29" s="7" t="s">
        <v>92</v>
      </c>
      <c r="K29" s="6" t="s">
        <v>38</v>
      </c>
      <c r="L29" s="6" t="s">
        <v>63</v>
      </c>
      <c r="M29" s="7" t="s">
        <v>72</v>
      </c>
      <c r="N29" s="6" t="s">
        <v>41</v>
      </c>
      <c r="O29" s="14">
        <v>45159</v>
      </c>
      <c r="P29" s="6" t="s">
        <v>44</v>
      </c>
      <c r="Q29" s="7" t="s">
        <v>44</v>
      </c>
      <c r="R29" s="6" t="s">
        <v>44</v>
      </c>
      <c r="S29" s="6" t="s">
        <v>56</v>
      </c>
      <c r="T29" s="9">
        <v>39700</v>
      </c>
      <c r="U29" s="9">
        <v>0</v>
      </c>
      <c r="V29" s="8">
        <v>7</v>
      </c>
      <c r="W29" s="8">
        <v>30</v>
      </c>
      <c r="X29" s="6" t="s">
        <v>44</v>
      </c>
      <c r="Y29" s="8">
        <v>0</v>
      </c>
      <c r="Z29" s="8">
        <v>1</v>
      </c>
      <c r="AA29" s="8">
        <v>0</v>
      </c>
      <c r="AB29" s="8">
        <v>0</v>
      </c>
      <c r="AC29" s="8">
        <v>3</v>
      </c>
      <c r="AD29" s="8">
        <v>12</v>
      </c>
      <c r="AE29" s="7" t="s">
        <v>58</v>
      </c>
      <c r="AG29">
        <f t="shared" ca="1" si="0"/>
        <v>2</v>
      </c>
      <c r="AH29" s="23" t="str" cm="1">
        <f t="array" ref="AH29">_xlfn.IFS(E29&gt;49,"50+",E29&gt;39,"40-49",E29&gt;29,"30-39",E29&gt;19,"20-29")</f>
        <v>20-29</v>
      </c>
      <c r="AI29" s="24" t="str" cm="1">
        <f t="array" aca="1" ref="AI29" ca="1">_xlfn.IFS(AG29&gt;10,"10+",AG29&gt;4,"5-10 YIL",AG29&gt;2,"3-5 YIL",AG29&gt;0.9,"1-3 YIL",AG29&lt;1,"0-1 YIL")</f>
        <v>1-3 YIL</v>
      </c>
      <c r="AJ29">
        <f t="shared" si="1"/>
        <v>2023</v>
      </c>
      <c r="AK29" t="e">
        <f t="shared" si="2"/>
        <v>#VALUE!</v>
      </c>
    </row>
    <row r="30" spans="1:37" x14ac:dyDescent="0.3">
      <c r="A30" s="2" t="s">
        <v>134</v>
      </c>
      <c r="B30" s="3" t="s">
        <v>104</v>
      </c>
      <c r="C30" s="2" t="s">
        <v>33</v>
      </c>
      <c r="D30" s="13">
        <v>38073</v>
      </c>
      <c r="E30" s="4">
        <v>22</v>
      </c>
      <c r="F30" s="2" t="s">
        <v>49</v>
      </c>
      <c r="G30" s="4">
        <v>1</v>
      </c>
      <c r="H30" s="2" t="s">
        <v>35</v>
      </c>
      <c r="I30" s="3" t="s">
        <v>36</v>
      </c>
      <c r="J30" s="3" t="s">
        <v>37</v>
      </c>
      <c r="K30" s="2" t="s">
        <v>38</v>
      </c>
      <c r="L30" s="2" t="s">
        <v>39</v>
      </c>
      <c r="M30" s="3" t="s">
        <v>40</v>
      </c>
      <c r="N30" s="2" t="s">
        <v>67</v>
      </c>
      <c r="O30" s="13">
        <v>45351</v>
      </c>
      <c r="P30" s="13">
        <v>45441</v>
      </c>
      <c r="Q30" s="3" t="s">
        <v>53</v>
      </c>
      <c r="R30" s="2">
        <v>4</v>
      </c>
      <c r="S30" s="2" t="s">
        <v>43</v>
      </c>
      <c r="T30" s="5">
        <v>24000</v>
      </c>
      <c r="U30" s="5">
        <v>0</v>
      </c>
      <c r="V30" s="4">
        <v>14</v>
      </c>
      <c r="W30" s="4">
        <v>30</v>
      </c>
      <c r="X30" s="2" t="s">
        <v>44</v>
      </c>
      <c r="Y30" s="4">
        <v>0</v>
      </c>
      <c r="Z30" s="4">
        <v>5</v>
      </c>
      <c r="AA30" s="4">
        <v>0</v>
      </c>
      <c r="AB30" s="4">
        <v>0</v>
      </c>
      <c r="AC30" s="4">
        <v>2</v>
      </c>
      <c r="AD30" s="4">
        <v>10</v>
      </c>
      <c r="AE30" s="3" t="s">
        <v>58</v>
      </c>
      <c r="AG30">
        <f t="shared" ca="1" si="0"/>
        <v>2</v>
      </c>
      <c r="AH30" s="23" t="str" cm="1">
        <f t="array" ref="AH30">_xlfn.IFS(E30&gt;49,"50+",E30&gt;39,"40-49",E30&gt;29,"30-39",E30&gt;19,"20-29")</f>
        <v>20-29</v>
      </c>
      <c r="AI30" s="24" t="str" cm="1">
        <f t="array" aca="1" ref="AI30" ca="1">_xlfn.IFS(AG30&gt;10,"10+",AG30&gt;4,"5-10 YIL",AG30&gt;2,"3-5 YIL",AG30&gt;0.9,"1-3 YIL",AG30&lt;1,"0-1 YIL")</f>
        <v>1-3 YIL</v>
      </c>
      <c r="AJ30">
        <f t="shared" si="1"/>
        <v>2024</v>
      </c>
      <c r="AK30">
        <f t="shared" si="2"/>
        <v>2024</v>
      </c>
    </row>
    <row r="31" spans="1:37" x14ac:dyDescent="0.3">
      <c r="A31" s="6" t="s">
        <v>135</v>
      </c>
      <c r="B31" s="7" t="s">
        <v>136</v>
      </c>
      <c r="C31" s="6" t="s">
        <v>48</v>
      </c>
      <c r="D31" s="14">
        <v>32420</v>
      </c>
      <c r="E31" s="8">
        <v>38</v>
      </c>
      <c r="F31" s="6" t="s">
        <v>49</v>
      </c>
      <c r="G31" s="8">
        <v>1</v>
      </c>
      <c r="H31" s="6" t="s">
        <v>88</v>
      </c>
      <c r="I31" s="7" t="s">
        <v>61</v>
      </c>
      <c r="J31" s="7" t="s">
        <v>107</v>
      </c>
      <c r="K31" s="6" t="s">
        <v>51</v>
      </c>
      <c r="L31" s="6" t="s">
        <v>63</v>
      </c>
      <c r="M31" s="7" t="s">
        <v>64</v>
      </c>
      <c r="N31" s="6" t="s">
        <v>41</v>
      </c>
      <c r="O31" s="14">
        <v>44822</v>
      </c>
      <c r="P31" s="6" t="s">
        <v>44</v>
      </c>
      <c r="Q31" s="7" t="s">
        <v>44</v>
      </c>
      <c r="R31" s="6" t="s">
        <v>44</v>
      </c>
      <c r="S31" s="6" t="s">
        <v>56</v>
      </c>
      <c r="T31" s="9">
        <v>58800</v>
      </c>
      <c r="U31" s="9">
        <v>20400</v>
      </c>
      <c r="V31" s="8">
        <v>5</v>
      </c>
      <c r="W31" s="8">
        <v>30</v>
      </c>
      <c r="X31" s="6" t="s">
        <v>44</v>
      </c>
      <c r="Y31" s="8">
        <v>0</v>
      </c>
      <c r="Z31" s="8">
        <v>13</v>
      </c>
      <c r="AA31" s="8">
        <v>0</v>
      </c>
      <c r="AB31" s="8">
        <v>0</v>
      </c>
      <c r="AC31" s="8">
        <v>3</v>
      </c>
      <c r="AD31" s="8">
        <v>14</v>
      </c>
      <c r="AE31" s="7" t="s">
        <v>45</v>
      </c>
      <c r="AG31">
        <f t="shared" ca="1" si="0"/>
        <v>3</v>
      </c>
      <c r="AH31" s="23" t="str" cm="1">
        <f t="array" ref="AH31">_xlfn.IFS(E31&gt;49,"50+",E31&gt;39,"40-49",E31&gt;29,"30-39",E31&gt;19,"20-29")</f>
        <v>30-39</v>
      </c>
      <c r="AI31" s="24" t="str" cm="1">
        <f t="array" aca="1" ref="AI31" ca="1">_xlfn.IFS(AG31&gt;10,"10+",AG31&gt;4,"5-10 YIL",AG31&gt;2,"3-5 YIL",AG31&gt;0.9,"1-3 YIL",AG31&lt;1,"0-1 YIL")</f>
        <v>3-5 YIL</v>
      </c>
      <c r="AJ31">
        <f t="shared" si="1"/>
        <v>2022</v>
      </c>
      <c r="AK31" t="e">
        <f t="shared" si="2"/>
        <v>#VALUE!</v>
      </c>
    </row>
    <row r="32" spans="1:37" x14ac:dyDescent="0.3">
      <c r="A32" s="2" t="s">
        <v>137</v>
      </c>
      <c r="B32" s="3" t="s">
        <v>138</v>
      </c>
      <c r="C32" s="2" t="s">
        <v>33</v>
      </c>
      <c r="D32" s="13">
        <v>31486</v>
      </c>
      <c r="E32" s="4">
        <v>40</v>
      </c>
      <c r="F32" s="2" t="s">
        <v>34</v>
      </c>
      <c r="G32" s="4">
        <v>0</v>
      </c>
      <c r="H32" s="2" t="s">
        <v>85</v>
      </c>
      <c r="I32" s="3" t="s">
        <v>139</v>
      </c>
      <c r="J32" s="3" t="s">
        <v>140</v>
      </c>
      <c r="K32" s="2" t="s">
        <v>79</v>
      </c>
      <c r="L32" s="2" t="s">
        <v>63</v>
      </c>
      <c r="M32" s="3" t="s">
        <v>80</v>
      </c>
      <c r="N32" s="2" t="s">
        <v>95</v>
      </c>
      <c r="O32" s="13">
        <v>43426</v>
      </c>
      <c r="P32" s="2" t="s">
        <v>44</v>
      </c>
      <c r="Q32" s="3" t="s">
        <v>44</v>
      </c>
      <c r="R32" s="2" t="s">
        <v>44</v>
      </c>
      <c r="S32" s="2" t="s">
        <v>56</v>
      </c>
      <c r="T32" s="5">
        <v>123100</v>
      </c>
      <c r="U32" s="5">
        <v>0</v>
      </c>
      <c r="V32" s="4">
        <v>6</v>
      </c>
      <c r="W32" s="4">
        <v>30</v>
      </c>
      <c r="X32" s="2" t="s">
        <v>44</v>
      </c>
      <c r="Y32" s="4">
        <v>0</v>
      </c>
      <c r="Z32" s="4">
        <v>8</v>
      </c>
      <c r="AA32" s="4">
        <v>0</v>
      </c>
      <c r="AB32" s="4">
        <v>0</v>
      </c>
      <c r="AC32" s="4">
        <v>4</v>
      </c>
      <c r="AD32" s="4">
        <v>31</v>
      </c>
      <c r="AE32" s="3" t="s">
        <v>58</v>
      </c>
      <c r="AG32">
        <f t="shared" ca="1" si="0"/>
        <v>7</v>
      </c>
      <c r="AH32" s="23" t="str" cm="1">
        <f t="array" ref="AH32">_xlfn.IFS(E32&gt;49,"50+",E32&gt;39,"40-49",E32&gt;29,"30-39",E32&gt;19,"20-29")</f>
        <v>40-49</v>
      </c>
      <c r="AI32" s="24" t="str" cm="1">
        <f t="array" aca="1" ref="AI32" ca="1">_xlfn.IFS(AG32&gt;10,"10+",AG32&gt;4,"5-10 YIL",AG32&gt;2,"3-5 YIL",AG32&gt;0.9,"1-3 YIL",AG32&lt;1,"0-1 YIL")</f>
        <v>5-10 YIL</v>
      </c>
      <c r="AJ32">
        <f t="shared" si="1"/>
        <v>2018</v>
      </c>
      <c r="AK32" t="e">
        <f t="shared" si="2"/>
        <v>#VALUE!</v>
      </c>
    </row>
    <row r="33" spans="1:37" x14ac:dyDescent="0.3">
      <c r="A33" s="6" t="s">
        <v>141</v>
      </c>
      <c r="B33" s="7" t="s">
        <v>142</v>
      </c>
      <c r="C33" s="6" t="s">
        <v>33</v>
      </c>
      <c r="D33" s="14">
        <v>37747</v>
      </c>
      <c r="E33" s="8">
        <v>23</v>
      </c>
      <c r="F33" s="6" t="s">
        <v>49</v>
      </c>
      <c r="G33" s="8">
        <v>1</v>
      </c>
      <c r="H33" s="6" t="s">
        <v>35</v>
      </c>
      <c r="I33" s="7" t="s">
        <v>36</v>
      </c>
      <c r="J33" s="7" t="s">
        <v>37</v>
      </c>
      <c r="K33" s="6" t="s">
        <v>38</v>
      </c>
      <c r="L33" s="6" t="s">
        <v>39</v>
      </c>
      <c r="M33" s="7" t="s">
        <v>40</v>
      </c>
      <c r="N33" s="6" t="s">
        <v>67</v>
      </c>
      <c r="O33" s="14">
        <v>45994</v>
      </c>
      <c r="P33" s="6" t="s">
        <v>44</v>
      </c>
      <c r="Q33" s="7" t="s">
        <v>44</v>
      </c>
      <c r="R33" s="6" t="s">
        <v>44</v>
      </c>
      <c r="S33" s="6" t="s">
        <v>56</v>
      </c>
      <c r="T33" s="9">
        <v>25500</v>
      </c>
      <c r="U33" s="9">
        <v>0</v>
      </c>
      <c r="V33" s="8">
        <v>15</v>
      </c>
      <c r="W33" s="8">
        <v>30</v>
      </c>
      <c r="X33" s="6" t="s">
        <v>44</v>
      </c>
      <c r="Y33" s="8">
        <v>0</v>
      </c>
      <c r="Z33" s="8">
        <v>0</v>
      </c>
      <c r="AA33" s="8">
        <v>0</v>
      </c>
      <c r="AB33" s="8">
        <v>0</v>
      </c>
      <c r="AC33" s="8">
        <v>2</v>
      </c>
      <c r="AD33" s="8">
        <v>17</v>
      </c>
      <c r="AE33" s="7" t="s">
        <v>45</v>
      </c>
      <c r="AG33">
        <f t="shared" ca="1" si="0"/>
        <v>0</v>
      </c>
      <c r="AH33" s="23" t="str" cm="1">
        <f t="array" ref="AH33">_xlfn.IFS(E33&gt;49,"50+",E33&gt;39,"40-49",E33&gt;29,"30-39",E33&gt;19,"20-29")</f>
        <v>20-29</v>
      </c>
      <c r="AI33" s="24" t="str" cm="1">
        <f t="array" aca="1" ref="AI33" ca="1">_xlfn.IFS(AG33&gt;10,"10+",AG33&gt;4,"5-10 YIL",AG33&gt;2,"3-5 YIL",AG33&gt;0.9,"1-3 YIL",AG33&lt;1,"0-1 YIL")</f>
        <v>0-1 YIL</v>
      </c>
      <c r="AJ33">
        <f t="shared" si="1"/>
        <v>2025</v>
      </c>
      <c r="AK33" t="e">
        <f t="shared" si="2"/>
        <v>#VALUE!</v>
      </c>
    </row>
    <row r="34" spans="1:37" x14ac:dyDescent="0.3">
      <c r="A34" s="2" t="s">
        <v>143</v>
      </c>
      <c r="B34" s="3" t="s">
        <v>106</v>
      </c>
      <c r="C34" s="2" t="s">
        <v>33</v>
      </c>
      <c r="D34" s="13">
        <v>31513</v>
      </c>
      <c r="E34" s="4">
        <v>40</v>
      </c>
      <c r="F34" s="2" t="s">
        <v>49</v>
      </c>
      <c r="G34" s="4">
        <v>2</v>
      </c>
      <c r="H34" s="2" t="s">
        <v>88</v>
      </c>
      <c r="I34" s="3" t="s">
        <v>36</v>
      </c>
      <c r="J34" s="3" t="s">
        <v>78</v>
      </c>
      <c r="K34" s="2" t="s">
        <v>79</v>
      </c>
      <c r="L34" s="2" t="s">
        <v>63</v>
      </c>
      <c r="M34" s="3" t="s">
        <v>80</v>
      </c>
      <c r="N34" s="2" t="s">
        <v>41</v>
      </c>
      <c r="O34" s="13">
        <v>43979</v>
      </c>
      <c r="P34" s="2" t="s">
        <v>44</v>
      </c>
      <c r="Q34" s="3" t="s">
        <v>44</v>
      </c>
      <c r="R34" s="2" t="s">
        <v>44</v>
      </c>
      <c r="S34" s="2" t="s">
        <v>56</v>
      </c>
      <c r="T34" s="5">
        <v>108800</v>
      </c>
      <c r="U34" s="5">
        <v>0</v>
      </c>
      <c r="V34" s="4">
        <v>7</v>
      </c>
      <c r="W34" s="4">
        <v>29</v>
      </c>
      <c r="X34" s="2" t="s">
        <v>57</v>
      </c>
      <c r="Y34" s="4">
        <v>1</v>
      </c>
      <c r="Z34" s="4">
        <v>1</v>
      </c>
      <c r="AA34" s="4">
        <v>0</v>
      </c>
      <c r="AB34" s="4">
        <v>0</v>
      </c>
      <c r="AC34" s="4">
        <v>3</v>
      </c>
      <c r="AD34" s="4">
        <v>9</v>
      </c>
      <c r="AE34" s="3" t="s">
        <v>58</v>
      </c>
      <c r="AG34">
        <f t="shared" ca="1" si="0"/>
        <v>6</v>
      </c>
      <c r="AH34" s="23" t="str" cm="1">
        <f t="array" ref="AH34">_xlfn.IFS(E34&gt;49,"50+",E34&gt;39,"40-49",E34&gt;29,"30-39",E34&gt;19,"20-29")</f>
        <v>40-49</v>
      </c>
      <c r="AI34" s="24" t="str" cm="1">
        <f t="array" aca="1" ref="AI34" ca="1">_xlfn.IFS(AG34&gt;10,"10+",AG34&gt;4,"5-10 YIL",AG34&gt;2,"3-5 YIL",AG34&gt;0.9,"1-3 YIL",AG34&lt;1,"0-1 YIL")</f>
        <v>5-10 YIL</v>
      </c>
      <c r="AJ34">
        <f t="shared" si="1"/>
        <v>2020</v>
      </c>
      <c r="AK34" t="e">
        <f t="shared" si="2"/>
        <v>#VALUE!</v>
      </c>
    </row>
    <row r="35" spans="1:37" x14ac:dyDescent="0.3">
      <c r="A35" s="6" t="s">
        <v>144</v>
      </c>
      <c r="B35" s="7" t="s">
        <v>145</v>
      </c>
      <c r="C35" s="6" t="s">
        <v>48</v>
      </c>
      <c r="D35" s="14">
        <v>35926</v>
      </c>
      <c r="E35" s="8">
        <v>28</v>
      </c>
      <c r="F35" s="6" t="s">
        <v>34</v>
      </c>
      <c r="G35" s="8">
        <v>0</v>
      </c>
      <c r="H35" s="6" t="s">
        <v>35</v>
      </c>
      <c r="I35" s="7" t="s">
        <v>61</v>
      </c>
      <c r="J35" s="7" t="s">
        <v>107</v>
      </c>
      <c r="K35" s="6" t="s">
        <v>51</v>
      </c>
      <c r="L35" s="6" t="s">
        <v>63</v>
      </c>
      <c r="M35" s="7" t="s">
        <v>64</v>
      </c>
      <c r="N35" s="6" t="s">
        <v>41</v>
      </c>
      <c r="O35" s="14">
        <v>42896</v>
      </c>
      <c r="P35" s="6" t="s">
        <v>44</v>
      </c>
      <c r="Q35" s="7" t="s">
        <v>44</v>
      </c>
      <c r="R35" s="6" t="s">
        <v>44</v>
      </c>
      <c r="S35" s="6" t="s">
        <v>56</v>
      </c>
      <c r="T35" s="9">
        <v>58800</v>
      </c>
      <c r="U35" s="9">
        <v>11300</v>
      </c>
      <c r="V35" s="8">
        <v>4</v>
      </c>
      <c r="W35" s="8">
        <v>27</v>
      </c>
      <c r="X35" s="6" t="s">
        <v>81</v>
      </c>
      <c r="Y35" s="8">
        <v>0</v>
      </c>
      <c r="Z35" s="8">
        <v>12</v>
      </c>
      <c r="AA35" s="8">
        <v>3</v>
      </c>
      <c r="AB35" s="8">
        <v>0</v>
      </c>
      <c r="AC35" s="8">
        <v>3</v>
      </c>
      <c r="AD35" s="8">
        <v>2</v>
      </c>
      <c r="AE35" s="7" t="s">
        <v>45</v>
      </c>
      <c r="AG35">
        <f t="shared" ca="1" si="0"/>
        <v>9</v>
      </c>
      <c r="AH35" s="23" t="str" cm="1">
        <f t="array" ref="AH35">_xlfn.IFS(E35&gt;49,"50+",E35&gt;39,"40-49",E35&gt;29,"30-39",E35&gt;19,"20-29")</f>
        <v>20-29</v>
      </c>
      <c r="AI35" s="24" t="str" cm="1">
        <f t="array" aca="1" ref="AI35" ca="1">_xlfn.IFS(AG35&gt;10,"10+",AG35&gt;4,"5-10 YIL",AG35&gt;2,"3-5 YIL",AG35&gt;0.9,"1-3 YIL",AG35&lt;1,"0-1 YIL")</f>
        <v>5-10 YIL</v>
      </c>
      <c r="AJ35">
        <f t="shared" si="1"/>
        <v>2017</v>
      </c>
      <c r="AK35" t="e">
        <f t="shared" si="2"/>
        <v>#VALUE!</v>
      </c>
    </row>
    <row r="36" spans="1:37" x14ac:dyDescent="0.3">
      <c r="A36" s="2" t="s">
        <v>146</v>
      </c>
      <c r="B36" s="3" t="s">
        <v>147</v>
      </c>
      <c r="C36" s="2" t="s">
        <v>33</v>
      </c>
      <c r="D36" s="13">
        <v>29809</v>
      </c>
      <c r="E36" s="4">
        <v>45</v>
      </c>
      <c r="F36" s="2" t="s">
        <v>49</v>
      </c>
      <c r="G36" s="4">
        <v>1</v>
      </c>
      <c r="H36" s="2" t="s">
        <v>35</v>
      </c>
      <c r="I36" s="3" t="s">
        <v>148</v>
      </c>
      <c r="J36" s="3" t="s">
        <v>149</v>
      </c>
      <c r="K36" s="2" t="s">
        <v>51</v>
      </c>
      <c r="L36" s="2" t="s">
        <v>63</v>
      </c>
      <c r="M36" s="3" t="s">
        <v>150</v>
      </c>
      <c r="N36" s="2" t="s">
        <v>41</v>
      </c>
      <c r="O36" s="13">
        <v>43481</v>
      </c>
      <c r="P36" s="2" t="s">
        <v>44</v>
      </c>
      <c r="Q36" s="3" t="s">
        <v>44</v>
      </c>
      <c r="R36" s="2" t="s">
        <v>44</v>
      </c>
      <c r="S36" s="2" t="s">
        <v>56</v>
      </c>
      <c r="T36" s="5">
        <v>53300</v>
      </c>
      <c r="U36" s="5">
        <v>0</v>
      </c>
      <c r="V36" s="4">
        <v>7</v>
      </c>
      <c r="W36" s="4">
        <v>28</v>
      </c>
      <c r="X36" s="2" t="s">
        <v>57</v>
      </c>
      <c r="Y36" s="4">
        <v>2</v>
      </c>
      <c r="Z36" s="4">
        <v>11</v>
      </c>
      <c r="AA36" s="4">
        <v>0</v>
      </c>
      <c r="AB36" s="4">
        <v>0</v>
      </c>
      <c r="AC36" s="4">
        <v>2</v>
      </c>
      <c r="AD36" s="4">
        <v>6</v>
      </c>
      <c r="AE36" s="3" t="s">
        <v>82</v>
      </c>
      <c r="AG36">
        <f t="shared" ca="1" si="0"/>
        <v>7</v>
      </c>
      <c r="AH36" s="23" t="str" cm="1">
        <f t="array" ref="AH36">_xlfn.IFS(E36&gt;49,"50+",E36&gt;39,"40-49",E36&gt;29,"30-39",E36&gt;19,"20-29")</f>
        <v>40-49</v>
      </c>
      <c r="AI36" s="24" t="str" cm="1">
        <f t="array" aca="1" ref="AI36" ca="1">_xlfn.IFS(AG36&gt;10,"10+",AG36&gt;4,"5-10 YIL",AG36&gt;2,"3-5 YIL",AG36&gt;0.9,"1-3 YIL",AG36&lt;1,"0-1 YIL")</f>
        <v>5-10 YIL</v>
      </c>
      <c r="AJ36">
        <f t="shared" si="1"/>
        <v>2019</v>
      </c>
      <c r="AK36" t="e">
        <f t="shared" si="2"/>
        <v>#VALUE!</v>
      </c>
    </row>
    <row r="37" spans="1:37" x14ac:dyDescent="0.3">
      <c r="A37" s="6" t="s">
        <v>151</v>
      </c>
      <c r="B37" s="7" t="s">
        <v>152</v>
      </c>
      <c r="C37" s="6" t="s">
        <v>48</v>
      </c>
      <c r="D37" s="14">
        <v>37408</v>
      </c>
      <c r="E37" s="8">
        <v>24</v>
      </c>
      <c r="F37" s="6" t="s">
        <v>49</v>
      </c>
      <c r="G37" s="8">
        <v>2</v>
      </c>
      <c r="H37" s="6" t="s">
        <v>35</v>
      </c>
      <c r="I37" s="7" t="s">
        <v>36</v>
      </c>
      <c r="J37" s="7" t="s">
        <v>37</v>
      </c>
      <c r="K37" s="6" t="s">
        <v>38</v>
      </c>
      <c r="L37" s="6" t="s">
        <v>39</v>
      </c>
      <c r="M37" s="7" t="s">
        <v>40</v>
      </c>
      <c r="N37" s="6" t="s">
        <v>95</v>
      </c>
      <c r="O37" s="14">
        <v>46151</v>
      </c>
      <c r="P37" s="6" t="s">
        <v>44</v>
      </c>
      <c r="Q37" s="7" t="s">
        <v>44</v>
      </c>
      <c r="R37" s="6" t="s">
        <v>44</v>
      </c>
      <c r="S37" s="6" t="s">
        <v>56</v>
      </c>
      <c r="T37" s="9">
        <v>25500</v>
      </c>
      <c r="U37" s="9">
        <v>0</v>
      </c>
      <c r="V37" s="8">
        <v>11</v>
      </c>
      <c r="W37" s="8">
        <v>30</v>
      </c>
      <c r="X37" s="6" t="s">
        <v>44</v>
      </c>
      <c r="Y37" s="8">
        <v>0</v>
      </c>
      <c r="Z37" s="8">
        <v>0</v>
      </c>
      <c r="AA37" s="8">
        <v>0</v>
      </c>
      <c r="AB37" s="8">
        <v>0</v>
      </c>
      <c r="AC37" s="8">
        <v>2</v>
      </c>
      <c r="AD37" s="8">
        <v>7</v>
      </c>
      <c r="AE37" s="7" t="s">
        <v>45</v>
      </c>
      <c r="AG37">
        <f t="shared" ca="1" si="0"/>
        <v>0</v>
      </c>
      <c r="AH37" s="23" t="str" cm="1">
        <f t="array" ref="AH37">_xlfn.IFS(E37&gt;49,"50+",E37&gt;39,"40-49",E37&gt;29,"30-39",E37&gt;19,"20-29")</f>
        <v>20-29</v>
      </c>
      <c r="AI37" s="24" t="str" cm="1">
        <f t="array" aca="1" ref="AI37" ca="1">_xlfn.IFS(AG37&gt;10,"10+",AG37&gt;4,"5-10 YIL",AG37&gt;2,"3-5 YIL",AG37&gt;0.9,"1-3 YIL",AG37&lt;1,"0-1 YIL")</f>
        <v>0-1 YIL</v>
      </c>
      <c r="AJ37">
        <f t="shared" si="1"/>
        <v>2026</v>
      </c>
      <c r="AK37" t="e">
        <f t="shared" si="2"/>
        <v>#VALUE!</v>
      </c>
    </row>
    <row r="38" spans="1:37" x14ac:dyDescent="0.3">
      <c r="A38" s="2" t="s">
        <v>153</v>
      </c>
      <c r="B38" s="3" t="s">
        <v>154</v>
      </c>
      <c r="C38" s="2" t="s">
        <v>48</v>
      </c>
      <c r="D38" s="13">
        <v>33974</v>
      </c>
      <c r="E38" s="4">
        <v>33</v>
      </c>
      <c r="F38" s="2" t="s">
        <v>34</v>
      </c>
      <c r="G38" s="4">
        <v>0</v>
      </c>
      <c r="H38" s="2" t="s">
        <v>35</v>
      </c>
      <c r="I38" s="3" t="s">
        <v>70</v>
      </c>
      <c r="J38" s="3" t="s">
        <v>71</v>
      </c>
      <c r="K38" s="2" t="s">
        <v>51</v>
      </c>
      <c r="L38" s="2" t="s">
        <v>63</v>
      </c>
      <c r="M38" s="3" t="s">
        <v>72</v>
      </c>
      <c r="N38" s="2" t="s">
        <v>41</v>
      </c>
      <c r="O38" s="13">
        <v>41868</v>
      </c>
      <c r="P38" s="2" t="s">
        <v>44</v>
      </c>
      <c r="Q38" s="3" t="s">
        <v>44</v>
      </c>
      <c r="R38" s="2" t="s">
        <v>44</v>
      </c>
      <c r="S38" s="2" t="s">
        <v>56</v>
      </c>
      <c r="T38" s="5">
        <v>61700</v>
      </c>
      <c r="U38" s="5">
        <v>7800</v>
      </c>
      <c r="V38" s="4">
        <v>0</v>
      </c>
      <c r="W38" s="4">
        <v>30</v>
      </c>
      <c r="X38" s="2" t="s">
        <v>44</v>
      </c>
      <c r="Y38" s="4">
        <v>0</v>
      </c>
      <c r="Z38" s="4">
        <v>14</v>
      </c>
      <c r="AA38" s="4">
        <v>0</v>
      </c>
      <c r="AB38" s="4">
        <v>0</v>
      </c>
      <c r="AC38" s="4">
        <v>4</v>
      </c>
      <c r="AD38" s="4">
        <v>35</v>
      </c>
      <c r="AE38" s="3" t="s">
        <v>58</v>
      </c>
      <c r="AG38">
        <f t="shared" ca="1" si="0"/>
        <v>11</v>
      </c>
      <c r="AH38" s="23" t="str" cm="1">
        <f t="array" ref="AH38">_xlfn.IFS(E38&gt;49,"50+",E38&gt;39,"40-49",E38&gt;29,"30-39",E38&gt;19,"20-29")</f>
        <v>30-39</v>
      </c>
      <c r="AI38" s="24" t="str" cm="1">
        <f t="array" aca="1" ref="AI38" ca="1">_xlfn.IFS(AG38&gt;10,"10+",AG38&gt;4,"5-10 YIL",AG38&gt;2,"3-5 YIL",AG38&gt;0.9,"1-3 YIL",AG38&lt;1,"0-1 YIL")</f>
        <v>10+</v>
      </c>
      <c r="AJ38">
        <f t="shared" si="1"/>
        <v>2014</v>
      </c>
      <c r="AK38" t="e">
        <f t="shared" si="2"/>
        <v>#VALUE!</v>
      </c>
    </row>
    <row r="39" spans="1:37" x14ac:dyDescent="0.3">
      <c r="A39" s="6" t="s">
        <v>155</v>
      </c>
      <c r="B39" s="7" t="s">
        <v>156</v>
      </c>
      <c r="C39" s="6" t="s">
        <v>48</v>
      </c>
      <c r="D39" s="14">
        <v>37930</v>
      </c>
      <c r="E39" s="8">
        <v>23</v>
      </c>
      <c r="F39" s="6" t="s">
        <v>49</v>
      </c>
      <c r="G39" s="8">
        <v>1</v>
      </c>
      <c r="H39" s="6" t="s">
        <v>35</v>
      </c>
      <c r="I39" s="7" t="s">
        <v>36</v>
      </c>
      <c r="J39" s="7" t="s">
        <v>37</v>
      </c>
      <c r="K39" s="6" t="s">
        <v>38</v>
      </c>
      <c r="L39" s="6" t="s">
        <v>39</v>
      </c>
      <c r="M39" s="7" t="s">
        <v>40</v>
      </c>
      <c r="N39" s="6" t="s">
        <v>41</v>
      </c>
      <c r="O39" s="14">
        <v>45296</v>
      </c>
      <c r="P39" s="6" t="s">
        <v>44</v>
      </c>
      <c r="Q39" s="7" t="s">
        <v>44</v>
      </c>
      <c r="R39" s="6" t="s">
        <v>44</v>
      </c>
      <c r="S39" s="6" t="s">
        <v>56</v>
      </c>
      <c r="T39" s="9">
        <v>28300</v>
      </c>
      <c r="U39" s="9">
        <v>0</v>
      </c>
      <c r="V39" s="8">
        <v>15</v>
      </c>
      <c r="W39" s="8">
        <v>30</v>
      </c>
      <c r="X39" s="6" t="s">
        <v>44</v>
      </c>
      <c r="Y39" s="8">
        <v>0</v>
      </c>
      <c r="Z39" s="8">
        <v>13</v>
      </c>
      <c r="AA39" s="8">
        <v>0</v>
      </c>
      <c r="AB39" s="8">
        <v>0</v>
      </c>
      <c r="AC39" s="8">
        <v>4</v>
      </c>
      <c r="AD39" s="8">
        <v>19</v>
      </c>
      <c r="AE39" s="7" t="s">
        <v>58</v>
      </c>
      <c r="AG39">
        <f t="shared" ca="1" si="0"/>
        <v>2</v>
      </c>
      <c r="AH39" s="23" t="str" cm="1">
        <f t="array" ref="AH39">_xlfn.IFS(E39&gt;49,"50+",E39&gt;39,"40-49",E39&gt;29,"30-39",E39&gt;19,"20-29")</f>
        <v>20-29</v>
      </c>
      <c r="AI39" s="24" t="str" cm="1">
        <f t="array" aca="1" ref="AI39" ca="1">_xlfn.IFS(AG39&gt;10,"10+",AG39&gt;4,"5-10 YIL",AG39&gt;2,"3-5 YIL",AG39&gt;0.9,"1-3 YIL",AG39&lt;1,"0-1 YIL")</f>
        <v>1-3 YIL</v>
      </c>
      <c r="AJ39">
        <f t="shared" si="1"/>
        <v>2024</v>
      </c>
      <c r="AK39" t="e">
        <f t="shared" si="2"/>
        <v>#VALUE!</v>
      </c>
    </row>
    <row r="40" spans="1:37" x14ac:dyDescent="0.3">
      <c r="A40" s="2" t="s">
        <v>157</v>
      </c>
      <c r="B40" s="3" t="s">
        <v>158</v>
      </c>
      <c r="C40" s="2" t="s">
        <v>48</v>
      </c>
      <c r="D40" s="13">
        <v>30707</v>
      </c>
      <c r="E40" s="4">
        <v>42</v>
      </c>
      <c r="F40" s="2" t="s">
        <v>34</v>
      </c>
      <c r="G40" s="4">
        <v>0</v>
      </c>
      <c r="H40" s="2" t="s">
        <v>85</v>
      </c>
      <c r="I40" s="3" t="s">
        <v>61</v>
      </c>
      <c r="J40" s="3" t="s">
        <v>124</v>
      </c>
      <c r="K40" s="2" t="s">
        <v>79</v>
      </c>
      <c r="L40" s="2" t="s">
        <v>63</v>
      </c>
      <c r="M40" s="3" t="s">
        <v>80</v>
      </c>
      <c r="N40" s="2" t="s">
        <v>67</v>
      </c>
      <c r="O40" s="13">
        <v>41010</v>
      </c>
      <c r="P40" s="2" t="s">
        <v>44</v>
      </c>
      <c r="Q40" s="3" t="s">
        <v>44</v>
      </c>
      <c r="R40" s="2" t="s">
        <v>44</v>
      </c>
      <c r="S40" s="2" t="s">
        <v>56</v>
      </c>
      <c r="T40" s="5">
        <v>119400</v>
      </c>
      <c r="U40" s="5">
        <v>39600</v>
      </c>
      <c r="V40" s="4">
        <v>5</v>
      </c>
      <c r="W40" s="4">
        <v>30</v>
      </c>
      <c r="X40" s="2" t="s">
        <v>44</v>
      </c>
      <c r="Y40" s="4">
        <v>0</v>
      </c>
      <c r="Z40" s="4">
        <v>3</v>
      </c>
      <c r="AA40" s="4">
        <v>0</v>
      </c>
      <c r="AB40" s="4">
        <v>0</v>
      </c>
      <c r="AC40" s="4">
        <v>2</v>
      </c>
      <c r="AD40" s="4">
        <v>2</v>
      </c>
      <c r="AE40" s="3" t="s">
        <v>82</v>
      </c>
      <c r="AG40">
        <f t="shared" ca="1" si="0"/>
        <v>14</v>
      </c>
      <c r="AH40" s="23" t="str" cm="1">
        <f t="array" ref="AH40">_xlfn.IFS(E40&gt;49,"50+",E40&gt;39,"40-49",E40&gt;29,"30-39",E40&gt;19,"20-29")</f>
        <v>40-49</v>
      </c>
      <c r="AI40" s="24" t="str" cm="1">
        <f t="array" aca="1" ref="AI40" ca="1">_xlfn.IFS(AG40&gt;10,"10+",AG40&gt;4,"5-10 YIL",AG40&gt;2,"3-5 YIL",AG40&gt;0.9,"1-3 YIL",AG40&lt;1,"0-1 YIL")</f>
        <v>10+</v>
      </c>
      <c r="AJ40">
        <f t="shared" si="1"/>
        <v>2012</v>
      </c>
      <c r="AK40" t="e">
        <f t="shared" si="2"/>
        <v>#VALUE!</v>
      </c>
    </row>
    <row r="41" spans="1:37" x14ac:dyDescent="0.3">
      <c r="A41" s="6" t="s">
        <v>159</v>
      </c>
      <c r="B41" s="7" t="s">
        <v>160</v>
      </c>
      <c r="C41" s="6" t="s">
        <v>48</v>
      </c>
      <c r="D41" s="14">
        <v>29139</v>
      </c>
      <c r="E41" s="8">
        <v>47</v>
      </c>
      <c r="F41" s="6" t="s">
        <v>49</v>
      </c>
      <c r="G41" s="8">
        <v>0</v>
      </c>
      <c r="H41" s="6" t="s">
        <v>35</v>
      </c>
      <c r="I41" s="7" t="s">
        <v>139</v>
      </c>
      <c r="J41" s="7" t="s">
        <v>161</v>
      </c>
      <c r="K41" s="6" t="s">
        <v>51</v>
      </c>
      <c r="L41" s="6" t="s">
        <v>63</v>
      </c>
      <c r="M41" s="7" t="s">
        <v>162</v>
      </c>
      <c r="N41" s="6" t="s">
        <v>95</v>
      </c>
      <c r="O41" s="14">
        <v>41863</v>
      </c>
      <c r="P41" s="6" t="s">
        <v>44</v>
      </c>
      <c r="Q41" s="7" t="s">
        <v>44</v>
      </c>
      <c r="R41" s="6" t="s">
        <v>44</v>
      </c>
      <c r="S41" s="6" t="s">
        <v>56</v>
      </c>
      <c r="T41" s="9">
        <v>76500</v>
      </c>
      <c r="U41" s="9">
        <v>0</v>
      </c>
      <c r="V41" s="8">
        <v>2</v>
      </c>
      <c r="W41" s="8">
        <v>30</v>
      </c>
      <c r="X41" s="6" t="s">
        <v>44</v>
      </c>
      <c r="Y41" s="8">
        <v>0</v>
      </c>
      <c r="Z41" s="8">
        <v>3</v>
      </c>
      <c r="AA41" s="8">
        <v>0</v>
      </c>
      <c r="AB41" s="8">
        <v>0</v>
      </c>
      <c r="AC41" s="8">
        <v>3</v>
      </c>
      <c r="AD41" s="8">
        <v>2</v>
      </c>
      <c r="AE41" s="7" t="s">
        <v>58</v>
      </c>
      <c r="AG41">
        <f t="shared" ca="1" si="0"/>
        <v>11</v>
      </c>
      <c r="AH41" s="23" t="str" cm="1">
        <f t="array" ref="AH41">_xlfn.IFS(E41&gt;49,"50+",E41&gt;39,"40-49",E41&gt;29,"30-39",E41&gt;19,"20-29")</f>
        <v>40-49</v>
      </c>
      <c r="AI41" s="24" t="str" cm="1">
        <f t="array" aca="1" ref="AI41" ca="1">_xlfn.IFS(AG41&gt;10,"10+",AG41&gt;4,"5-10 YIL",AG41&gt;2,"3-5 YIL",AG41&gt;0.9,"1-3 YIL",AG41&lt;1,"0-1 YIL")</f>
        <v>10+</v>
      </c>
      <c r="AJ41">
        <f t="shared" si="1"/>
        <v>2014</v>
      </c>
      <c r="AK41" t="e">
        <f t="shared" si="2"/>
        <v>#VALUE!</v>
      </c>
    </row>
    <row r="42" spans="1:37" x14ac:dyDescent="0.3">
      <c r="A42" s="2" t="s">
        <v>163</v>
      </c>
      <c r="B42" s="3" t="s">
        <v>164</v>
      </c>
      <c r="C42" s="2" t="s">
        <v>48</v>
      </c>
      <c r="D42" s="13">
        <v>37120</v>
      </c>
      <c r="E42" s="4">
        <v>25</v>
      </c>
      <c r="F42" s="2" t="s">
        <v>49</v>
      </c>
      <c r="G42" s="4">
        <v>1</v>
      </c>
      <c r="H42" s="2" t="s">
        <v>35</v>
      </c>
      <c r="I42" s="3" t="s">
        <v>36</v>
      </c>
      <c r="J42" s="3" t="s">
        <v>37</v>
      </c>
      <c r="K42" s="2" t="s">
        <v>38</v>
      </c>
      <c r="L42" s="2" t="s">
        <v>39</v>
      </c>
      <c r="M42" s="3" t="s">
        <v>40</v>
      </c>
      <c r="N42" s="2" t="s">
        <v>52</v>
      </c>
      <c r="O42" s="13">
        <v>45117</v>
      </c>
      <c r="P42" s="2" t="s">
        <v>44</v>
      </c>
      <c r="Q42" s="3" t="s">
        <v>44</v>
      </c>
      <c r="R42" s="2" t="s">
        <v>44</v>
      </c>
      <c r="S42" s="2" t="s">
        <v>56</v>
      </c>
      <c r="T42" s="5">
        <v>24100</v>
      </c>
      <c r="U42" s="5">
        <v>0</v>
      </c>
      <c r="V42" s="4">
        <v>32</v>
      </c>
      <c r="W42" s="4">
        <v>30</v>
      </c>
      <c r="X42" s="2" t="s">
        <v>44</v>
      </c>
      <c r="Y42" s="4">
        <v>0</v>
      </c>
      <c r="Z42" s="4">
        <v>13</v>
      </c>
      <c r="AA42" s="4">
        <v>0</v>
      </c>
      <c r="AB42" s="4">
        <v>0</v>
      </c>
      <c r="AC42" s="4">
        <v>2</v>
      </c>
      <c r="AD42" s="4">
        <v>14</v>
      </c>
      <c r="AE42" s="3" t="s">
        <v>58</v>
      </c>
      <c r="AG42">
        <f t="shared" ca="1" si="0"/>
        <v>2</v>
      </c>
      <c r="AH42" s="23" t="str" cm="1">
        <f t="array" ref="AH42">_xlfn.IFS(E42&gt;49,"50+",E42&gt;39,"40-49",E42&gt;29,"30-39",E42&gt;19,"20-29")</f>
        <v>20-29</v>
      </c>
      <c r="AI42" s="24" t="str" cm="1">
        <f t="array" aca="1" ref="AI42" ca="1">_xlfn.IFS(AG42&gt;10,"10+",AG42&gt;4,"5-10 YIL",AG42&gt;2,"3-5 YIL",AG42&gt;0.9,"1-3 YIL",AG42&lt;1,"0-1 YIL")</f>
        <v>1-3 YIL</v>
      </c>
      <c r="AJ42">
        <f t="shared" si="1"/>
        <v>2023</v>
      </c>
      <c r="AK42" t="e">
        <f t="shared" si="2"/>
        <v>#VALUE!</v>
      </c>
    </row>
    <row r="43" spans="1:37" x14ac:dyDescent="0.3">
      <c r="A43" s="6" t="s">
        <v>165</v>
      </c>
      <c r="B43" s="7" t="s">
        <v>166</v>
      </c>
      <c r="C43" s="6" t="s">
        <v>48</v>
      </c>
      <c r="D43" s="14">
        <v>37347</v>
      </c>
      <c r="E43" s="8">
        <v>24</v>
      </c>
      <c r="F43" s="6" t="s">
        <v>49</v>
      </c>
      <c r="G43" s="8">
        <v>2</v>
      </c>
      <c r="H43" s="6" t="s">
        <v>35</v>
      </c>
      <c r="I43" s="7" t="s">
        <v>36</v>
      </c>
      <c r="J43" s="7" t="s">
        <v>37</v>
      </c>
      <c r="K43" s="6" t="s">
        <v>38</v>
      </c>
      <c r="L43" s="6" t="s">
        <v>39</v>
      </c>
      <c r="M43" s="7" t="s">
        <v>40</v>
      </c>
      <c r="N43" s="6" t="s">
        <v>41</v>
      </c>
      <c r="O43" s="14">
        <v>45180</v>
      </c>
      <c r="P43" s="6" t="s">
        <v>44</v>
      </c>
      <c r="Q43" s="7" t="s">
        <v>44</v>
      </c>
      <c r="R43" s="6" t="s">
        <v>44</v>
      </c>
      <c r="S43" s="6" t="s">
        <v>56</v>
      </c>
      <c r="T43" s="9">
        <v>28500</v>
      </c>
      <c r="U43" s="9">
        <v>0</v>
      </c>
      <c r="V43" s="8">
        <v>41</v>
      </c>
      <c r="W43" s="8">
        <v>30</v>
      </c>
      <c r="X43" s="6" t="s">
        <v>44</v>
      </c>
      <c r="Y43" s="8">
        <v>0</v>
      </c>
      <c r="Z43" s="8">
        <v>1</v>
      </c>
      <c r="AA43" s="8">
        <v>0</v>
      </c>
      <c r="AB43" s="8">
        <v>0</v>
      </c>
      <c r="AC43" s="8">
        <v>1</v>
      </c>
      <c r="AD43" s="8">
        <v>19</v>
      </c>
      <c r="AE43" s="7" t="s">
        <v>82</v>
      </c>
      <c r="AG43">
        <f t="shared" ca="1" si="0"/>
        <v>2</v>
      </c>
      <c r="AH43" s="23" t="str" cm="1">
        <f t="array" ref="AH43">_xlfn.IFS(E43&gt;49,"50+",E43&gt;39,"40-49",E43&gt;29,"30-39",E43&gt;19,"20-29")</f>
        <v>20-29</v>
      </c>
      <c r="AI43" s="24" t="str" cm="1">
        <f t="array" aca="1" ref="AI43" ca="1">_xlfn.IFS(AG43&gt;10,"10+",AG43&gt;4,"5-10 YIL",AG43&gt;2,"3-5 YIL",AG43&gt;0.9,"1-3 YIL",AG43&lt;1,"0-1 YIL")</f>
        <v>1-3 YIL</v>
      </c>
      <c r="AJ43">
        <f t="shared" si="1"/>
        <v>2023</v>
      </c>
      <c r="AK43" t="e">
        <f t="shared" si="2"/>
        <v>#VALUE!</v>
      </c>
    </row>
    <row r="44" spans="1:37" x14ac:dyDescent="0.3">
      <c r="A44" s="2" t="s">
        <v>167</v>
      </c>
      <c r="B44" s="3" t="s">
        <v>168</v>
      </c>
      <c r="C44" s="2" t="s">
        <v>33</v>
      </c>
      <c r="D44" s="13">
        <v>37605</v>
      </c>
      <c r="E44" s="4">
        <v>24</v>
      </c>
      <c r="F44" s="2" t="s">
        <v>49</v>
      </c>
      <c r="G44" s="4">
        <v>0</v>
      </c>
      <c r="H44" s="2" t="s">
        <v>35</v>
      </c>
      <c r="I44" s="3" t="s">
        <v>36</v>
      </c>
      <c r="J44" s="3" t="s">
        <v>37</v>
      </c>
      <c r="K44" s="2" t="s">
        <v>38</v>
      </c>
      <c r="L44" s="2" t="s">
        <v>39</v>
      </c>
      <c r="M44" s="3" t="s">
        <v>40</v>
      </c>
      <c r="N44" s="2" t="s">
        <v>67</v>
      </c>
      <c r="O44" s="13">
        <v>45910</v>
      </c>
      <c r="P44" s="2" t="s">
        <v>44</v>
      </c>
      <c r="Q44" s="3" t="s">
        <v>44</v>
      </c>
      <c r="R44" s="2" t="s">
        <v>44</v>
      </c>
      <c r="S44" s="2" t="s">
        <v>56</v>
      </c>
      <c r="T44" s="5">
        <v>27400</v>
      </c>
      <c r="U44" s="5">
        <v>0</v>
      </c>
      <c r="V44" s="4">
        <v>25</v>
      </c>
      <c r="W44" s="4">
        <v>30</v>
      </c>
      <c r="X44" s="2" t="s">
        <v>44</v>
      </c>
      <c r="Y44" s="4">
        <v>0</v>
      </c>
      <c r="Z44" s="4">
        <v>0</v>
      </c>
      <c r="AA44" s="4">
        <v>0</v>
      </c>
      <c r="AB44" s="4">
        <v>0</v>
      </c>
      <c r="AC44" s="4">
        <v>3</v>
      </c>
      <c r="AD44" s="4">
        <v>17</v>
      </c>
      <c r="AE44" s="3" t="s">
        <v>45</v>
      </c>
      <c r="AG44">
        <f t="shared" ca="1" si="0"/>
        <v>0</v>
      </c>
      <c r="AH44" s="23" t="str" cm="1">
        <f t="array" ref="AH44">_xlfn.IFS(E44&gt;49,"50+",E44&gt;39,"40-49",E44&gt;29,"30-39",E44&gt;19,"20-29")</f>
        <v>20-29</v>
      </c>
      <c r="AI44" s="24" t="str" cm="1">
        <f t="array" aca="1" ref="AI44" ca="1">_xlfn.IFS(AG44&gt;10,"10+",AG44&gt;4,"5-10 YIL",AG44&gt;2,"3-5 YIL",AG44&gt;0.9,"1-3 YIL",AG44&lt;1,"0-1 YIL")</f>
        <v>0-1 YIL</v>
      </c>
      <c r="AJ44">
        <f t="shared" si="1"/>
        <v>2025</v>
      </c>
      <c r="AK44" t="e">
        <f t="shared" si="2"/>
        <v>#VALUE!</v>
      </c>
    </row>
    <row r="45" spans="1:37" x14ac:dyDescent="0.3">
      <c r="A45" s="6" t="s">
        <v>169</v>
      </c>
      <c r="B45" s="7" t="s">
        <v>170</v>
      </c>
      <c r="C45" s="6" t="s">
        <v>48</v>
      </c>
      <c r="D45" s="14">
        <v>35896</v>
      </c>
      <c r="E45" s="8">
        <v>28</v>
      </c>
      <c r="F45" s="6" t="s">
        <v>34</v>
      </c>
      <c r="G45" s="8">
        <v>0</v>
      </c>
      <c r="H45" s="6" t="s">
        <v>88</v>
      </c>
      <c r="I45" s="7" t="s">
        <v>61</v>
      </c>
      <c r="J45" s="7" t="s">
        <v>107</v>
      </c>
      <c r="K45" s="6" t="s">
        <v>51</v>
      </c>
      <c r="L45" s="6" t="s">
        <v>63</v>
      </c>
      <c r="M45" s="7" t="s">
        <v>64</v>
      </c>
      <c r="N45" s="6" t="s">
        <v>89</v>
      </c>
      <c r="O45" s="14">
        <v>43384</v>
      </c>
      <c r="P45" s="6" t="s">
        <v>44</v>
      </c>
      <c r="Q45" s="7" t="s">
        <v>44</v>
      </c>
      <c r="R45" s="6" t="s">
        <v>44</v>
      </c>
      <c r="S45" s="6" t="s">
        <v>56</v>
      </c>
      <c r="T45" s="9">
        <v>56200</v>
      </c>
      <c r="U45" s="9">
        <v>6100</v>
      </c>
      <c r="V45" s="8">
        <v>4</v>
      </c>
      <c r="W45" s="8">
        <v>30</v>
      </c>
      <c r="X45" s="6" t="s">
        <v>44</v>
      </c>
      <c r="Y45" s="8">
        <v>0</v>
      </c>
      <c r="Z45" s="8">
        <v>1</v>
      </c>
      <c r="AA45" s="8">
        <v>0</v>
      </c>
      <c r="AB45" s="8">
        <v>0</v>
      </c>
      <c r="AC45" s="8">
        <v>4</v>
      </c>
      <c r="AD45" s="8">
        <v>14</v>
      </c>
      <c r="AE45" s="7" t="s">
        <v>73</v>
      </c>
      <c r="AG45">
        <f t="shared" ca="1" si="0"/>
        <v>7</v>
      </c>
      <c r="AH45" s="23" t="str" cm="1">
        <f t="array" ref="AH45">_xlfn.IFS(E45&gt;49,"50+",E45&gt;39,"40-49",E45&gt;29,"30-39",E45&gt;19,"20-29")</f>
        <v>20-29</v>
      </c>
      <c r="AI45" s="24" t="str" cm="1">
        <f t="array" aca="1" ref="AI45" ca="1">_xlfn.IFS(AG45&gt;10,"10+",AG45&gt;4,"5-10 YIL",AG45&gt;2,"3-5 YIL",AG45&gt;0.9,"1-3 YIL",AG45&lt;1,"0-1 YIL")</f>
        <v>5-10 YIL</v>
      </c>
      <c r="AJ45">
        <f t="shared" si="1"/>
        <v>2018</v>
      </c>
      <c r="AK45" t="e">
        <f t="shared" si="2"/>
        <v>#VALUE!</v>
      </c>
    </row>
    <row r="46" spans="1:37" x14ac:dyDescent="0.3">
      <c r="A46" s="2" t="s">
        <v>171</v>
      </c>
      <c r="B46" s="3" t="s">
        <v>172</v>
      </c>
      <c r="C46" s="2" t="s">
        <v>48</v>
      </c>
      <c r="D46" s="13">
        <v>29472</v>
      </c>
      <c r="E46" s="4">
        <v>46</v>
      </c>
      <c r="F46" s="2" t="s">
        <v>34</v>
      </c>
      <c r="G46" s="4">
        <v>0</v>
      </c>
      <c r="H46" s="2" t="s">
        <v>35</v>
      </c>
      <c r="I46" s="3" t="s">
        <v>61</v>
      </c>
      <c r="J46" s="3" t="s">
        <v>107</v>
      </c>
      <c r="K46" s="2" t="s">
        <v>51</v>
      </c>
      <c r="L46" s="2" t="s">
        <v>63</v>
      </c>
      <c r="M46" s="3" t="s">
        <v>64</v>
      </c>
      <c r="N46" s="2" t="s">
        <v>89</v>
      </c>
      <c r="O46" s="13">
        <v>44842</v>
      </c>
      <c r="P46" s="2" t="s">
        <v>44</v>
      </c>
      <c r="Q46" s="3" t="s">
        <v>44</v>
      </c>
      <c r="R46" s="2" t="s">
        <v>44</v>
      </c>
      <c r="S46" s="2" t="s">
        <v>56</v>
      </c>
      <c r="T46" s="5">
        <v>54600</v>
      </c>
      <c r="U46" s="5">
        <v>14300</v>
      </c>
      <c r="V46" s="4">
        <v>1</v>
      </c>
      <c r="W46" s="4">
        <v>30</v>
      </c>
      <c r="X46" s="2" t="s">
        <v>44</v>
      </c>
      <c r="Y46" s="4">
        <v>0</v>
      </c>
      <c r="Z46" s="4">
        <v>6</v>
      </c>
      <c r="AA46" s="4">
        <v>0</v>
      </c>
      <c r="AB46" s="4">
        <v>0</v>
      </c>
      <c r="AC46" s="4">
        <v>3</v>
      </c>
      <c r="AD46" s="4">
        <v>7</v>
      </c>
      <c r="AE46" s="3" t="s">
        <v>73</v>
      </c>
      <c r="AG46">
        <f t="shared" ca="1" si="0"/>
        <v>3</v>
      </c>
      <c r="AH46" s="23" t="str" cm="1">
        <f t="array" ref="AH46">_xlfn.IFS(E46&gt;49,"50+",E46&gt;39,"40-49",E46&gt;29,"30-39",E46&gt;19,"20-29")</f>
        <v>40-49</v>
      </c>
      <c r="AI46" s="24" t="str" cm="1">
        <f t="array" aca="1" ref="AI46" ca="1">_xlfn.IFS(AG46&gt;10,"10+",AG46&gt;4,"5-10 YIL",AG46&gt;2,"3-5 YIL",AG46&gt;0.9,"1-3 YIL",AG46&lt;1,"0-1 YIL")</f>
        <v>3-5 YIL</v>
      </c>
      <c r="AJ46">
        <f t="shared" si="1"/>
        <v>2022</v>
      </c>
      <c r="AK46" t="e">
        <f t="shared" si="2"/>
        <v>#VALUE!</v>
      </c>
    </row>
    <row r="47" spans="1:37" x14ac:dyDescent="0.3">
      <c r="A47" s="6" t="s">
        <v>173</v>
      </c>
      <c r="B47" s="7" t="s">
        <v>174</v>
      </c>
      <c r="C47" s="6" t="s">
        <v>33</v>
      </c>
      <c r="D47" s="14">
        <v>36775</v>
      </c>
      <c r="E47" s="8">
        <v>26</v>
      </c>
      <c r="F47" s="6" t="s">
        <v>49</v>
      </c>
      <c r="G47" s="8">
        <v>1</v>
      </c>
      <c r="H47" s="6" t="s">
        <v>35</v>
      </c>
      <c r="I47" s="7" t="s">
        <v>36</v>
      </c>
      <c r="J47" s="7" t="s">
        <v>37</v>
      </c>
      <c r="K47" s="6" t="s">
        <v>38</v>
      </c>
      <c r="L47" s="6" t="s">
        <v>39</v>
      </c>
      <c r="M47" s="7" t="s">
        <v>40</v>
      </c>
      <c r="N47" s="6" t="s">
        <v>89</v>
      </c>
      <c r="O47" s="14">
        <v>45225</v>
      </c>
      <c r="P47" s="6" t="s">
        <v>44</v>
      </c>
      <c r="Q47" s="7" t="s">
        <v>44</v>
      </c>
      <c r="R47" s="6" t="s">
        <v>44</v>
      </c>
      <c r="S47" s="6" t="s">
        <v>56</v>
      </c>
      <c r="T47" s="9">
        <v>26800</v>
      </c>
      <c r="U47" s="9">
        <v>0</v>
      </c>
      <c r="V47" s="8">
        <v>16</v>
      </c>
      <c r="W47" s="8">
        <v>30</v>
      </c>
      <c r="X47" s="6" t="s">
        <v>44</v>
      </c>
      <c r="Y47" s="8">
        <v>0</v>
      </c>
      <c r="Z47" s="8">
        <v>4</v>
      </c>
      <c r="AA47" s="8">
        <v>0</v>
      </c>
      <c r="AB47" s="8">
        <v>0</v>
      </c>
      <c r="AC47" s="8">
        <v>3</v>
      </c>
      <c r="AD47" s="8">
        <v>3</v>
      </c>
      <c r="AE47" s="7" t="s">
        <v>45</v>
      </c>
      <c r="AG47">
        <f t="shared" ca="1" si="0"/>
        <v>2</v>
      </c>
      <c r="AH47" s="23" t="str" cm="1">
        <f t="array" ref="AH47">_xlfn.IFS(E47&gt;49,"50+",E47&gt;39,"40-49",E47&gt;29,"30-39",E47&gt;19,"20-29")</f>
        <v>20-29</v>
      </c>
      <c r="AI47" s="24" t="str" cm="1">
        <f t="array" aca="1" ref="AI47" ca="1">_xlfn.IFS(AG47&gt;10,"10+",AG47&gt;4,"5-10 YIL",AG47&gt;2,"3-5 YIL",AG47&gt;0.9,"1-3 YIL",AG47&lt;1,"0-1 YIL")</f>
        <v>1-3 YIL</v>
      </c>
      <c r="AJ47">
        <f t="shared" si="1"/>
        <v>2023</v>
      </c>
      <c r="AK47" t="e">
        <f t="shared" si="2"/>
        <v>#VALUE!</v>
      </c>
    </row>
    <row r="48" spans="1:37" x14ac:dyDescent="0.3">
      <c r="A48" s="2" t="s">
        <v>175</v>
      </c>
      <c r="B48" s="3" t="s">
        <v>176</v>
      </c>
      <c r="C48" s="2" t="s">
        <v>48</v>
      </c>
      <c r="D48" s="13">
        <v>38176</v>
      </c>
      <c r="E48" s="4">
        <v>22</v>
      </c>
      <c r="F48" s="2" t="s">
        <v>34</v>
      </c>
      <c r="G48" s="4">
        <v>0</v>
      </c>
      <c r="H48" s="2" t="s">
        <v>35</v>
      </c>
      <c r="I48" s="3" t="s">
        <v>36</v>
      </c>
      <c r="J48" s="3" t="s">
        <v>37</v>
      </c>
      <c r="K48" s="2" t="s">
        <v>38</v>
      </c>
      <c r="L48" s="2" t="s">
        <v>39</v>
      </c>
      <c r="M48" s="3" t="s">
        <v>40</v>
      </c>
      <c r="N48" s="2" t="s">
        <v>41</v>
      </c>
      <c r="O48" s="13">
        <v>45217</v>
      </c>
      <c r="P48" s="13">
        <v>45301</v>
      </c>
      <c r="Q48" s="3" t="s">
        <v>177</v>
      </c>
      <c r="R48" s="2">
        <v>3</v>
      </c>
      <c r="S48" s="2" t="s">
        <v>43</v>
      </c>
      <c r="T48" s="5">
        <v>28400</v>
      </c>
      <c r="U48" s="5">
        <v>0</v>
      </c>
      <c r="V48" s="4">
        <v>14</v>
      </c>
      <c r="W48" s="4">
        <v>30</v>
      </c>
      <c r="X48" s="2" t="s">
        <v>44</v>
      </c>
      <c r="Y48" s="4">
        <v>0</v>
      </c>
      <c r="Z48" s="4">
        <v>14</v>
      </c>
      <c r="AA48" s="4">
        <v>0</v>
      </c>
      <c r="AB48" s="4">
        <v>0</v>
      </c>
      <c r="AC48" s="4">
        <v>3</v>
      </c>
      <c r="AD48" s="4">
        <v>12</v>
      </c>
      <c r="AE48" s="3" t="s">
        <v>82</v>
      </c>
      <c r="AG48">
        <f t="shared" ca="1" si="0"/>
        <v>2</v>
      </c>
      <c r="AH48" s="23" t="str" cm="1">
        <f t="array" ref="AH48">_xlfn.IFS(E48&gt;49,"50+",E48&gt;39,"40-49",E48&gt;29,"30-39",E48&gt;19,"20-29")</f>
        <v>20-29</v>
      </c>
      <c r="AI48" s="24" t="str" cm="1">
        <f t="array" aca="1" ref="AI48" ca="1">_xlfn.IFS(AG48&gt;10,"10+",AG48&gt;4,"5-10 YIL",AG48&gt;2,"3-5 YIL",AG48&gt;0.9,"1-3 YIL",AG48&lt;1,"0-1 YIL")</f>
        <v>1-3 YIL</v>
      </c>
      <c r="AJ48">
        <f t="shared" si="1"/>
        <v>2023</v>
      </c>
      <c r="AK48">
        <f t="shared" si="2"/>
        <v>2024</v>
      </c>
    </row>
    <row r="49" spans="1:37" x14ac:dyDescent="0.3">
      <c r="A49" s="6" t="s">
        <v>178</v>
      </c>
      <c r="B49" s="7" t="s">
        <v>179</v>
      </c>
      <c r="C49" s="6" t="s">
        <v>48</v>
      </c>
      <c r="D49" s="14">
        <v>36748</v>
      </c>
      <c r="E49" s="8">
        <v>26</v>
      </c>
      <c r="F49" s="6" t="s">
        <v>34</v>
      </c>
      <c r="G49" s="8">
        <v>0</v>
      </c>
      <c r="H49" s="6" t="s">
        <v>35</v>
      </c>
      <c r="I49" s="7" t="s">
        <v>36</v>
      </c>
      <c r="J49" s="7" t="s">
        <v>37</v>
      </c>
      <c r="K49" s="6" t="s">
        <v>38</v>
      </c>
      <c r="L49" s="6" t="s">
        <v>39</v>
      </c>
      <c r="M49" s="7" t="s">
        <v>40</v>
      </c>
      <c r="N49" s="6" t="s">
        <v>41</v>
      </c>
      <c r="O49" s="14">
        <v>45419</v>
      </c>
      <c r="P49" s="6" t="s">
        <v>44</v>
      </c>
      <c r="Q49" s="7" t="s">
        <v>44</v>
      </c>
      <c r="R49" s="6" t="s">
        <v>44</v>
      </c>
      <c r="S49" s="6" t="s">
        <v>56</v>
      </c>
      <c r="T49" s="9">
        <v>27800</v>
      </c>
      <c r="U49" s="9">
        <v>0</v>
      </c>
      <c r="V49" s="8">
        <v>39</v>
      </c>
      <c r="W49" s="8">
        <v>30</v>
      </c>
      <c r="X49" s="6" t="s">
        <v>44</v>
      </c>
      <c r="Y49" s="8">
        <v>0</v>
      </c>
      <c r="Z49" s="8">
        <v>4</v>
      </c>
      <c r="AA49" s="8">
        <v>0</v>
      </c>
      <c r="AB49" s="8">
        <v>0</v>
      </c>
      <c r="AC49" s="8">
        <v>4</v>
      </c>
      <c r="AD49" s="8">
        <v>28</v>
      </c>
      <c r="AE49" s="7" t="s">
        <v>96</v>
      </c>
      <c r="AG49">
        <f t="shared" ca="1" si="0"/>
        <v>2</v>
      </c>
      <c r="AH49" s="23" t="str" cm="1">
        <f t="array" ref="AH49">_xlfn.IFS(E49&gt;49,"50+",E49&gt;39,"40-49",E49&gt;29,"30-39",E49&gt;19,"20-29")</f>
        <v>20-29</v>
      </c>
      <c r="AI49" s="24" t="str" cm="1">
        <f t="array" aca="1" ref="AI49" ca="1">_xlfn.IFS(AG49&gt;10,"10+",AG49&gt;4,"5-10 YIL",AG49&gt;2,"3-5 YIL",AG49&gt;0.9,"1-3 YIL",AG49&lt;1,"0-1 YIL")</f>
        <v>1-3 YIL</v>
      </c>
      <c r="AJ49">
        <f t="shared" si="1"/>
        <v>2024</v>
      </c>
      <c r="AK49" t="e">
        <f t="shared" si="2"/>
        <v>#VALUE!</v>
      </c>
    </row>
    <row r="50" spans="1:37" x14ac:dyDescent="0.3">
      <c r="A50" s="2" t="s">
        <v>180</v>
      </c>
      <c r="B50" s="3" t="s">
        <v>181</v>
      </c>
      <c r="C50" s="2" t="s">
        <v>48</v>
      </c>
      <c r="D50" s="13">
        <v>34230</v>
      </c>
      <c r="E50" s="4">
        <v>33</v>
      </c>
      <c r="F50" s="2" t="s">
        <v>49</v>
      </c>
      <c r="G50" s="4">
        <v>2</v>
      </c>
      <c r="H50" s="2" t="s">
        <v>35</v>
      </c>
      <c r="I50" s="3" t="s">
        <v>61</v>
      </c>
      <c r="J50" s="3" t="s">
        <v>107</v>
      </c>
      <c r="K50" s="2" t="s">
        <v>51</v>
      </c>
      <c r="L50" s="2" t="s">
        <v>63</v>
      </c>
      <c r="M50" s="3" t="s">
        <v>64</v>
      </c>
      <c r="N50" s="2" t="s">
        <v>95</v>
      </c>
      <c r="O50" s="13">
        <v>42433</v>
      </c>
      <c r="P50" s="2" t="s">
        <v>44</v>
      </c>
      <c r="Q50" s="3" t="s">
        <v>44</v>
      </c>
      <c r="R50" s="2" t="s">
        <v>44</v>
      </c>
      <c r="S50" s="2" t="s">
        <v>56</v>
      </c>
      <c r="T50" s="5">
        <v>59900</v>
      </c>
      <c r="U50" s="5">
        <v>6800</v>
      </c>
      <c r="V50" s="4">
        <v>1</v>
      </c>
      <c r="W50" s="4">
        <v>27</v>
      </c>
      <c r="X50" s="2" t="s">
        <v>81</v>
      </c>
      <c r="Y50" s="4">
        <v>0</v>
      </c>
      <c r="Z50" s="4">
        <v>9</v>
      </c>
      <c r="AA50" s="4">
        <v>3</v>
      </c>
      <c r="AB50" s="4">
        <v>0</v>
      </c>
      <c r="AC50" s="4">
        <v>3</v>
      </c>
      <c r="AD50" s="4">
        <v>8</v>
      </c>
      <c r="AE50" s="3" t="s">
        <v>45</v>
      </c>
      <c r="AG50">
        <f t="shared" ca="1" si="0"/>
        <v>10</v>
      </c>
      <c r="AH50" s="23" t="str" cm="1">
        <f t="array" ref="AH50">_xlfn.IFS(E50&gt;49,"50+",E50&gt;39,"40-49",E50&gt;29,"30-39",E50&gt;19,"20-29")</f>
        <v>30-39</v>
      </c>
      <c r="AI50" s="24" t="str" cm="1">
        <f t="array" aca="1" ref="AI50" ca="1">_xlfn.IFS(AG50&gt;10,"10+",AG50&gt;4,"5-10 YIL",AG50&gt;2,"3-5 YIL",AG50&gt;0.9,"1-3 YIL",AG50&lt;1,"0-1 YIL")</f>
        <v>5-10 YIL</v>
      </c>
      <c r="AJ50">
        <f t="shared" si="1"/>
        <v>2016</v>
      </c>
      <c r="AK50" t="e">
        <f t="shared" si="2"/>
        <v>#VALUE!</v>
      </c>
    </row>
    <row r="51" spans="1:37" x14ac:dyDescent="0.3">
      <c r="A51" s="6" t="s">
        <v>182</v>
      </c>
      <c r="B51" s="7" t="s">
        <v>183</v>
      </c>
      <c r="C51" s="6" t="s">
        <v>48</v>
      </c>
      <c r="D51" s="14">
        <v>33661</v>
      </c>
      <c r="E51" s="8">
        <v>34</v>
      </c>
      <c r="F51" s="6" t="s">
        <v>34</v>
      </c>
      <c r="G51" s="8">
        <v>0</v>
      </c>
      <c r="H51" s="6" t="s">
        <v>184</v>
      </c>
      <c r="I51" s="7" t="s">
        <v>36</v>
      </c>
      <c r="J51" s="7" t="s">
        <v>50</v>
      </c>
      <c r="K51" s="6" t="s">
        <v>51</v>
      </c>
      <c r="L51" s="6" t="s">
        <v>39</v>
      </c>
      <c r="M51" s="7" t="s">
        <v>40</v>
      </c>
      <c r="N51" s="6" t="s">
        <v>52</v>
      </c>
      <c r="O51" s="14">
        <v>44245</v>
      </c>
      <c r="P51" s="6" t="s">
        <v>44</v>
      </c>
      <c r="Q51" s="7" t="s">
        <v>44</v>
      </c>
      <c r="R51" s="6" t="s">
        <v>44</v>
      </c>
      <c r="S51" s="6" t="s">
        <v>56</v>
      </c>
      <c r="T51" s="9">
        <v>42800</v>
      </c>
      <c r="U51" s="9">
        <v>0</v>
      </c>
      <c r="V51" s="8">
        <v>44</v>
      </c>
      <c r="W51" s="8">
        <v>30</v>
      </c>
      <c r="X51" s="6" t="s">
        <v>44</v>
      </c>
      <c r="Y51" s="8">
        <v>0</v>
      </c>
      <c r="Z51" s="8">
        <v>2</v>
      </c>
      <c r="AA51" s="8">
        <v>0</v>
      </c>
      <c r="AB51" s="8">
        <v>0</v>
      </c>
      <c r="AC51" s="8">
        <v>3</v>
      </c>
      <c r="AD51" s="8">
        <v>13</v>
      </c>
      <c r="AE51" s="7" t="s">
        <v>58</v>
      </c>
      <c r="AG51">
        <f t="shared" ca="1" si="0"/>
        <v>5</v>
      </c>
      <c r="AH51" s="23" t="str" cm="1">
        <f t="array" ref="AH51">_xlfn.IFS(E51&gt;49,"50+",E51&gt;39,"40-49",E51&gt;29,"30-39",E51&gt;19,"20-29")</f>
        <v>30-39</v>
      </c>
      <c r="AI51" s="24" t="str" cm="1">
        <f t="array" aca="1" ref="AI51" ca="1">_xlfn.IFS(AG51&gt;10,"10+",AG51&gt;4,"5-10 YIL",AG51&gt;2,"3-5 YIL",AG51&gt;0.9,"1-3 YIL",AG51&lt;1,"0-1 YIL")</f>
        <v>5-10 YIL</v>
      </c>
      <c r="AJ51">
        <f t="shared" si="1"/>
        <v>2021</v>
      </c>
      <c r="AK51" t="e">
        <f t="shared" si="2"/>
        <v>#VALUE!</v>
      </c>
    </row>
    <row r="52" spans="1:37" x14ac:dyDescent="0.3">
      <c r="A52" s="2" t="s">
        <v>185</v>
      </c>
      <c r="B52" s="3" t="s">
        <v>186</v>
      </c>
      <c r="C52" s="2" t="s">
        <v>48</v>
      </c>
      <c r="D52" s="13">
        <v>35499</v>
      </c>
      <c r="E52" s="4">
        <v>29</v>
      </c>
      <c r="F52" s="2" t="s">
        <v>34</v>
      </c>
      <c r="G52" s="4">
        <v>0</v>
      </c>
      <c r="H52" s="2" t="s">
        <v>35</v>
      </c>
      <c r="I52" s="3" t="s">
        <v>36</v>
      </c>
      <c r="J52" s="3" t="s">
        <v>50</v>
      </c>
      <c r="K52" s="2" t="s">
        <v>51</v>
      </c>
      <c r="L52" s="2" t="s">
        <v>39</v>
      </c>
      <c r="M52" s="3" t="s">
        <v>40</v>
      </c>
      <c r="N52" s="2" t="s">
        <v>41</v>
      </c>
      <c r="O52" s="13">
        <v>42853</v>
      </c>
      <c r="P52" s="2" t="s">
        <v>44</v>
      </c>
      <c r="Q52" s="3" t="s">
        <v>44</v>
      </c>
      <c r="R52" s="2" t="s">
        <v>44</v>
      </c>
      <c r="S52" s="2" t="s">
        <v>56</v>
      </c>
      <c r="T52" s="5">
        <v>45000</v>
      </c>
      <c r="U52" s="5">
        <v>0</v>
      </c>
      <c r="V52" s="4">
        <v>22</v>
      </c>
      <c r="W52" s="4">
        <v>27</v>
      </c>
      <c r="X52" s="2" t="s">
        <v>81</v>
      </c>
      <c r="Y52" s="4">
        <v>0</v>
      </c>
      <c r="Z52" s="4">
        <v>10</v>
      </c>
      <c r="AA52" s="4">
        <v>1</v>
      </c>
      <c r="AB52" s="4">
        <v>2</v>
      </c>
      <c r="AC52" s="4">
        <v>3</v>
      </c>
      <c r="AD52" s="4">
        <v>18</v>
      </c>
      <c r="AE52" s="3" t="s">
        <v>58</v>
      </c>
      <c r="AG52">
        <f t="shared" ca="1" si="0"/>
        <v>9</v>
      </c>
      <c r="AH52" s="23" t="str" cm="1">
        <f t="array" ref="AH52">_xlfn.IFS(E52&gt;49,"50+",E52&gt;39,"40-49",E52&gt;29,"30-39",E52&gt;19,"20-29")</f>
        <v>20-29</v>
      </c>
      <c r="AI52" s="24" t="str" cm="1">
        <f t="array" aca="1" ref="AI52" ca="1">_xlfn.IFS(AG52&gt;10,"10+",AG52&gt;4,"5-10 YIL",AG52&gt;2,"3-5 YIL",AG52&gt;0.9,"1-3 YIL",AG52&lt;1,"0-1 YIL")</f>
        <v>5-10 YIL</v>
      </c>
      <c r="AJ52">
        <f t="shared" si="1"/>
        <v>2017</v>
      </c>
      <c r="AK52" t="e">
        <f t="shared" si="2"/>
        <v>#VALUE!</v>
      </c>
    </row>
    <row r="53" spans="1:37" x14ac:dyDescent="0.3">
      <c r="A53" s="6" t="s">
        <v>187</v>
      </c>
      <c r="B53" s="7" t="s">
        <v>188</v>
      </c>
      <c r="C53" s="6" t="s">
        <v>48</v>
      </c>
      <c r="D53" s="14">
        <v>30181</v>
      </c>
      <c r="E53" s="8">
        <v>44</v>
      </c>
      <c r="F53" s="6" t="s">
        <v>49</v>
      </c>
      <c r="G53" s="8">
        <v>1</v>
      </c>
      <c r="H53" s="6" t="s">
        <v>88</v>
      </c>
      <c r="I53" s="7" t="s">
        <v>36</v>
      </c>
      <c r="J53" s="7" t="s">
        <v>50</v>
      </c>
      <c r="K53" s="6" t="s">
        <v>51</v>
      </c>
      <c r="L53" s="6" t="s">
        <v>39</v>
      </c>
      <c r="M53" s="7" t="s">
        <v>40</v>
      </c>
      <c r="N53" s="6" t="s">
        <v>41</v>
      </c>
      <c r="O53" s="14">
        <v>44024</v>
      </c>
      <c r="P53" s="6" t="s">
        <v>44</v>
      </c>
      <c r="Q53" s="7" t="s">
        <v>44</v>
      </c>
      <c r="R53" s="6" t="s">
        <v>44</v>
      </c>
      <c r="S53" s="6" t="s">
        <v>56</v>
      </c>
      <c r="T53" s="9">
        <v>42700</v>
      </c>
      <c r="U53" s="9">
        <v>0</v>
      </c>
      <c r="V53" s="8">
        <v>10</v>
      </c>
      <c r="W53" s="8">
        <v>27</v>
      </c>
      <c r="X53" s="6" t="s">
        <v>57</v>
      </c>
      <c r="Y53" s="8">
        <v>3</v>
      </c>
      <c r="Z53" s="8">
        <v>14</v>
      </c>
      <c r="AA53" s="8">
        <v>0</v>
      </c>
      <c r="AB53" s="8">
        <v>0</v>
      </c>
      <c r="AC53" s="8">
        <v>3</v>
      </c>
      <c r="AD53" s="8">
        <v>13</v>
      </c>
      <c r="AE53" s="7" t="s">
        <v>96</v>
      </c>
      <c r="AG53">
        <f t="shared" ca="1" si="0"/>
        <v>5</v>
      </c>
      <c r="AH53" s="23" t="str" cm="1">
        <f t="array" ref="AH53">_xlfn.IFS(E53&gt;49,"50+",E53&gt;39,"40-49",E53&gt;29,"30-39",E53&gt;19,"20-29")</f>
        <v>40-49</v>
      </c>
      <c r="AI53" s="24" t="str" cm="1">
        <f t="array" aca="1" ref="AI53" ca="1">_xlfn.IFS(AG53&gt;10,"10+",AG53&gt;4,"5-10 YIL",AG53&gt;2,"3-5 YIL",AG53&gt;0.9,"1-3 YIL",AG53&lt;1,"0-1 YIL")</f>
        <v>5-10 YIL</v>
      </c>
      <c r="AJ53">
        <f t="shared" si="1"/>
        <v>2020</v>
      </c>
      <c r="AK53" t="e">
        <f t="shared" si="2"/>
        <v>#VALUE!</v>
      </c>
    </row>
    <row r="54" spans="1:37" x14ac:dyDescent="0.3">
      <c r="A54" s="2" t="s">
        <v>189</v>
      </c>
      <c r="B54" s="3" t="s">
        <v>190</v>
      </c>
      <c r="C54" s="2" t="s">
        <v>48</v>
      </c>
      <c r="D54" s="13">
        <v>31164</v>
      </c>
      <c r="E54" s="4">
        <v>41</v>
      </c>
      <c r="F54" s="2" t="s">
        <v>49</v>
      </c>
      <c r="G54" s="4">
        <v>3</v>
      </c>
      <c r="H54" s="2" t="s">
        <v>85</v>
      </c>
      <c r="I54" s="3" t="s">
        <v>70</v>
      </c>
      <c r="J54" s="3" t="s">
        <v>129</v>
      </c>
      <c r="K54" s="2" t="s">
        <v>79</v>
      </c>
      <c r="L54" s="2" t="s">
        <v>63</v>
      </c>
      <c r="M54" s="3" t="s">
        <v>80</v>
      </c>
      <c r="N54" s="2" t="s">
        <v>67</v>
      </c>
      <c r="O54" s="13">
        <v>43180</v>
      </c>
      <c r="P54" s="13">
        <v>44543</v>
      </c>
      <c r="Q54" s="3" t="s">
        <v>177</v>
      </c>
      <c r="R54" s="2">
        <v>3</v>
      </c>
      <c r="S54" s="2" t="s">
        <v>43</v>
      </c>
      <c r="T54" s="5">
        <v>115800</v>
      </c>
      <c r="U54" s="5">
        <v>0</v>
      </c>
      <c r="V54" s="4">
        <v>9</v>
      </c>
      <c r="W54" s="4">
        <v>29</v>
      </c>
      <c r="X54" s="2" t="s">
        <v>81</v>
      </c>
      <c r="Y54" s="4">
        <v>0</v>
      </c>
      <c r="Z54" s="4">
        <v>7</v>
      </c>
      <c r="AA54" s="4">
        <v>1</v>
      </c>
      <c r="AB54" s="4">
        <v>0</v>
      </c>
      <c r="AC54" s="4">
        <v>3</v>
      </c>
      <c r="AD54" s="4">
        <v>6</v>
      </c>
      <c r="AE54" s="3" t="s">
        <v>58</v>
      </c>
      <c r="AG54">
        <f t="shared" ca="1" si="0"/>
        <v>8</v>
      </c>
      <c r="AH54" s="23" t="str" cm="1">
        <f t="array" ref="AH54">_xlfn.IFS(E54&gt;49,"50+",E54&gt;39,"40-49",E54&gt;29,"30-39",E54&gt;19,"20-29")</f>
        <v>40-49</v>
      </c>
      <c r="AI54" s="24" t="str" cm="1">
        <f t="array" aca="1" ref="AI54" ca="1">_xlfn.IFS(AG54&gt;10,"10+",AG54&gt;4,"5-10 YIL",AG54&gt;2,"3-5 YIL",AG54&gt;0.9,"1-3 YIL",AG54&lt;1,"0-1 YIL")</f>
        <v>5-10 YIL</v>
      </c>
      <c r="AJ54">
        <f t="shared" si="1"/>
        <v>2018</v>
      </c>
      <c r="AK54">
        <f t="shared" si="2"/>
        <v>2021</v>
      </c>
    </row>
    <row r="55" spans="1:37" x14ac:dyDescent="0.3">
      <c r="A55" s="6" t="s">
        <v>191</v>
      </c>
      <c r="B55" s="7" t="s">
        <v>192</v>
      </c>
      <c r="C55" s="6" t="s">
        <v>33</v>
      </c>
      <c r="D55" s="14">
        <v>32672</v>
      </c>
      <c r="E55" s="8">
        <v>37</v>
      </c>
      <c r="F55" s="6" t="s">
        <v>49</v>
      </c>
      <c r="G55" s="8">
        <v>1</v>
      </c>
      <c r="H55" s="6" t="s">
        <v>35</v>
      </c>
      <c r="I55" s="7" t="s">
        <v>36</v>
      </c>
      <c r="J55" s="7" t="s">
        <v>78</v>
      </c>
      <c r="K55" s="6" t="s">
        <v>79</v>
      </c>
      <c r="L55" s="6" t="s">
        <v>63</v>
      </c>
      <c r="M55" s="7" t="s">
        <v>80</v>
      </c>
      <c r="N55" s="6" t="s">
        <v>41</v>
      </c>
      <c r="O55" s="14">
        <v>43498</v>
      </c>
      <c r="P55" s="6" t="s">
        <v>44</v>
      </c>
      <c r="Q55" s="7" t="s">
        <v>44</v>
      </c>
      <c r="R55" s="6" t="s">
        <v>44</v>
      </c>
      <c r="S55" s="6" t="s">
        <v>56</v>
      </c>
      <c r="T55" s="9">
        <v>90900</v>
      </c>
      <c r="U55" s="9">
        <v>0</v>
      </c>
      <c r="V55" s="8">
        <v>3</v>
      </c>
      <c r="W55" s="8">
        <v>30</v>
      </c>
      <c r="X55" s="6" t="s">
        <v>44</v>
      </c>
      <c r="Y55" s="8">
        <v>0</v>
      </c>
      <c r="Z55" s="8">
        <v>8</v>
      </c>
      <c r="AA55" s="8">
        <v>0</v>
      </c>
      <c r="AB55" s="8">
        <v>0</v>
      </c>
      <c r="AC55" s="8">
        <v>3</v>
      </c>
      <c r="AD55" s="8">
        <v>10</v>
      </c>
      <c r="AE55" s="7" t="s">
        <v>45</v>
      </c>
      <c r="AG55">
        <f t="shared" ca="1" si="0"/>
        <v>7</v>
      </c>
      <c r="AH55" s="23" t="str" cm="1">
        <f t="array" ref="AH55">_xlfn.IFS(E55&gt;49,"50+",E55&gt;39,"40-49",E55&gt;29,"30-39",E55&gt;19,"20-29")</f>
        <v>30-39</v>
      </c>
      <c r="AI55" s="24" t="str" cm="1">
        <f t="array" aca="1" ref="AI55" ca="1">_xlfn.IFS(AG55&gt;10,"10+",AG55&gt;4,"5-10 YIL",AG55&gt;2,"3-5 YIL",AG55&gt;0.9,"1-3 YIL",AG55&lt;1,"0-1 YIL")</f>
        <v>5-10 YIL</v>
      </c>
      <c r="AJ55">
        <f t="shared" si="1"/>
        <v>2019</v>
      </c>
      <c r="AK55" t="e">
        <f t="shared" si="2"/>
        <v>#VALUE!</v>
      </c>
    </row>
    <row r="56" spans="1:37" x14ac:dyDescent="0.3">
      <c r="A56" s="2" t="s">
        <v>193</v>
      </c>
      <c r="B56" s="3" t="s">
        <v>194</v>
      </c>
      <c r="C56" s="2" t="s">
        <v>48</v>
      </c>
      <c r="D56" s="13">
        <v>37547</v>
      </c>
      <c r="E56" s="4">
        <v>24</v>
      </c>
      <c r="F56" s="2" t="s">
        <v>49</v>
      </c>
      <c r="G56" s="4">
        <v>3</v>
      </c>
      <c r="H56" s="2" t="s">
        <v>35</v>
      </c>
      <c r="I56" s="3" t="s">
        <v>36</v>
      </c>
      <c r="J56" s="3" t="s">
        <v>37</v>
      </c>
      <c r="K56" s="2" t="s">
        <v>38</v>
      </c>
      <c r="L56" s="2" t="s">
        <v>39</v>
      </c>
      <c r="M56" s="3" t="s">
        <v>40</v>
      </c>
      <c r="N56" s="2" t="s">
        <v>41</v>
      </c>
      <c r="O56" s="13">
        <v>46137</v>
      </c>
      <c r="P56" s="2" t="s">
        <v>44</v>
      </c>
      <c r="Q56" s="3" t="s">
        <v>44</v>
      </c>
      <c r="R56" s="2" t="s">
        <v>44</v>
      </c>
      <c r="S56" s="2" t="s">
        <v>56</v>
      </c>
      <c r="T56" s="5">
        <v>24100</v>
      </c>
      <c r="U56" s="5">
        <v>0</v>
      </c>
      <c r="V56" s="4">
        <v>26</v>
      </c>
      <c r="W56" s="4">
        <v>30</v>
      </c>
      <c r="X56" s="2" t="s">
        <v>44</v>
      </c>
      <c r="Y56" s="4">
        <v>0</v>
      </c>
      <c r="Z56" s="4">
        <v>0</v>
      </c>
      <c r="AA56" s="4">
        <v>0</v>
      </c>
      <c r="AB56" s="4">
        <v>0</v>
      </c>
      <c r="AC56" s="4">
        <v>4</v>
      </c>
      <c r="AD56" s="4">
        <v>14</v>
      </c>
      <c r="AE56" s="3" t="s">
        <v>45</v>
      </c>
      <c r="AG56">
        <f t="shared" ca="1" si="0"/>
        <v>0</v>
      </c>
      <c r="AH56" s="23" t="str" cm="1">
        <f t="array" ref="AH56">_xlfn.IFS(E56&gt;49,"50+",E56&gt;39,"40-49",E56&gt;29,"30-39",E56&gt;19,"20-29")</f>
        <v>20-29</v>
      </c>
      <c r="AI56" s="24" t="str" cm="1">
        <f t="array" aca="1" ref="AI56" ca="1">_xlfn.IFS(AG56&gt;10,"10+",AG56&gt;4,"5-10 YIL",AG56&gt;2,"3-5 YIL",AG56&gt;0.9,"1-3 YIL",AG56&lt;1,"0-1 YIL")</f>
        <v>0-1 YIL</v>
      </c>
      <c r="AJ56">
        <f t="shared" si="1"/>
        <v>2026</v>
      </c>
      <c r="AK56" t="e">
        <f t="shared" si="2"/>
        <v>#VALUE!</v>
      </c>
    </row>
    <row r="57" spans="1:37" x14ac:dyDescent="0.3">
      <c r="A57" s="6" t="s">
        <v>195</v>
      </c>
      <c r="B57" s="7" t="s">
        <v>196</v>
      </c>
      <c r="C57" s="6" t="s">
        <v>48</v>
      </c>
      <c r="D57" s="14">
        <v>30633</v>
      </c>
      <c r="E57" s="8">
        <v>43</v>
      </c>
      <c r="F57" s="6" t="s">
        <v>49</v>
      </c>
      <c r="G57" s="8">
        <v>2</v>
      </c>
      <c r="H57" s="6" t="s">
        <v>35</v>
      </c>
      <c r="I57" s="7" t="s">
        <v>148</v>
      </c>
      <c r="J57" s="7" t="s">
        <v>197</v>
      </c>
      <c r="K57" s="6" t="s">
        <v>79</v>
      </c>
      <c r="L57" s="6" t="s">
        <v>63</v>
      </c>
      <c r="M57" s="7" t="s">
        <v>80</v>
      </c>
      <c r="N57" s="6" t="s">
        <v>67</v>
      </c>
      <c r="O57" s="14">
        <v>39620</v>
      </c>
      <c r="P57" s="14">
        <v>44101</v>
      </c>
      <c r="Q57" s="7" t="s">
        <v>177</v>
      </c>
      <c r="R57" s="6">
        <v>3</v>
      </c>
      <c r="S57" s="6" t="s">
        <v>43</v>
      </c>
      <c r="T57" s="9">
        <v>110100</v>
      </c>
      <c r="U57" s="9">
        <v>7300</v>
      </c>
      <c r="V57" s="8">
        <v>9</v>
      </c>
      <c r="W57" s="8">
        <v>30</v>
      </c>
      <c r="X57" s="6" t="s">
        <v>44</v>
      </c>
      <c r="Y57" s="8">
        <v>0</v>
      </c>
      <c r="Z57" s="8">
        <v>9</v>
      </c>
      <c r="AA57" s="8">
        <v>0</v>
      </c>
      <c r="AB57" s="8">
        <v>0</v>
      </c>
      <c r="AC57" s="8">
        <v>2</v>
      </c>
      <c r="AD57" s="8">
        <v>12</v>
      </c>
      <c r="AE57" s="7" t="s">
        <v>45</v>
      </c>
      <c r="AG57">
        <f t="shared" ca="1" si="0"/>
        <v>18</v>
      </c>
      <c r="AH57" s="23" t="str" cm="1">
        <f t="array" ref="AH57">_xlfn.IFS(E57&gt;49,"50+",E57&gt;39,"40-49",E57&gt;29,"30-39",E57&gt;19,"20-29")</f>
        <v>40-49</v>
      </c>
      <c r="AI57" s="24" t="str" cm="1">
        <f t="array" aca="1" ref="AI57" ca="1">_xlfn.IFS(AG57&gt;10,"10+",AG57&gt;4,"5-10 YIL",AG57&gt;2,"3-5 YIL",AG57&gt;0.9,"1-3 YIL",AG57&lt;1,"0-1 YIL")</f>
        <v>10+</v>
      </c>
      <c r="AJ57">
        <f t="shared" si="1"/>
        <v>2008</v>
      </c>
      <c r="AK57">
        <f t="shared" si="2"/>
        <v>2020</v>
      </c>
    </row>
    <row r="58" spans="1:37" x14ac:dyDescent="0.3">
      <c r="A58" s="2" t="s">
        <v>198</v>
      </c>
      <c r="B58" s="3" t="s">
        <v>199</v>
      </c>
      <c r="C58" s="2" t="s">
        <v>48</v>
      </c>
      <c r="D58" s="13">
        <v>33087</v>
      </c>
      <c r="E58" s="4">
        <v>36</v>
      </c>
      <c r="F58" s="2" t="s">
        <v>49</v>
      </c>
      <c r="G58" s="4">
        <v>2</v>
      </c>
      <c r="H58" s="2" t="s">
        <v>35</v>
      </c>
      <c r="I58" s="3" t="s">
        <v>139</v>
      </c>
      <c r="J58" s="3" t="s">
        <v>161</v>
      </c>
      <c r="K58" s="2" t="s">
        <v>51</v>
      </c>
      <c r="L58" s="2" t="s">
        <v>63</v>
      </c>
      <c r="M58" s="3" t="s">
        <v>162</v>
      </c>
      <c r="N58" s="2" t="s">
        <v>41</v>
      </c>
      <c r="O58" s="13">
        <v>44891</v>
      </c>
      <c r="P58" s="2" t="s">
        <v>44</v>
      </c>
      <c r="Q58" s="3" t="s">
        <v>44</v>
      </c>
      <c r="R58" s="2" t="s">
        <v>44</v>
      </c>
      <c r="S58" s="2" t="s">
        <v>56</v>
      </c>
      <c r="T58" s="5">
        <v>83500</v>
      </c>
      <c r="U58" s="5">
        <v>0</v>
      </c>
      <c r="V58" s="4">
        <v>6</v>
      </c>
      <c r="W58" s="4">
        <v>29</v>
      </c>
      <c r="X58" s="2" t="s">
        <v>81</v>
      </c>
      <c r="Y58" s="4">
        <v>0</v>
      </c>
      <c r="Z58" s="4">
        <v>14</v>
      </c>
      <c r="AA58" s="4">
        <v>1</v>
      </c>
      <c r="AB58" s="4">
        <v>0</v>
      </c>
      <c r="AC58" s="4">
        <v>3</v>
      </c>
      <c r="AD58" s="4">
        <v>16</v>
      </c>
      <c r="AE58" s="3" t="s">
        <v>73</v>
      </c>
      <c r="AG58">
        <f t="shared" ca="1" si="0"/>
        <v>3</v>
      </c>
      <c r="AH58" s="23" t="str" cm="1">
        <f t="array" ref="AH58">_xlfn.IFS(E58&gt;49,"50+",E58&gt;39,"40-49",E58&gt;29,"30-39",E58&gt;19,"20-29")</f>
        <v>30-39</v>
      </c>
      <c r="AI58" s="24" t="str" cm="1">
        <f t="array" aca="1" ref="AI58" ca="1">_xlfn.IFS(AG58&gt;10,"10+",AG58&gt;4,"5-10 YIL",AG58&gt;2,"3-5 YIL",AG58&gt;0.9,"1-3 YIL",AG58&lt;1,"0-1 YIL")</f>
        <v>3-5 YIL</v>
      </c>
      <c r="AJ58">
        <f t="shared" si="1"/>
        <v>2022</v>
      </c>
      <c r="AK58" t="e">
        <f t="shared" si="2"/>
        <v>#VALUE!</v>
      </c>
    </row>
    <row r="59" spans="1:37" x14ac:dyDescent="0.3">
      <c r="A59" s="6" t="s">
        <v>200</v>
      </c>
      <c r="B59" s="7" t="s">
        <v>201</v>
      </c>
      <c r="C59" s="6" t="s">
        <v>33</v>
      </c>
      <c r="D59" s="14">
        <v>37643</v>
      </c>
      <c r="E59" s="8">
        <v>23</v>
      </c>
      <c r="F59" s="6" t="s">
        <v>34</v>
      </c>
      <c r="G59" s="8">
        <v>0</v>
      </c>
      <c r="H59" s="6" t="s">
        <v>88</v>
      </c>
      <c r="I59" s="7" t="s">
        <v>61</v>
      </c>
      <c r="J59" s="7" t="s">
        <v>62</v>
      </c>
      <c r="K59" s="6" t="s">
        <v>38</v>
      </c>
      <c r="L59" s="6" t="s">
        <v>63</v>
      </c>
      <c r="M59" s="7" t="s">
        <v>64</v>
      </c>
      <c r="N59" s="6" t="s">
        <v>41</v>
      </c>
      <c r="O59" s="14">
        <v>45689</v>
      </c>
      <c r="P59" s="6" t="s">
        <v>44</v>
      </c>
      <c r="Q59" s="7" t="s">
        <v>44</v>
      </c>
      <c r="R59" s="6" t="s">
        <v>44</v>
      </c>
      <c r="S59" s="6" t="s">
        <v>56</v>
      </c>
      <c r="T59" s="9">
        <v>36000</v>
      </c>
      <c r="U59" s="9">
        <v>12400</v>
      </c>
      <c r="V59" s="8">
        <v>3</v>
      </c>
      <c r="W59" s="8">
        <v>30</v>
      </c>
      <c r="X59" s="6" t="s">
        <v>44</v>
      </c>
      <c r="Y59" s="8">
        <v>0</v>
      </c>
      <c r="Z59" s="8">
        <v>11</v>
      </c>
      <c r="AA59" s="8">
        <v>0</v>
      </c>
      <c r="AB59" s="8">
        <v>0</v>
      </c>
      <c r="AC59" s="8">
        <v>1</v>
      </c>
      <c r="AD59" s="8">
        <v>12</v>
      </c>
      <c r="AE59" s="7" t="s">
        <v>82</v>
      </c>
      <c r="AG59">
        <f t="shared" ca="1" si="0"/>
        <v>1</v>
      </c>
      <c r="AH59" s="23" t="str" cm="1">
        <f t="array" ref="AH59">_xlfn.IFS(E59&gt;49,"50+",E59&gt;39,"40-49",E59&gt;29,"30-39",E59&gt;19,"20-29")</f>
        <v>20-29</v>
      </c>
      <c r="AI59" s="24" t="str" cm="1">
        <f t="array" aca="1" ref="AI59" ca="1">_xlfn.IFS(AG59&gt;10,"10+",AG59&gt;4,"5-10 YIL",AG59&gt;2,"3-5 YIL",AG59&gt;0.9,"1-3 YIL",AG59&lt;1,"0-1 YIL")</f>
        <v>1-3 YIL</v>
      </c>
      <c r="AJ59">
        <f t="shared" si="1"/>
        <v>2025</v>
      </c>
      <c r="AK59" t="e">
        <f t="shared" si="2"/>
        <v>#VALUE!</v>
      </c>
    </row>
    <row r="60" spans="1:37" x14ac:dyDescent="0.3">
      <c r="A60" s="2" t="s">
        <v>202</v>
      </c>
      <c r="B60" s="3" t="s">
        <v>203</v>
      </c>
      <c r="C60" s="2" t="s">
        <v>33</v>
      </c>
      <c r="D60" s="13">
        <v>31608</v>
      </c>
      <c r="E60" s="4">
        <v>40</v>
      </c>
      <c r="F60" s="2" t="s">
        <v>34</v>
      </c>
      <c r="G60" s="4">
        <v>0</v>
      </c>
      <c r="H60" s="2" t="s">
        <v>35</v>
      </c>
      <c r="I60" s="3" t="s">
        <v>70</v>
      </c>
      <c r="J60" s="3" t="s">
        <v>71</v>
      </c>
      <c r="K60" s="2" t="s">
        <v>51</v>
      </c>
      <c r="L60" s="2" t="s">
        <v>63</v>
      </c>
      <c r="M60" s="3" t="s">
        <v>72</v>
      </c>
      <c r="N60" s="2" t="s">
        <v>41</v>
      </c>
      <c r="O60" s="13">
        <v>41872</v>
      </c>
      <c r="P60" s="2" t="s">
        <v>44</v>
      </c>
      <c r="Q60" s="3" t="s">
        <v>44</v>
      </c>
      <c r="R60" s="2" t="s">
        <v>44</v>
      </c>
      <c r="S60" s="2" t="s">
        <v>56</v>
      </c>
      <c r="T60" s="5">
        <v>57700</v>
      </c>
      <c r="U60" s="5">
        <v>0</v>
      </c>
      <c r="V60" s="4">
        <v>5</v>
      </c>
      <c r="W60" s="4">
        <v>30</v>
      </c>
      <c r="X60" s="2" t="s">
        <v>44</v>
      </c>
      <c r="Y60" s="4">
        <v>0</v>
      </c>
      <c r="Z60" s="4">
        <v>13</v>
      </c>
      <c r="AA60" s="4">
        <v>0</v>
      </c>
      <c r="AB60" s="4">
        <v>0</v>
      </c>
      <c r="AC60" s="4">
        <v>2</v>
      </c>
      <c r="AD60" s="4">
        <v>16</v>
      </c>
      <c r="AE60" s="3" t="s">
        <v>58</v>
      </c>
      <c r="AG60">
        <f t="shared" ca="1" si="0"/>
        <v>11</v>
      </c>
      <c r="AH60" s="23" t="str" cm="1">
        <f t="array" ref="AH60">_xlfn.IFS(E60&gt;49,"50+",E60&gt;39,"40-49",E60&gt;29,"30-39",E60&gt;19,"20-29")</f>
        <v>40-49</v>
      </c>
      <c r="AI60" s="24" t="str" cm="1">
        <f t="array" aca="1" ref="AI60" ca="1">_xlfn.IFS(AG60&gt;10,"10+",AG60&gt;4,"5-10 YIL",AG60&gt;2,"3-5 YIL",AG60&gt;0.9,"1-3 YIL",AG60&lt;1,"0-1 YIL")</f>
        <v>10+</v>
      </c>
      <c r="AJ60">
        <f t="shared" si="1"/>
        <v>2014</v>
      </c>
      <c r="AK60" t="e">
        <f t="shared" si="2"/>
        <v>#VALUE!</v>
      </c>
    </row>
    <row r="61" spans="1:37" x14ac:dyDescent="0.3">
      <c r="A61" s="6" t="s">
        <v>204</v>
      </c>
      <c r="B61" s="7" t="s">
        <v>205</v>
      </c>
      <c r="C61" s="6" t="s">
        <v>48</v>
      </c>
      <c r="D61" s="14">
        <v>35697</v>
      </c>
      <c r="E61" s="8">
        <v>29</v>
      </c>
      <c r="F61" s="6" t="s">
        <v>49</v>
      </c>
      <c r="G61" s="8">
        <v>3</v>
      </c>
      <c r="H61" s="6" t="s">
        <v>35</v>
      </c>
      <c r="I61" s="7" t="s">
        <v>36</v>
      </c>
      <c r="J61" s="7" t="s">
        <v>37</v>
      </c>
      <c r="K61" s="6" t="s">
        <v>38</v>
      </c>
      <c r="L61" s="6" t="s">
        <v>39</v>
      </c>
      <c r="M61" s="7" t="s">
        <v>40</v>
      </c>
      <c r="N61" s="6" t="s">
        <v>89</v>
      </c>
      <c r="O61" s="14">
        <v>46162</v>
      </c>
      <c r="P61" s="6" t="s">
        <v>44</v>
      </c>
      <c r="Q61" s="7" t="s">
        <v>44</v>
      </c>
      <c r="R61" s="6" t="s">
        <v>44</v>
      </c>
      <c r="S61" s="6" t="s">
        <v>56</v>
      </c>
      <c r="T61" s="9">
        <v>26500</v>
      </c>
      <c r="U61" s="9">
        <v>0</v>
      </c>
      <c r="V61" s="8">
        <v>34</v>
      </c>
      <c r="W61" s="8">
        <v>28</v>
      </c>
      <c r="X61" s="6" t="s">
        <v>57</v>
      </c>
      <c r="Y61" s="8">
        <v>2</v>
      </c>
      <c r="Z61" s="8">
        <v>0</v>
      </c>
      <c r="AA61" s="8">
        <v>0</v>
      </c>
      <c r="AB61" s="8">
        <v>0</v>
      </c>
      <c r="AC61" s="8">
        <v>4</v>
      </c>
      <c r="AD61" s="8">
        <v>31</v>
      </c>
      <c r="AE61" s="7" t="s">
        <v>45</v>
      </c>
      <c r="AG61">
        <f t="shared" ca="1" si="0"/>
        <v>0</v>
      </c>
      <c r="AH61" s="23" t="str" cm="1">
        <f t="array" ref="AH61">_xlfn.IFS(E61&gt;49,"50+",E61&gt;39,"40-49",E61&gt;29,"30-39",E61&gt;19,"20-29")</f>
        <v>20-29</v>
      </c>
      <c r="AI61" s="24" t="str" cm="1">
        <f t="array" aca="1" ref="AI61" ca="1">_xlfn.IFS(AG61&gt;10,"10+",AG61&gt;4,"5-10 YIL",AG61&gt;2,"3-5 YIL",AG61&gt;0.9,"1-3 YIL",AG61&lt;1,"0-1 YIL")</f>
        <v>0-1 YIL</v>
      </c>
      <c r="AJ61">
        <f t="shared" si="1"/>
        <v>2026</v>
      </c>
      <c r="AK61" t="e">
        <f t="shared" si="2"/>
        <v>#VALUE!</v>
      </c>
    </row>
    <row r="62" spans="1:37" x14ac:dyDescent="0.3">
      <c r="A62" s="2" t="s">
        <v>206</v>
      </c>
      <c r="B62" s="3" t="s">
        <v>207</v>
      </c>
      <c r="C62" s="2" t="s">
        <v>48</v>
      </c>
      <c r="D62" s="13">
        <v>36149</v>
      </c>
      <c r="E62" s="4">
        <v>28</v>
      </c>
      <c r="F62" s="2" t="s">
        <v>34</v>
      </c>
      <c r="G62" s="4">
        <v>0</v>
      </c>
      <c r="H62" s="2" t="s">
        <v>85</v>
      </c>
      <c r="I62" s="3" t="s">
        <v>36</v>
      </c>
      <c r="J62" s="3" t="s">
        <v>37</v>
      </c>
      <c r="K62" s="2" t="s">
        <v>38</v>
      </c>
      <c r="L62" s="2" t="s">
        <v>39</v>
      </c>
      <c r="M62" s="3" t="s">
        <v>40</v>
      </c>
      <c r="N62" s="2" t="s">
        <v>41</v>
      </c>
      <c r="O62" s="13">
        <v>45946</v>
      </c>
      <c r="P62" s="2" t="s">
        <v>44</v>
      </c>
      <c r="Q62" s="3" t="s">
        <v>44</v>
      </c>
      <c r="R62" s="2" t="s">
        <v>44</v>
      </c>
      <c r="S62" s="2" t="s">
        <v>56</v>
      </c>
      <c r="T62" s="5">
        <v>24600</v>
      </c>
      <c r="U62" s="5">
        <v>0</v>
      </c>
      <c r="V62" s="4">
        <v>31</v>
      </c>
      <c r="W62" s="4">
        <v>30</v>
      </c>
      <c r="X62" s="2" t="s">
        <v>44</v>
      </c>
      <c r="Y62" s="4">
        <v>0</v>
      </c>
      <c r="Z62" s="4">
        <v>0</v>
      </c>
      <c r="AA62" s="4">
        <v>0</v>
      </c>
      <c r="AB62" s="4">
        <v>0</v>
      </c>
      <c r="AC62" s="4">
        <v>3</v>
      </c>
      <c r="AD62" s="4">
        <v>14</v>
      </c>
      <c r="AE62" s="3" t="s">
        <v>45</v>
      </c>
      <c r="AG62">
        <f t="shared" ca="1" si="0"/>
        <v>0</v>
      </c>
      <c r="AH62" s="23" t="str" cm="1">
        <f t="array" ref="AH62">_xlfn.IFS(E62&gt;49,"50+",E62&gt;39,"40-49",E62&gt;29,"30-39",E62&gt;19,"20-29")</f>
        <v>20-29</v>
      </c>
      <c r="AI62" s="24" t="str" cm="1">
        <f t="array" aca="1" ref="AI62" ca="1">_xlfn.IFS(AG62&gt;10,"10+",AG62&gt;4,"5-10 YIL",AG62&gt;2,"3-5 YIL",AG62&gt;0.9,"1-3 YIL",AG62&lt;1,"0-1 YIL")</f>
        <v>0-1 YIL</v>
      </c>
      <c r="AJ62">
        <f t="shared" si="1"/>
        <v>2025</v>
      </c>
      <c r="AK62" t="e">
        <f t="shared" si="2"/>
        <v>#VALUE!</v>
      </c>
    </row>
    <row r="63" spans="1:37" x14ac:dyDescent="0.3">
      <c r="A63" s="6" t="s">
        <v>208</v>
      </c>
      <c r="B63" s="7" t="s">
        <v>209</v>
      </c>
      <c r="C63" s="6" t="s">
        <v>48</v>
      </c>
      <c r="D63" s="14">
        <v>33321</v>
      </c>
      <c r="E63" s="8">
        <v>35</v>
      </c>
      <c r="F63" s="6" t="s">
        <v>49</v>
      </c>
      <c r="G63" s="8">
        <v>1</v>
      </c>
      <c r="H63" s="6" t="s">
        <v>35</v>
      </c>
      <c r="I63" s="7" t="s">
        <v>148</v>
      </c>
      <c r="J63" s="7" t="s">
        <v>149</v>
      </c>
      <c r="K63" s="6" t="s">
        <v>51</v>
      </c>
      <c r="L63" s="6" t="s">
        <v>63</v>
      </c>
      <c r="M63" s="7" t="s">
        <v>150</v>
      </c>
      <c r="N63" s="6" t="s">
        <v>67</v>
      </c>
      <c r="O63" s="14">
        <v>43211</v>
      </c>
      <c r="P63" s="6" t="s">
        <v>44</v>
      </c>
      <c r="Q63" s="7" t="s">
        <v>44</v>
      </c>
      <c r="R63" s="6" t="s">
        <v>44</v>
      </c>
      <c r="S63" s="6" t="s">
        <v>56</v>
      </c>
      <c r="T63" s="9">
        <v>59700</v>
      </c>
      <c r="U63" s="9">
        <v>0</v>
      </c>
      <c r="V63" s="8">
        <v>5</v>
      </c>
      <c r="W63" s="8">
        <v>30</v>
      </c>
      <c r="X63" s="6" t="s">
        <v>44</v>
      </c>
      <c r="Y63" s="8">
        <v>0</v>
      </c>
      <c r="Z63" s="8">
        <v>7</v>
      </c>
      <c r="AA63" s="8">
        <v>0</v>
      </c>
      <c r="AB63" s="8">
        <v>0</v>
      </c>
      <c r="AC63" s="8">
        <v>1</v>
      </c>
      <c r="AD63" s="8">
        <v>2</v>
      </c>
      <c r="AE63" s="7" t="s">
        <v>58</v>
      </c>
      <c r="AG63">
        <f t="shared" ca="1" si="0"/>
        <v>8</v>
      </c>
      <c r="AH63" s="23" t="str" cm="1">
        <f t="array" ref="AH63">_xlfn.IFS(E63&gt;49,"50+",E63&gt;39,"40-49",E63&gt;29,"30-39",E63&gt;19,"20-29")</f>
        <v>30-39</v>
      </c>
      <c r="AI63" s="24" t="str" cm="1">
        <f t="array" aca="1" ref="AI63" ca="1">_xlfn.IFS(AG63&gt;10,"10+",AG63&gt;4,"5-10 YIL",AG63&gt;2,"3-5 YIL",AG63&gt;0.9,"1-3 YIL",AG63&lt;1,"0-1 YIL")</f>
        <v>5-10 YIL</v>
      </c>
      <c r="AJ63">
        <f t="shared" si="1"/>
        <v>2018</v>
      </c>
      <c r="AK63" t="e">
        <f t="shared" si="2"/>
        <v>#VALUE!</v>
      </c>
    </row>
    <row r="64" spans="1:37" x14ac:dyDescent="0.3">
      <c r="A64" s="2" t="s">
        <v>210</v>
      </c>
      <c r="B64" s="3" t="s">
        <v>211</v>
      </c>
      <c r="C64" s="2" t="s">
        <v>33</v>
      </c>
      <c r="D64" s="13">
        <v>37662</v>
      </c>
      <c r="E64" s="4">
        <v>23</v>
      </c>
      <c r="F64" s="2" t="s">
        <v>49</v>
      </c>
      <c r="G64" s="4">
        <v>0</v>
      </c>
      <c r="H64" s="2" t="s">
        <v>35</v>
      </c>
      <c r="I64" s="3" t="s">
        <v>36</v>
      </c>
      <c r="J64" s="3" t="s">
        <v>37</v>
      </c>
      <c r="K64" s="2" t="s">
        <v>38</v>
      </c>
      <c r="L64" s="2" t="s">
        <v>39</v>
      </c>
      <c r="M64" s="3" t="s">
        <v>40</v>
      </c>
      <c r="N64" s="2" t="s">
        <v>41</v>
      </c>
      <c r="O64" s="13">
        <v>45139</v>
      </c>
      <c r="P64" s="13">
        <v>45485</v>
      </c>
      <c r="Q64" s="3" t="s">
        <v>177</v>
      </c>
      <c r="R64" s="2">
        <v>3</v>
      </c>
      <c r="S64" s="2" t="s">
        <v>43</v>
      </c>
      <c r="T64" s="5">
        <v>23900</v>
      </c>
      <c r="U64" s="5">
        <v>0</v>
      </c>
      <c r="V64" s="4">
        <v>15</v>
      </c>
      <c r="W64" s="4">
        <v>30</v>
      </c>
      <c r="X64" s="2" t="s">
        <v>44</v>
      </c>
      <c r="Y64" s="4">
        <v>0</v>
      </c>
      <c r="Z64" s="4">
        <v>8</v>
      </c>
      <c r="AA64" s="4">
        <v>0</v>
      </c>
      <c r="AB64" s="4">
        <v>0</v>
      </c>
      <c r="AC64" s="4">
        <v>4</v>
      </c>
      <c r="AD64" s="4">
        <v>29</v>
      </c>
      <c r="AE64" s="3" t="s">
        <v>58</v>
      </c>
      <c r="AG64">
        <f t="shared" ca="1" si="0"/>
        <v>2</v>
      </c>
      <c r="AH64" s="23" t="str" cm="1">
        <f t="array" ref="AH64">_xlfn.IFS(E64&gt;49,"50+",E64&gt;39,"40-49",E64&gt;29,"30-39",E64&gt;19,"20-29")</f>
        <v>20-29</v>
      </c>
      <c r="AI64" s="24" t="str" cm="1">
        <f t="array" aca="1" ref="AI64" ca="1">_xlfn.IFS(AG64&gt;10,"10+",AG64&gt;4,"5-10 YIL",AG64&gt;2,"3-5 YIL",AG64&gt;0.9,"1-3 YIL",AG64&lt;1,"0-1 YIL")</f>
        <v>1-3 YIL</v>
      </c>
      <c r="AJ64">
        <f t="shared" si="1"/>
        <v>2023</v>
      </c>
      <c r="AK64">
        <f t="shared" si="2"/>
        <v>2024</v>
      </c>
    </row>
    <row r="65" spans="1:37" x14ac:dyDescent="0.3">
      <c r="A65" s="6" t="s">
        <v>212</v>
      </c>
      <c r="B65" s="7" t="s">
        <v>133</v>
      </c>
      <c r="C65" s="6" t="s">
        <v>48</v>
      </c>
      <c r="D65" s="14">
        <v>33036</v>
      </c>
      <c r="E65" s="8">
        <v>36</v>
      </c>
      <c r="F65" s="6" t="s">
        <v>49</v>
      </c>
      <c r="G65" s="8">
        <v>1</v>
      </c>
      <c r="H65" s="6" t="s">
        <v>35</v>
      </c>
      <c r="I65" s="7" t="s">
        <v>61</v>
      </c>
      <c r="J65" s="7" t="s">
        <v>107</v>
      </c>
      <c r="K65" s="6" t="s">
        <v>51</v>
      </c>
      <c r="L65" s="6" t="s">
        <v>63</v>
      </c>
      <c r="M65" s="7" t="s">
        <v>64</v>
      </c>
      <c r="N65" s="6" t="s">
        <v>67</v>
      </c>
      <c r="O65" s="14">
        <v>44626</v>
      </c>
      <c r="P65" s="6" t="s">
        <v>44</v>
      </c>
      <c r="Q65" s="7" t="s">
        <v>44</v>
      </c>
      <c r="R65" s="6" t="s">
        <v>44</v>
      </c>
      <c r="S65" s="6" t="s">
        <v>56</v>
      </c>
      <c r="T65" s="9">
        <v>57500</v>
      </c>
      <c r="U65" s="9">
        <v>14600</v>
      </c>
      <c r="V65" s="8">
        <v>5</v>
      </c>
      <c r="W65" s="8">
        <v>30</v>
      </c>
      <c r="X65" s="6" t="s">
        <v>44</v>
      </c>
      <c r="Y65" s="8">
        <v>0</v>
      </c>
      <c r="Z65" s="8">
        <v>6</v>
      </c>
      <c r="AA65" s="8">
        <v>0</v>
      </c>
      <c r="AB65" s="8">
        <v>0</v>
      </c>
      <c r="AC65" s="8">
        <v>3</v>
      </c>
      <c r="AD65" s="8">
        <v>13</v>
      </c>
      <c r="AE65" s="7" t="s">
        <v>58</v>
      </c>
      <c r="AG65">
        <f t="shared" ca="1" si="0"/>
        <v>4</v>
      </c>
      <c r="AH65" s="23" t="str" cm="1">
        <f t="array" ref="AH65">_xlfn.IFS(E65&gt;49,"50+",E65&gt;39,"40-49",E65&gt;29,"30-39",E65&gt;19,"20-29")</f>
        <v>30-39</v>
      </c>
      <c r="AI65" s="24" t="str" cm="1">
        <f t="array" aca="1" ref="AI65" ca="1">_xlfn.IFS(AG65&gt;10,"10+",AG65&gt;4,"5-10 YIL",AG65&gt;2,"3-5 YIL",AG65&gt;0.9,"1-3 YIL",AG65&lt;1,"0-1 YIL")</f>
        <v>3-5 YIL</v>
      </c>
      <c r="AJ65">
        <f t="shared" si="1"/>
        <v>2022</v>
      </c>
      <c r="AK65" t="e">
        <f t="shared" si="2"/>
        <v>#VALUE!</v>
      </c>
    </row>
    <row r="66" spans="1:37" x14ac:dyDescent="0.3">
      <c r="A66" s="2" t="s">
        <v>213</v>
      </c>
      <c r="B66" s="3" t="s">
        <v>214</v>
      </c>
      <c r="C66" s="2" t="s">
        <v>48</v>
      </c>
      <c r="D66" s="13">
        <v>36532</v>
      </c>
      <c r="E66" s="4">
        <v>26</v>
      </c>
      <c r="F66" s="2" t="s">
        <v>34</v>
      </c>
      <c r="G66" s="4">
        <v>0</v>
      </c>
      <c r="H66" s="2" t="s">
        <v>184</v>
      </c>
      <c r="I66" s="3" t="s">
        <v>36</v>
      </c>
      <c r="J66" s="3" t="s">
        <v>37</v>
      </c>
      <c r="K66" s="2" t="s">
        <v>38</v>
      </c>
      <c r="L66" s="2" t="s">
        <v>39</v>
      </c>
      <c r="M66" s="3" t="s">
        <v>40</v>
      </c>
      <c r="N66" s="2" t="s">
        <v>67</v>
      </c>
      <c r="O66" s="13">
        <v>45477</v>
      </c>
      <c r="P66" s="2" t="s">
        <v>44</v>
      </c>
      <c r="Q66" s="3" t="s">
        <v>44</v>
      </c>
      <c r="R66" s="2" t="s">
        <v>44</v>
      </c>
      <c r="S66" s="2" t="s">
        <v>56</v>
      </c>
      <c r="T66" s="5">
        <v>28600</v>
      </c>
      <c r="U66" s="5">
        <v>0</v>
      </c>
      <c r="V66" s="4">
        <v>33</v>
      </c>
      <c r="W66" s="4">
        <v>30</v>
      </c>
      <c r="X66" s="2" t="s">
        <v>44</v>
      </c>
      <c r="Y66" s="4">
        <v>0</v>
      </c>
      <c r="Z66" s="4">
        <v>11</v>
      </c>
      <c r="AA66" s="4">
        <v>0</v>
      </c>
      <c r="AB66" s="4">
        <v>0</v>
      </c>
      <c r="AC66" s="4">
        <v>3</v>
      </c>
      <c r="AD66" s="4">
        <v>19</v>
      </c>
      <c r="AE66" s="3" t="s">
        <v>82</v>
      </c>
      <c r="AG66">
        <f t="shared" ca="1" si="0"/>
        <v>1</v>
      </c>
      <c r="AH66" s="23" t="str" cm="1">
        <f t="array" ref="AH66">_xlfn.IFS(E66&gt;49,"50+",E66&gt;39,"40-49",E66&gt;29,"30-39",E66&gt;19,"20-29")</f>
        <v>20-29</v>
      </c>
      <c r="AI66" s="24" t="str" cm="1">
        <f t="array" aca="1" ref="AI66" ca="1">_xlfn.IFS(AG66&gt;10,"10+",AG66&gt;4,"5-10 YIL",AG66&gt;2,"3-5 YIL",AG66&gt;0.9,"1-3 YIL",AG66&lt;1,"0-1 YIL")</f>
        <v>1-3 YIL</v>
      </c>
      <c r="AJ66">
        <f t="shared" si="1"/>
        <v>2024</v>
      </c>
      <c r="AK66" t="e">
        <f t="shared" si="2"/>
        <v>#VALUE!</v>
      </c>
    </row>
    <row r="67" spans="1:37" x14ac:dyDescent="0.3">
      <c r="A67" s="6" t="s">
        <v>215</v>
      </c>
      <c r="B67" s="7" t="s">
        <v>216</v>
      </c>
      <c r="C67" s="6" t="s">
        <v>48</v>
      </c>
      <c r="D67" s="14">
        <v>32593</v>
      </c>
      <c r="E67" s="8">
        <v>37</v>
      </c>
      <c r="F67" s="6" t="s">
        <v>34</v>
      </c>
      <c r="G67" s="8">
        <v>0</v>
      </c>
      <c r="H67" s="6" t="s">
        <v>35</v>
      </c>
      <c r="I67" s="7" t="s">
        <v>70</v>
      </c>
      <c r="J67" s="7" t="s">
        <v>71</v>
      </c>
      <c r="K67" s="6" t="s">
        <v>51</v>
      </c>
      <c r="L67" s="6" t="s">
        <v>63</v>
      </c>
      <c r="M67" s="7" t="s">
        <v>72</v>
      </c>
      <c r="N67" s="6" t="s">
        <v>89</v>
      </c>
      <c r="O67" s="14">
        <v>44102</v>
      </c>
      <c r="P67" s="6" t="s">
        <v>44</v>
      </c>
      <c r="Q67" s="7" t="s">
        <v>44</v>
      </c>
      <c r="R67" s="6" t="s">
        <v>44</v>
      </c>
      <c r="S67" s="6" t="s">
        <v>56</v>
      </c>
      <c r="T67" s="9">
        <v>59600</v>
      </c>
      <c r="U67" s="9">
        <v>5800</v>
      </c>
      <c r="V67" s="8">
        <v>0</v>
      </c>
      <c r="W67" s="8">
        <v>30</v>
      </c>
      <c r="X67" s="6" t="s">
        <v>44</v>
      </c>
      <c r="Y67" s="8">
        <v>0</v>
      </c>
      <c r="Z67" s="8">
        <v>13</v>
      </c>
      <c r="AA67" s="8">
        <v>0</v>
      </c>
      <c r="AB67" s="8">
        <v>0</v>
      </c>
      <c r="AC67" s="8">
        <v>2</v>
      </c>
      <c r="AD67" s="8">
        <v>13</v>
      </c>
      <c r="AE67" s="7" t="s">
        <v>58</v>
      </c>
      <c r="AG67">
        <f t="shared" ref="AG67:AG130" ca="1" si="3">DATEDIF(O67,TODAY(),"Y")</f>
        <v>5</v>
      </c>
      <c r="AH67" s="23" t="str" cm="1">
        <f t="array" ref="AH67">_xlfn.IFS(E67&gt;49,"50+",E67&gt;39,"40-49",E67&gt;29,"30-39",E67&gt;19,"20-29")</f>
        <v>30-39</v>
      </c>
      <c r="AI67" s="24" t="str" cm="1">
        <f t="array" aca="1" ref="AI67" ca="1">_xlfn.IFS(AG67&gt;10,"10+",AG67&gt;4,"5-10 YIL",AG67&gt;2,"3-5 YIL",AG67&gt;0.9,"1-3 YIL",AG67&lt;1,"0-1 YIL")</f>
        <v>5-10 YIL</v>
      </c>
      <c r="AJ67">
        <f t="shared" ref="AJ67:AJ130" si="4">YEAR(O67)</f>
        <v>2020</v>
      </c>
      <c r="AK67" t="e">
        <f t="shared" ref="AK67:AK130" si="5">YEAR(P67)</f>
        <v>#VALUE!</v>
      </c>
    </row>
    <row r="68" spans="1:37" x14ac:dyDescent="0.3">
      <c r="A68" s="2" t="s">
        <v>217</v>
      </c>
      <c r="B68" s="3" t="s">
        <v>116</v>
      </c>
      <c r="C68" s="2" t="s">
        <v>48</v>
      </c>
      <c r="D68" s="13">
        <v>37078</v>
      </c>
      <c r="E68" s="4">
        <v>25</v>
      </c>
      <c r="F68" s="2" t="s">
        <v>49</v>
      </c>
      <c r="G68" s="4">
        <v>1</v>
      </c>
      <c r="H68" s="2" t="s">
        <v>88</v>
      </c>
      <c r="I68" s="3" t="s">
        <v>36</v>
      </c>
      <c r="J68" s="3" t="s">
        <v>37</v>
      </c>
      <c r="K68" s="2" t="s">
        <v>38</v>
      </c>
      <c r="L68" s="2" t="s">
        <v>39</v>
      </c>
      <c r="M68" s="3" t="s">
        <v>40</v>
      </c>
      <c r="N68" s="2" t="s">
        <v>41</v>
      </c>
      <c r="O68" s="13">
        <v>45664</v>
      </c>
      <c r="P68" s="2" t="s">
        <v>44</v>
      </c>
      <c r="Q68" s="3" t="s">
        <v>44</v>
      </c>
      <c r="R68" s="2" t="s">
        <v>44</v>
      </c>
      <c r="S68" s="2" t="s">
        <v>56</v>
      </c>
      <c r="T68" s="5">
        <v>28600</v>
      </c>
      <c r="U68" s="5">
        <v>0</v>
      </c>
      <c r="V68" s="4">
        <v>11</v>
      </c>
      <c r="W68" s="4">
        <v>28</v>
      </c>
      <c r="X68" s="2" t="s">
        <v>57</v>
      </c>
      <c r="Y68" s="4">
        <v>2</v>
      </c>
      <c r="Z68" s="4">
        <v>0</v>
      </c>
      <c r="AA68" s="4">
        <v>0</v>
      </c>
      <c r="AB68" s="4">
        <v>0</v>
      </c>
      <c r="AC68" s="4">
        <v>2</v>
      </c>
      <c r="AD68" s="4">
        <v>14</v>
      </c>
      <c r="AE68" s="3" t="s">
        <v>45</v>
      </c>
      <c r="AG68">
        <f t="shared" ca="1" si="3"/>
        <v>1</v>
      </c>
      <c r="AH68" s="23" t="str" cm="1">
        <f t="array" ref="AH68">_xlfn.IFS(E68&gt;49,"50+",E68&gt;39,"40-49",E68&gt;29,"30-39",E68&gt;19,"20-29")</f>
        <v>20-29</v>
      </c>
      <c r="AI68" s="24" t="str" cm="1">
        <f t="array" aca="1" ref="AI68" ca="1">_xlfn.IFS(AG68&gt;10,"10+",AG68&gt;4,"5-10 YIL",AG68&gt;2,"3-5 YIL",AG68&gt;0.9,"1-3 YIL",AG68&lt;1,"0-1 YIL")</f>
        <v>1-3 YIL</v>
      </c>
      <c r="AJ68">
        <f t="shared" si="4"/>
        <v>2025</v>
      </c>
      <c r="AK68" t="e">
        <f t="shared" si="5"/>
        <v>#VALUE!</v>
      </c>
    </row>
    <row r="69" spans="1:37" x14ac:dyDescent="0.3">
      <c r="A69" s="6" t="s">
        <v>218</v>
      </c>
      <c r="B69" s="7" t="s">
        <v>100</v>
      </c>
      <c r="C69" s="6" t="s">
        <v>33</v>
      </c>
      <c r="D69" s="14">
        <v>35765</v>
      </c>
      <c r="E69" s="8">
        <v>29</v>
      </c>
      <c r="F69" s="6" t="s">
        <v>49</v>
      </c>
      <c r="G69" s="8">
        <v>1</v>
      </c>
      <c r="H69" s="6" t="s">
        <v>35</v>
      </c>
      <c r="I69" s="7" t="s">
        <v>36</v>
      </c>
      <c r="J69" s="7" t="s">
        <v>37</v>
      </c>
      <c r="K69" s="6" t="s">
        <v>38</v>
      </c>
      <c r="L69" s="6" t="s">
        <v>39</v>
      </c>
      <c r="M69" s="7" t="s">
        <v>40</v>
      </c>
      <c r="N69" s="6" t="s">
        <v>67</v>
      </c>
      <c r="O69" s="14">
        <v>45131</v>
      </c>
      <c r="P69" s="6" t="s">
        <v>44</v>
      </c>
      <c r="Q69" s="7" t="s">
        <v>44</v>
      </c>
      <c r="R69" s="6" t="s">
        <v>44</v>
      </c>
      <c r="S69" s="6" t="s">
        <v>56</v>
      </c>
      <c r="T69" s="9">
        <v>24600</v>
      </c>
      <c r="U69" s="9">
        <v>0</v>
      </c>
      <c r="V69" s="8">
        <v>21</v>
      </c>
      <c r="W69" s="8">
        <v>30</v>
      </c>
      <c r="X69" s="6" t="s">
        <v>44</v>
      </c>
      <c r="Y69" s="8">
        <v>0</v>
      </c>
      <c r="Z69" s="8">
        <v>11</v>
      </c>
      <c r="AA69" s="8">
        <v>0</v>
      </c>
      <c r="AB69" s="8">
        <v>0</v>
      </c>
      <c r="AC69" s="8">
        <v>4</v>
      </c>
      <c r="AD69" s="8">
        <v>17</v>
      </c>
      <c r="AE69" s="7" t="s">
        <v>45</v>
      </c>
      <c r="AG69">
        <f t="shared" ca="1" si="3"/>
        <v>2</v>
      </c>
      <c r="AH69" s="23" t="str" cm="1">
        <f t="array" ref="AH69">_xlfn.IFS(E69&gt;49,"50+",E69&gt;39,"40-49",E69&gt;29,"30-39",E69&gt;19,"20-29")</f>
        <v>20-29</v>
      </c>
      <c r="AI69" s="24" t="str" cm="1">
        <f t="array" aca="1" ref="AI69" ca="1">_xlfn.IFS(AG69&gt;10,"10+",AG69&gt;4,"5-10 YIL",AG69&gt;2,"3-5 YIL",AG69&gt;0.9,"1-3 YIL",AG69&lt;1,"0-1 YIL")</f>
        <v>1-3 YIL</v>
      </c>
      <c r="AJ69">
        <f t="shared" si="4"/>
        <v>2023</v>
      </c>
      <c r="AK69" t="e">
        <f t="shared" si="5"/>
        <v>#VALUE!</v>
      </c>
    </row>
    <row r="70" spans="1:37" x14ac:dyDescent="0.3">
      <c r="A70" s="2" t="s">
        <v>219</v>
      </c>
      <c r="B70" s="3" t="s">
        <v>220</v>
      </c>
      <c r="C70" s="2" t="s">
        <v>33</v>
      </c>
      <c r="D70" s="13">
        <v>36647</v>
      </c>
      <c r="E70" s="4">
        <v>26</v>
      </c>
      <c r="F70" s="2" t="s">
        <v>49</v>
      </c>
      <c r="G70" s="4">
        <v>1</v>
      </c>
      <c r="H70" s="2" t="s">
        <v>85</v>
      </c>
      <c r="I70" s="3" t="s">
        <v>36</v>
      </c>
      <c r="J70" s="3" t="s">
        <v>37</v>
      </c>
      <c r="K70" s="2" t="s">
        <v>38</v>
      </c>
      <c r="L70" s="2" t="s">
        <v>39</v>
      </c>
      <c r="M70" s="3" t="s">
        <v>40</v>
      </c>
      <c r="N70" s="2" t="s">
        <v>41</v>
      </c>
      <c r="O70" s="13">
        <v>45265</v>
      </c>
      <c r="P70" s="2" t="s">
        <v>44</v>
      </c>
      <c r="Q70" s="3" t="s">
        <v>44</v>
      </c>
      <c r="R70" s="2" t="s">
        <v>44</v>
      </c>
      <c r="S70" s="2" t="s">
        <v>56</v>
      </c>
      <c r="T70" s="5">
        <v>24500</v>
      </c>
      <c r="U70" s="5">
        <v>0</v>
      </c>
      <c r="V70" s="4">
        <v>33</v>
      </c>
      <c r="W70" s="4">
        <v>29</v>
      </c>
      <c r="X70" s="2" t="s">
        <v>57</v>
      </c>
      <c r="Y70" s="4">
        <v>1</v>
      </c>
      <c r="Z70" s="4">
        <v>8</v>
      </c>
      <c r="AA70" s="4">
        <v>0</v>
      </c>
      <c r="AB70" s="4">
        <v>0</v>
      </c>
      <c r="AC70" s="4">
        <v>4</v>
      </c>
      <c r="AD70" s="4">
        <v>35</v>
      </c>
      <c r="AE70" s="3" t="s">
        <v>58</v>
      </c>
      <c r="AG70">
        <f t="shared" ca="1" si="3"/>
        <v>2</v>
      </c>
      <c r="AH70" s="23" t="str" cm="1">
        <f t="array" ref="AH70">_xlfn.IFS(E70&gt;49,"50+",E70&gt;39,"40-49",E70&gt;29,"30-39",E70&gt;19,"20-29")</f>
        <v>20-29</v>
      </c>
      <c r="AI70" s="24" t="str" cm="1">
        <f t="array" aca="1" ref="AI70" ca="1">_xlfn.IFS(AG70&gt;10,"10+",AG70&gt;4,"5-10 YIL",AG70&gt;2,"3-5 YIL",AG70&gt;0.9,"1-3 YIL",AG70&lt;1,"0-1 YIL")</f>
        <v>1-3 YIL</v>
      </c>
      <c r="AJ70">
        <f t="shared" si="4"/>
        <v>2023</v>
      </c>
      <c r="AK70" t="e">
        <f t="shared" si="5"/>
        <v>#VALUE!</v>
      </c>
    </row>
    <row r="71" spans="1:37" x14ac:dyDescent="0.3">
      <c r="A71" s="6" t="s">
        <v>221</v>
      </c>
      <c r="B71" s="7" t="s">
        <v>222</v>
      </c>
      <c r="C71" s="6" t="s">
        <v>48</v>
      </c>
      <c r="D71" s="14">
        <v>37644</v>
      </c>
      <c r="E71" s="8">
        <v>23</v>
      </c>
      <c r="F71" s="6" t="s">
        <v>49</v>
      </c>
      <c r="G71" s="8">
        <v>0</v>
      </c>
      <c r="H71" s="6" t="s">
        <v>35</v>
      </c>
      <c r="I71" s="7" t="s">
        <v>36</v>
      </c>
      <c r="J71" s="7" t="s">
        <v>37</v>
      </c>
      <c r="K71" s="6" t="s">
        <v>38</v>
      </c>
      <c r="L71" s="6" t="s">
        <v>39</v>
      </c>
      <c r="M71" s="7" t="s">
        <v>40</v>
      </c>
      <c r="N71" s="6" t="s">
        <v>95</v>
      </c>
      <c r="O71" s="14">
        <v>45910</v>
      </c>
      <c r="P71" s="6" t="s">
        <v>44</v>
      </c>
      <c r="Q71" s="7" t="s">
        <v>44</v>
      </c>
      <c r="R71" s="6" t="s">
        <v>44</v>
      </c>
      <c r="S71" s="6" t="s">
        <v>56</v>
      </c>
      <c r="T71" s="9">
        <v>28600</v>
      </c>
      <c r="U71" s="9">
        <v>0</v>
      </c>
      <c r="V71" s="8">
        <v>43</v>
      </c>
      <c r="W71" s="8">
        <v>28</v>
      </c>
      <c r="X71" s="6" t="s">
        <v>57</v>
      </c>
      <c r="Y71" s="8">
        <v>1</v>
      </c>
      <c r="Z71" s="8">
        <v>0</v>
      </c>
      <c r="AA71" s="8">
        <v>1</v>
      </c>
      <c r="AB71" s="8">
        <v>0</v>
      </c>
      <c r="AC71" s="8">
        <v>1</v>
      </c>
      <c r="AD71" s="8">
        <v>19</v>
      </c>
      <c r="AE71" s="7" t="s">
        <v>58</v>
      </c>
      <c r="AG71">
        <f t="shared" ca="1" si="3"/>
        <v>0</v>
      </c>
      <c r="AH71" s="23" t="str" cm="1">
        <f t="array" ref="AH71">_xlfn.IFS(E71&gt;49,"50+",E71&gt;39,"40-49",E71&gt;29,"30-39",E71&gt;19,"20-29")</f>
        <v>20-29</v>
      </c>
      <c r="AI71" s="24" t="str" cm="1">
        <f t="array" aca="1" ref="AI71" ca="1">_xlfn.IFS(AG71&gt;10,"10+",AG71&gt;4,"5-10 YIL",AG71&gt;2,"3-5 YIL",AG71&gt;0.9,"1-3 YIL",AG71&lt;1,"0-1 YIL")</f>
        <v>0-1 YIL</v>
      </c>
      <c r="AJ71">
        <f t="shared" si="4"/>
        <v>2025</v>
      </c>
      <c r="AK71" t="e">
        <f t="shared" si="5"/>
        <v>#VALUE!</v>
      </c>
    </row>
    <row r="72" spans="1:37" x14ac:dyDescent="0.3">
      <c r="A72" s="2" t="s">
        <v>223</v>
      </c>
      <c r="B72" s="3" t="s">
        <v>172</v>
      </c>
      <c r="C72" s="2" t="s">
        <v>48</v>
      </c>
      <c r="D72" s="13">
        <v>36655</v>
      </c>
      <c r="E72" s="4">
        <v>26</v>
      </c>
      <c r="F72" s="2" t="s">
        <v>49</v>
      </c>
      <c r="G72" s="4">
        <v>3</v>
      </c>
      <c r="H72" s="2" t="s">
        <v>35</v>
      </c>
      <c r="I72" s="3" t="s">
        <v>36</v>
      </c>
      <c r="J72" s="3" t="s">
        <v>37</v>
      </c>
      <c r="K72" s="2" t="s">
        <v>38</v>
      </c>
      <c r="L72" s="2" t="s">
        <v>39</v>
      </c>
      <c r="M72" s="3" t="s">
        <v>40</v>
      </c>
      <c r="N72" s="2" t="s">
        <v>67</v>
      </c>
      <c r="O72" s="13">
        <v>44989</v>
      </c>
      <c r="P72" s="2" t="s">
        <v>44</v>
      </c>
      <c r="Q72" s="3" t="s">
        <v>44</v>
      </c>
      <c r="R72" s="2" t="s">
        <v>44</v>
      </c>
      <c r="S72" s="2" t="s">
        <v>56</v>
      </c>
      <c r="T72" s="5">
        <v>24500</v>
      </c>
      <c r="U72" s="5">
        <v>0</v>
      </c>
      <c r="V72" s="4">
        <v>15</v>
      </c>
      <c r="W72" s="4">
        <v>30</v>
      </c>
      <c r="X72" s="2" t="s">
        <v>44</v>
      </c>
      <c r="Y72" s="4">
        <v>0</v>
      </c>
      <c r="Z72" s="4">
        <v>8</v>
      </c>
      <c r="AA72" s="4">
        <v>0</v>
      </c>
      <c r="AB72" s="4">
        <v>0</v>
      </c>
      <c r="AC72" s="4">
        <v>4</v>
      </c>
      <c r="AD72" s="4">
        <v>24</v>
      </c>
      <c r="AE72" s="3" t="s">
        <v>45</v>
      </c>
      <c r="AG72">
        <f t="shared" ca="1" si="3"/>
        <v>3</v>
      </c>
      <c r="AH72" s="23" t="str" cm="1">
        <f t="array" ref="AH72">_xlfn.IFS(E72&gt;49,"50+",E72&gt;39,"40-49",E72&gt;29,"30-39",E72&gt;19,"20-29")</f>
        <v>20-29</v>
      </c>
      <c r="AI72" s="24" t="str" cm="1">
        <f t="array" aca="1" ref="AI72" ca="1">_xlfn.IFS(AG72&gt;10,"10+",AG72&gt;4,"5-10 YIL",AG72&gt;2,"3-5 YIL",AG72&gt;0.9,"1-3 YIL",AG72&lt;1,"0-1 YIL")</f>
        <v>3-5 YIL</v>
      </c>
      <c r="AJ72">
        <f t="shared" si="4"/>
        <v>2023</v>
      </c>
      <c r="AK72" t="e">
        <f t="shared" si="5"/>
        <v>#VALUE!</v>
      </c>
    </row>
    <row r="73" spans="1:37" x14ac:dyDescent="0.3">
      <c r="A73" s="6" t="s">
        <v>224</v>
      </c>
      <c r="B73" s="7" t="s">
        <v>225</v>
      </c>
      <c r="C73" s="6" t="s">
        <v>33</v>
      </c>
      <c r="D73" s="14">
        <v>25508</v>
      </c>
      <c r="E73" s="8">
        <v>57</v>
      </c>
      <c r="F73" s="6" t="s">
        <v>34</v>
      </c>
      <c r="G73" s="8">
        <v>0</v>
      </c>
      <c r="H73" s="6" t="s">
        <v>85</v>
      </c>
      <c r="I73" s="7" t="s">
        <v>70</v>
      </c>
      <c r="J73" s="7" t="s">
        <v>129</v>
      </c>
      <c r="K73" s="6" t="s">
        <v>79</v>
      </c>
      <c r="L73" s="6" t="s">
        <v>63</v>
      </c>
      <c r="M73" s="7" t="s">
        <v>80</v>
      </c>
      <c r="N73" s="6" t="s">
        <v>41</v>
      </c>
      <c r="O73" s="14">
        <v>43274</v>
      </c>
      <c r="P73" s="6" t="s">
        <v>44</v>
      </c>
      <c r="Q73" s="7" t="s">
        <v>44</v>
      </c>
      <c r="R73" s="6" t="s">
        <v>44</v>
      </c>
      <c r="S73" s="6" t="s">
        <v>56</v>
      </c>
      <c r="T73" s="9">
        <v>118800</v>
      </c>
      <c r="U73" s="9">
        <v>0</v>
      </c>
      <c r="V73" s="8">
        <v>9</v>
      </c>
      <c r="W73" s="8">
        <v>30</v>
      </c>
      <c r="X73" s="6" t="s">
        <v>44</v>
      </c>
      <c r="Y73" s="8">
        <v>0</v>
      </c>
      <c r="Z73" s="8">
        <v>11</v>
      </c>
      <c r="AA73" s="8">
        <v>0</v>
      </c>
      <c r="AB73" s="8">
        <v>0</v>
      </c>
      <c r="AC73" s="8">
        <v>3</v>
      </c>
      <c r="AD73" s="8">
        <v>2</v>
      </c>
      <c r="AE73" s="7" t="s">
        <v>45</v>
      </c>
      <c r="AG73">
        <f t="shared" ca="1" si="3"/>
        <v>8</v>
      </c>
      <c r="AH73" s="23" t="str" cm="1">
        <f t="array" ref="AH73">_xlfn.IFS(E73&gt;49,"50+",E73&gt;39,"40-49",E73&gt;29,"30-39",E73&gt;19,"20-29")</f>
        <v>50+</v>
      </c>
      <c r="AI73" s="24" t="str" cm="1">
        <f t="array" aca="1" ref="AI73" ca="1">_xlfn.IFS(AG73&gt;10,"10+",AG73&gt;4,"5-10 YIL",AG73&gt;2,"3-5 YIL",AG73&gt;0.9,"1-3 YIL",AG73&lt;1,"0-1 YIL")</f>
        <v>5-10 YIL</v>
      </c>
      <c r="AJ73">
        <f t="shared" si="4"/>
        <v>2018</v>
      </c>
      <c r="AK73" t="e">
        <f t="shared" si="5"/>
        <v>#VALUE!</v>
      </c>
    </row>
    <row r="74" spans="1:37" x14ac:dyDescent="0.3">
      <c r="A74" s="2" t="s">
        <v>226</v>
      </c>
      <c r="B74" s="3" t="s">
        <v>227</v>
      </c>
      <c r="C74" s="2" t="s">
        <v>33</v>
      </c>
      <c r="D74" s="13">
        <v>37658</v>
      </c>
      <c r="E74" s="4">
        <v>23</v>
      </c>
      <c r="F74" s="2" t="s">
        <v>49</v>
      </c>
      <c r="G74" s="4">
        <v>1</v>
      </c>
      <c r="H74" s="2" t="s">
        <v>35</v>
      </c>
      <c r="I74" s="3" t="s">
        <v>36</v>
      </c>
      <c r="J74" s="3" t="s">
        <v>37</v>
      </c>
      <c r="K74" s="2" t="s">
        <v>38</v>
      </c>
      <c r="L74" s="2" t="s">
        <v>39</v>
      </c>
      <c r="M74" s="3" t="s">
        <v>40</v>
      </c>
      <c r="N74" s="2" t="s">
        <v>67</v>
      </c>
      <c r="O74" s="13">
        <v>44962</v>
      </c>
      <c r="P74" s="2" t="s">
        <v>44</v>
      </c>
      <c r="Q74" s="3" t="s">
        <v>44</v>
      </c>
      <c r="R74" s="2" t="s">
        <v>44</v>
      </c>
      <c r="S74" s="2" t="s">
        <v>56</v>
      </c>
      <c r="T74" s="5">
        <v>24300</v>
      </c>
      <c r="U74" s="5">
        <v>0</v>
      </c>
      <c r="V74" s="4">
        <v>14</v>
      </c>
      <c r="W74" s="4">
        <v>30</v>
      </c>
      <c r="X74" s="2" t="s">
        <v>44</v>
      </c>
      <c r="Y74" s="4">
        <v>0</v>
      </c>
      <c r="Z74" s="4">
        <v>11</v>
      </c>
      <c r="AA74" s="4">
        <v>0</v>
      </c>
      <c r="AB74" s="4">
        <v>0</v>
      </c>
      <c r="AC74" s="4">
        <v>3</v>
      </c>
      <c r="AD74" s="4">
        <v>7</v>
      </c>
      <c r="AE74" s="3" t="s">
        <v>58</v>
      </c>
      <c r="AG74">
        <f t="shared" ca="1" si="3"/>
        <v>3</v>
      </c>
      <c r="AH74" s="23" t="str" cm="1">
        <f t="array" ref="AH74">_xlfn.IFS(E74&gt;49,"50+",E74&gt;39,"40-49",E74&gt;29,"30-39",E74&gt;19,"20-29")</f>
        <v>20-29</v>
      </c>
      <c r="AI74" s="24" t="str" cm="1">
        <f t="array" aca="1" ref="AI74" ca="1">_xlfn.IFS(AG74&gt;10,"10+",AG74&gt;4,"5-10 YIL",AG74&gt;2,"3-5 YIL",AG74&gt;0.9,"1-3 YIL",AG74&lt;1,"0-1 YIL")</f>
        <v>3-5 YIL</v>
      </c>
      <c r="AJ74">
        <f t="shared" si="4"/>
        <v>2023</v>
      </c>
      <c r="AK74" t="e">
        <f t="shared" si="5"/>
        <v>#VALUE!</v>
      </c>
    </row>
    <row r="75" spans="1:37" x14ac:dyDescent="0.3">
      <c r="A75" s="6" t="s">
        <v>228</v>
      </c>
      <c r="B75" s="7" t="s">
        <v>196</v>
      </c>
      <c r="C75" s="6" t="s">
        <v>48</v>
      </c>
      <c r="D75" s="14">
        <v>32217</v>
      </c>
      <c r="E75" s="8">
        <v>38</v>
      </c>
      <c r="F75" s="6" t="s">
        <v>34</v>
      </c>
      <c r="G75" s="8">
        <v>0</v>
      </c>
      <c r="H75" s="6" t="s">
        <v>35</v>
      </c>
      <c r="I75" s="7" t="s">
        <v>139</v>
      </c>
      <c r="J75" s="7" t="s">
        <v>140</v>
      </c>
      <c r="K75" s="6" t="s">
        <v>79</v>
      </c>
      <c r="L75" s="6" t="s">
        <v>63</v>
      </c>
      <c r="M75" s="7" t="s">
        <v>80</v>
      </c>
      <c r="N75" s="6" t="s">
        <v>89</v>
      </c>
      <c r="O75" s="14">
        <v>40372</v>
      </c>
      <c r="P75" s="14">
        <v>44967</v>
      </c>
      <c r="Q75" s="7" t="s">
        <v>53</v>
      </c>
      <c r="R75" s="6">
        <v>4</v>
      </c>
      <c r="S75" s="6" t="s">
        <v>43</v>
      </c>
      <c r="T75" s="9">
        <v>118000</v>
      </c>
      <c r="U75" s="9">
        <v>0</v>
      </c>
      <c r="V75" s="8">
        <v>2</v>
      </c>
      <c r="W75" s="8">
        <v>30</v>
      </c>
      <c r="X75" s="6" t="s">
        <v>44</v>
      </c>
      <c r="Y75" s="8">
        <v>0</v>
      </c>
      <c r="Z75" s="8">
        <v>13</v>
      </c>
      <c r="AA75" s="8">
        <v>0</v>
      </c>
      <c r="AB75" s="8">
        <v>0</v>
      </c>
      <c r="AC75" s="8">
        <v>3</v>
      </c>
      <c r="AD75" s="8">
        <v>18</v>
      </c>
      <c r="AE75" s="7" t="s">
        <v>96</v>
      </c>
      <c r="AG75">
        <f t="shared" ca="1" si="3"/>
        <v>15</v>
      </c>
      <c r="AH75" s="23" t="str" cm="1">
        <f t="array" ref="AH75">_xlfn.IFS(E75&gt;49,"50+",E75&gt;39,"40-49",E75&gt;29,"30-39",E75&gt;19,"20-29")</f>
        <v>30-39</v>
      </c>
      <c r="AI75" s="24" t="str" cm="1">
        <f t="array" aca="1" ref="AI75" ca="1">_xlfn.IFS(AG75&gt;10,"10+",AG75&gt;4,"5-10 YIL",AG75&gt;2,"3-5 YIL",AG75&gt;0.9,"1-3 YIL",AG75&lt;1,"0-1 YIL")</f>
        <v>10+</v>
      </c>
      <c r="AJ75">
        <f t="shared" si="4"/>
        <v>2010</v>
      </c>
      <c r="AK75">
        <f t="shared" si="5"/>
        <v>2023</v>
      </c>
    </row>
    <row r="76" spans="1:37" x14ac:dyDescent="0.3">
      <c r="A76" s="2" t="s">
        <v>229</v>
      </c>
      <c r="B76" s="3" t="s">
        <v>230</v>
      </c>
      <c r="C76" s="2" t="s">
        <v>48</v>
      </c>
      <c r="D76" s="13">
        <v>32618</v>
      </c>
      <c r="E76" s="4">
        <v>37</v>
      </c>
      <c r="F76" s="2" t="s">
        <v>49</v>
      </c>
      <c r="G76" s="4">
        <v>2</v>
      </c>
      <c r="H76" s="2" t="s">
        <v>35</v>
      </c>
      <c r="I76" s="3" t="s">
        <v>36</v>
      </c>
      <c r="J76" s="3" t="s">
        <v>50</v>
      </c>
      <c r="K76" s="2" t="s">
        <v>51</v>
      </c>
      <c r="L76" s="2" t="s">
        <v>39</v>
      </c>
      <c r="M76" s="3" t="s">
        <v>40</v>
      </c>
      <c r="N76" s="2" t="s">
        <v>41</v>
      </c>
      <c r="O76" s="13">
        <v>42259</v>
      </c>
      <c r="P76" s="2" t="s">
        <v>44</v>
      </c>
      <c r="Q76" s="3" t="s">
        <v>44</v>
      </c>
      <c r="R76" s="2" t="s">
        <v>44</v>
      </c>
      <c r="S76" s="2" t="s">
        <v>56</v>
      </c>
      <c r="T76" s="5">
        <v>41000</v>
      </c>
      <c r="U76" s="5">
        <v>0</v>
      </c>
      <c r="V76" s="4">
        <v>22</v>
      </c>
      <c r="W76" s="4">
        <v>30</v>
      </c>
      <c r="X76" s="2" t="s">
        <v>44</v>
      </c>
      <c r="Y76" s="4">
        <v>0</v>
      </c>
      <c r="Z76" s="4">
        <v>5</v>
      </c>
      <c r="AA76" s="4">
        <v>0</v>
      </c>
      <c r="AB76" s="4">
        <v>0</v>
      </c>
      <c r="AC76" s="4">
        <v>4</v>
      </c>
      <c r="AD76" s="4">
        <v>26</v>
      </c>
      <c r="AE76" s="3" t="s">
        <v>58</v>
      </c>
      <c r="AG76">
        <f t="shared" ca="1" si="3"/>
        <v>10</v>
      </c>
      <c r="AH76" s="23" t="str" cm="1">
        <f t="array" ref="AH76">_xlfn.IFS(E76&gt;49,"50+",E76&gt;39,"40-49",E76&gt;29,"30-39",E76&gt;19,"20-29")</f>
        <v>30-39</v>
      </c>
      <c r="AI76" s="24" t="str" cm="1">
        <f t="array" aca="1" ref="AI76" ca="1">_xlfn.IFS(AG76&gt;10,"10+",AG76&gt;4,"5-10 YIL",AG76&gt;2,"3-5 YIL",AG76&gt;0.9,"1-3 YIL",AG76&lt;1,"0-1 YIL")</f>
        <v>5-10 YIL</v>
      </c>
      <c r="AJ76">
        <f t="shared" si="4"/>
        <v>2015</v>
      </c>
      <c r="AK76" t="e">
        <f t="shared" si="5"/>
        <v>#VALUE!</v>
      </c>
    </row>
    <row r="77" spans="1:37" x14ac:dyDescent="0.3">
      <c r="A77" s="6" t="s">
        <v>231</v>
      </c>
      <c r="B77" s="7" t="s">
        <v>232</v>
      </c>
      <c r="C77" s="6" t="s">
        <v>33</v>
      </c>
      <c r="D77" s="14">
        <v>37597</v>
      </c>
      <c r="E77" s="8">
        <v>24</v>
      </c>
      <c r="F77" s="6" t="s">
        <v>34</v>
      </c>
      <c r="G77" s="8">
        <v>0</v>
      </c>
      <c r="H77" s="6" t="s">
        <v>35</v>
      </c>
      <c r="I77" s="7" t="s">
        <v>61</v>
      </c>
      <c r="J77" s="7" t="s">
        <v>62</v>
      </c>
      <c r="K77" s="6" t="s">
        <v>38</v>
      </c>
      <c r="L77" s="6" t="s">
        <v>63</v>
      </c>
      <c r="M77" s="7" t="s">
        <v>64</v>
      </c>
      <c r="N77" s="6" t="s">
        <v>41</v>
      </c>
      <c r="O77" s="14">
        <v>44877</v>
      </c>
      <c r="P77" s="6" t="s">
        <v>44</v>
      </c>
      <c r="Q77" s="7" t="s">
        <v>44</v>
      </c>
      <c r="R77" s="6" t="s">
        <v>44</v>
      </c>
      <c r="S77" s="6" t="s">
        <v>56</v>
      </c>
      <c r="T77" s="9">
        <v>35300</v>
      </c>
      <c r="U77" s="9">
        <v>4900</v>
      </c>
      <c r="V77" s="8">
        <v>4</v>
      </c>
      <c r="W77" s="8">
        <v>30</v>
      </c>
      <c r="X77" s="6" t="s">
        <v>44</v>
      </c>
      <c r="Y77" s="8">
        <v>0</v>
      </c>
      <c r="Z77" s="8">
        <v>1</v>
      </c>
      <c r="AA77" s="8">
        <v>0</v>
      </c>
      <c r="AB77" s="8">
        <v>0</v>
      </c>
      <c r="AC77" s="8">
        <v>3</v>
      </c>
      <c r="AD77" s="8">
        <v>18</v>
      </c>
      <c r="AE77" s="7" t="s">
        <v>45</v>
      </c>
      <c r="AG77">
        <f t="shared" ca="1" si="3"/>
        <v>3</v>
      </c>
      <c r="AH77" s="23" t="str" cm="1">
        <f t="array" ref="AH77">_xlfn.IFS(E77&gt;49,"50+",E77&gt;39,"40-49",E77&gt;29,"30-39",E77&gt;19,"20-29")</f>
        <v>20-29</v>
      </c>
      <c r="AI77" s="24" t="str" cm="1">
        <f t="array" aca="1" ref="AI77" ca="1">_xlfn.IFS(AG77&gt;10,"10+",AG77&gt;4,"5-10 YIL",AG77&gt;2,"3-5 YIL",AG77&gt;0.9,"1-3 YIL",AG77&lt;1,"0-1 YIL")</f>
        <v>3-5 YIL</v>
      </c>
      <c r="AJ77">
        <f t="shared" si="4"/>
        <v>2022</v>
      </c>
      <c r="AK77" t="e">
        <f t="shared" si="5"/>
        <v>#VALUE!</v>
      </c>
    </row>
    <row r="78" spans="1:37" x14ac:dyDescent="0.3">
      <c r="A78" s="2" t="s">
        <v>233</v>
      </c>
      <c r="B78" s="3" t="s">
        <v>234</v>
      </c>
      <c r="C78" s="2" t="s">
        <v>33</v>
      </c>
      <c r="D78" s="13">
        <v>35632</v>
      </c>
      <c r="E78" s="4">
        <v>29</v>
      </c>
      <c r="F78" s="2" t="s">
        <v>49</v>
      </c>
      <c r="G78" s="4">
        <v>1</v>
      </c>
      <c r="H78" s="2" t="s">
        <v>35</v>
      </c>
      <c r="I78" s="3" t="s">
        <v>139</v>
      </c>
      <c r="J78" s="3" t="s">
        <v>235</v>
      </c>
      <c r="K78" s="2" t="s">
        <v>38</v>
      </c>
      <c r="L78" s="2" t="s">
        <v>63</v>
      </c>
      <c r="M78" s="3" t="s">
        <v>162</v>
      </c>
      <c r="N78" s="2" t="s">
        <v>67</v>
      </c>
      <c r="O78" s="13">
        <v>45298</v>
      </c>
      <c r="P78" s="2" t="s">
        <v>44</v>
      </c>
      <c r="Q78" s="3" t="s">
        <v>44</v>
      </c>
      <c r="R78" s="2" t="s">
        <v>44</v>
      </c>
      <c r="S78" s="2" t="s">
        <v>56</v>
      </c>
      <c r="T78" s="5">
        <v>46600</v>
      </c>
      <c r="U78" s="5">
        <v>0</v>
      </c>
      <c r="V78" s="4">
        <v>6</v>
      </c>
      <c r="W78" s="4">
        <v>30</v>
      </c>
      <c r="X78" s="2" t="s">
        <v>44</v>
      </c>
      <c r="Y78" s="4">
        <v>0</v>
      </c>
      <c r="Z78" s="4">
        <v>3</v>
      </c>
      <c r="AA78" s="4">
        <v>0</v>
      </c>
      <c r="AB78" s="4">
        <v>0</v>
      </c>
      <c r="AC78" s="4">
        <v>3</v>
      </c>
      <c r="AD78" s="4">
        <v>11</v>
      </c>
      <c r="AE78" s="3" t="s">
        <v>73</v>
      </c>
      <c r="AG78">
        <f t="shared" ca="1" si="3"/>
        <v>2</v>
      </c>
      <c r="AH78" s="23" t="str" cm="1">
        <f t="array" ref="AH78">_xlfn.IFS(E78&gt;49,"50+",E78&gt;39,"40-49",E78&gt;29,"30-39",E78&gt;19,"20-29")</f>
        <v>20-29</v>
      </c>
      <c r="AI78" s="24" t="str" cm="1">
        <f t="array" aca="1" ref="AI78" ca="1">_xlfn.IFS(AG78&gt;10,"10+",AG78&gt;4,"5-10 YIL",AG78&gt;2,"3-5 YIL",AG78&gt;0.9,"1-3 YIL",AG78&lt;1,"0-1 YIL")</f>
        <v>1-3 YIL</v>
      </c>
      <c r="AJ78">
        <f t="shared" si="4"/>
        <v>2024</v>
      </c>
      <c r="AK78" t="e">
        <f t="shared" si="5"/>
        <v>#VALUE!</v>
      </c>
    </row>
    <row r="79" spans="1:37" x14ac:dyDescent="0.3">
      <c r="A79" s="6" t="s">
        <v>236</v>
      </c>
      <c r="B79" s="7" t="s">
        <v>237</v>
      </c>
      <c r="C79" s="6" t="s">
        <v>48</v>
      </c>
      <c r="D79" s="14">
        <v>35797</v>
      </c>
      <c r="E79" s="8">
        <v>28</v>
      </c>
      <c r="F79" s="6" t="s">
        <v>34</v>
      </c>
      <c r="G79" s="8">
        <v>0</v>
      </c>
      <c r="H79" s="6" t="s">
        <v>35</v>
      </c>
      <c r="I79" s="7" t="s">
        <v>36</v>
      </c>
      <c r="J79" s="7" t="s">
        <v>37</v>
      </c>
      <c r="K79" s="6" t="s">
        <v>38</v>
      </c>
      <c r="L79" s="6" t="s">
        <v>39</v>
      </c>
      <c r="M79" s="7" t="s">
        <v>40</v>
      </c>
      <c r="N79" s="6" t="s">
        <v>41</v>
      </c>
      <c r="O79" s="14">
        <v>45074</v>
      </c>
      <c r="P79" s="6" t="s">
        <v>44</v>
      </c>
      <c r="Q79" s="7" t="s">
        <v>44</v>
      </c>
      <c r="R79" s="6" t="s">
        <v>44</v>
      </c>
      <c r="S79" s="6" t="s">
        <v>56</v>
      </c>
      <c r="T79" s="9">
        <v>27000</v>
      </c>
      <c r="U79" s="9">
        <v>0</v>
      </c>
      <c r="V79" s="8">
        <v>17</v>
      </c>
      <c r="W79" s="8">
        <v>28</v>
      </c>
      <c r="X79" s="6" t="s">
        <v>57</v>
      </c>
      <c r="Y79" s="8">
        <v>2</v>
      </c>
      <c r="Z79" s="8">
        <v>5</v>
      </c>
      <c r="AA79" s="8">
        <v>0</v>
      </c>
      <c r="AB79" s="8">
        <v>0</v>
      </c>
      <c r="AC79" s="8">
        <v>3</v>
      </c>
      <c r="AD79" s="8">
        <v>7</v>
      </c>
      <c r="AE79" s="7" t="s">
        <v>45</v>
      </c>
      <c r="AG79">
        <f t="shared" ca="1" si="3"/>
        <v>3</v>
      </c>
      <c r="AH79" s="23" t="str" cm="1">
        <f t="array" ref="AH79">_xlfn.IFS(E79&gt;49,"50+",E79&gt;39,"40-49",E79&gt;29,"30-39",E79&gt;19,"20-29")</f>
        <v>20-29</v>
      </c>
      <c r="AI79" s="24" t="str" cm="1">
        <f t="array" aca="1" ref="AI79" ca="1">_xlfn.IFS(AG79&gt;10,"10+",AG79&gt;4,"5-10 YIL",AG79&gt;2,"3-5 YIL",AG79&gt;0.9,"1-3 YIL",AG79&lt;1,"0-1 YIL")</f>
        <v>3-5 YIL</v>
      </c>
      <c r="AJ79">
        <f t="shared" si="4"/>
        <v>2023</v>
      </c>
      <c r="AK79" t="e">
        <f t="shared" si="5"/>
        <v>#VALUE!</v>
      </c>
    </row>
    <row r="80" spans="1:37" x14ac:dyDescent="0.3">
      <c r="A80" s="2" t="s">
        <v>238</v>
      </c>
      <c r="B80" s="3" t="s">
        <v>239</v>
      </c>
      <c r="C80" s="2" t="s">
        <v>33</v>
      </c>
      <c r="D80" s="13">
        <v>36792</v>
      </c>
      <c r="E80" s="4">
        <v>26</v>
      </c>
      <c r="F80" s="2" t="s">
        <v>34</v>
      </c>
      <c r="G80" s="4">
        <v>0</v>
      </c>
      <c r="H80" s="2" t="s">
        <v>35</v>
      </c>
      <c r="I80" s="3" t="s">
        <v>36</v>
      </c>
      <c r="J80" s="3" t="s">
        <v>37</v>
      </c>
      <c r="K80" s="2" t="s">
        <v>38</v>
      </c>
      <c r="L80" s="2" t="s">
        <v>39</v>
      </c>
      <c r="M80" s="3" t="s">
        <v>40</v>
      </c>
      <c r="N80" s="2" t="s">
        <v>41</v>
      </c>
      <c r="O80" s="13">
        <v>45966</v>
      </c>
      <c r="P80" s="2" t="s">
        <v>44</v>
      </c>
      <c r="Q80" s="3" t="s">
        <v>44</v>
      </c>
      <c r="R80" s="2" t="s">
        <v>44</v>
      </c>
      <c r="S80" s="2" t="s">
        <v>56</v>
      </c>
      <c r="T80" s="5">
        <v>27900</v>
      </c>
      <c r="U80" s="5">
        <v>0</v>
      </c>
      <c r="V80" s="4">
        <v>21</v>
      </c>
      <c r="W80" s="4">
        <v>30</v>
      </c>
      <c r="X80" s="2" t="s">
        <v>44</v>
      </c>
      <c r="Y80" s="4">
        <v>0</v>
      </c>
      <c r="Z80" s="4">
        <v>0</v>
      </c>
      <c r="AA80" s="4">
        <v>0</v>
      </c>
      <c r="AB80" s="4">
        <v>0</v>
      </c>
      <c r="AC80" s="4">
        <v>4</v>
      </c>
      <c r="AD80" s="4">
        <v>24</v>
      </c>
      <c r="AE80" s="3" t="s">
        <v>45</v>
      </c>
      <c r="AG80">
        <f t="shared" ca="1" si="3"/>
        <v>0</v>
      </c>
      <c r="AH80" s="23" t="str" cm="1">
        <f t="array" ref="AH80">_xlfn.IFS(E80&gt;49,"50+",E80&gt;39,"40-49",E80&gt;29,"30-39",E80&gt;19,"20-29")</f>
        <v>20-29</v>
      </c>
      <c r="AI80" s="24" t="str" cm="1">
        <f t="array" aca="1" ref="AI80" ca="1">_xlfn.IFS(AG80&gt;10,"10+",AG80&gt;4,"5-10 YIL",AG80&gt;2,"3-5 YIL",AG80&gt;0.9,"1-3 YIL",AG80&lt;1,"0-1 YIL")</f>
        <v>0-1 YIL</v>
      </c>
      <c r="AJ80">
        <f t="shared" si="4"/>
        <v>2025</v>
      </c>
      <c r="AK80" t="e">
        <f t="shared" si="5"/>
        <v>#VALUE!</v>
      </c>
    </row>
    <row r="81" spans="1:37" x14ac:dyDescent="0.3">
      <c r="A81" s="6" t="s">
        <v>240</v>
      </c>
      <c r="B81" s="7" t="s">
        <v>214</v>
      </c>
      <c r="C81" s="6" t="s">
        <v>48</v>
      </c>
      <c r="D81" s="14">
        <v>36379</v>
      </c>
      <c r="E81" s="8">
        <v>27</v>
      </c>
      <c r="F81" s="6" t="s">
        <v>34</v>
      </c>
      <c r="G81" s="8">
        <v>0</v>
      </c>
      <c r="H81" s="6" t="s">
        <v>35</v>
      </c>
      <c r="I81" s="7" t="s">
        <v>61</v>
      </c>
      <c r="J81" s="7" t="s">
        <v>62</v>
      </c>
      <c r="K81" s="6" t="s">
        <v>38</v>
      </c>
      <c r="L81" s="6" t="s">
        <v>63</v>
      </c>
      <c r="M81" s="7" t="s">
        <v>64</v>
      </c>
      <c r="N81" s="6" t="s">
        <v>41</v>
      </c>
      <c r="O81" s="14">
        <v>45521</v>
      </c>
      <c r="P81" s="6" t="s">
        <v>44</v>
      </c>
      <c r="Q81" s="7" t="s">
        <v>44</v>
      </c>
      <c r="R81" s="6" t="s">
        <v>44</v>
      </c>
      <c r="S81" s="6" t="s">
        <v>56</v>
      </c>
      <c r="T81" s="9">
        <v>35700</v>
      </c>
      <c r="U81" s="9">
        <v>10500</v>
      </c>
      <c r="V81" s="8">
        <v>5</v>
      </c>
      <c r="W81" s="8">
        <v>30</v>
      </c>
      <c r="X81" s="6" t="s">
        <v>44</v>
      </c>
      <c r="Y81" s="8">
        <v>0</v>
      </c>
      <c r="Z81" s="8">
        <v>12</v>
      </c>
      <c r="AA81" s="8">
        <v>0</v>
      </c>
      <c r="AB81" s="8">
        <v>0</v>
      </c>
      <c r="AC81" s="8">
        <v>3</v>
      </c>
      <c r="AD81" s="8">
        <v>3</v>
      </c>
      <c r="AE81" s="7" t="s">
        <v>73</v>
      </c>
      <c r="AG81">
        <f t="shared" ca="1" si="3"/>
        <v>1</v>
      </c>
      <c r="AH81" s="23" t="str" cm="1">
        <f t="array" ref="AH81">_xlfn.IFS(E81&gt;49,"50+",E81&gt;39,"40-49",E81&gt;29,"30-39",E81&gt;19,"20-29")</f>
        <v>20-29</v>
      </c>
      <c r="AI81" s="24" t="str" cm="1">
        <f t="array" aca="1" ref="AI81" ca="1">_xlfn.IFS(AG81&gt;10,"10+",AG81&gt;4,"5-10 YIL",AG81&gt;2,"3-5 YIL",AG81&gt;0.9,"1-3 YIL",AG81&lt;1,"0-1 YIL")</f>
        <v>1-3 YIL</v>
      </c>
      <c r="AJ81">
        <f t="shared" si="4"/>
        <v>2024</v>
      </c>
      <c r="AK81" t="e">
        <f t="shared" si="5"/>
        <v>#VALUE!</v>
      </c>
    </row>
    <row r="82" spans="1:37" x14ac:dyDescent="0.3">
      <c r="A82" s="2" t="s">
        <v>241</v>
      </c>
      <c r="B82" s="3" t="s">
        <v>242</v>
      </c>
      <c r="C82" s="2" t="s">
        <v>48</v>
      </c>
      <c r="D82" s="13">
        <v>34619</v>
      </c>
      <c r="E82" s="4">
        <v>32</v>
      </c>
      <c r="F82" s="2" t="s">
        <v>49</v>
      </c>
      <c r="G82" s="4">
        <v>1</v>
      </c>
      <c r="H82" s="2" t="s">
        <v>35</v>
      </c>
      <c r="I82" s="3" t="s">
        <v>70</v>
      </c>
      <c r="J82" s="3" t="s">
        <v>71</v>
      </c>
      <c r="K82" s="2" t="s">
        <v>51</v>
      </c>
      <c r="L82" s="2" t="s">
        <v>63</v>
      </c>
      <c r="M82" s="3" t="s">
        <v>72</v>
      </c>
      <c r="N82" s="2" t="s">
        <v>41</v>
      </c>
      <c r="O82" s="13">
        <v>43744</v>
      </c>
      <c r="P82" s="2" t="s">
        <v>44</v>
      </c>
      <c r="Q82" s="3" t="s">
        <v>44</v>
      </c>
      <c r="R82" s="2" t="s">
        <v>44</v>
      </c>
      <c r="S82" s="2" t="s">
        <v>56</v>
      </c>
      <c r="T82" s="5">
        <v>61400</v>
      </c>
      <c r="U82" s="5">
        <v>0</v>
      </c>
      <c r="V82" s="4">
        <v>9</v>
      </c>
      <c r="W82" s="4">
        <v>28</v>
      </c>
      <c r="X82" s="2" t="s">
        <v>57</v>
      </c>
      <c r="Y82" s="4">
        <v>2</v>
      </c>
      <c r="Z82" s="4">
        <v>6</v>
      </c>
      <c r="AA82" s="4">
        <v>0</v>
      </c>
      <c r="AB82" s="4">
        <v>0</v>
      </c>
      <c r="AC82" s="4">
        <v>3</v>
      </c>
      <c r="AD82" s="4">
        <v>10</v>
      </c>
      <c r="AE82" s="3" t="s">
        <v>45</v>
      </c>
      <c r="AG82">
        <f t="shared" ca="1" si="3"/>
        <v>6</v>
      </c>
      <c r="AH82" s="23" t="str" cm="1">
        <f t="array" ref="AH82">_xlfn.IFS(E82&gt;49,"50+",E82&gt;39,"40-49",E82&gt;29,"30-39",E82&gt;19,"20-29")</f>
        <v>30-39</v>
      </c>
      <c r="AI82" s="24" t="str" cm="1">
        <f t="array" aca="1" ref="AI82" ca="1">_xlfn.IFS(AG82&gt;10,"10+",AG82&gt;4,"5-10 YIL",AG82&gt;2,"3-5 YIL",AG82&gt;0.9,"1-3 YIL",AG82&lt;1,"0-1 YIL")</f>
        <v>5-10 YIL</v>
      </c>
      <c r="AJ82">
        <f t="shared" si="4"/>
        <v>2019</v>
      </c>
      <c r="AK82" t="e">
        <f t="shared" si="5"/>
        <v>#VALUE!</v>
      </c>
    </row>
    <row r="83" spans="1:37" x14ac:dyDescent="0.3">
      <c r="A83" s="6" t="s">
        <v>243</v>
      </c>
      <c r="B83" s="7" t="s">
        <v>244</v>
      </c>
      <c r="C83" s="6" t="s">
        <v>33</v>
      </c>
      <c r="D83" s="14">
        <v>38000</v>
      </c>
      <c r="E83" s="8">
        <v>22</v>
      </c>
      <c r="F83" s="6" t="s">
        <v>49</v>
      </c>
      <c r="G83" s="8">
        <v>3</v>
      </c>
      <c r="H83" s="6" t="s">
        <v>35</v>
      </c>
      <c r="I83" s="7" t="s">
        <v>36</v>
      </c>
      <c r="J83" s="7" t="s">
        <v>37</v>
      </c>
      <c r="K83" s="6" t="s">
        <v>38</v>
      </c>
      <c r="L83" s="6" t="s">
        <v>39</v>
      </c>
      <c r="M83" s="7" t="s">
        <v>40</v>
      </c>
      <c r="N83" s="6" t="s">
        <v>52</v>
      </c>
      <c r="O83" s="14">
        <v>44743</v>
      </c>
      <c r="P83" s="6" t="s">
        <v>44</v>
      </c>
      <c r="Q83" s="7" t="s">
        <v>44</v>
      </c>
      <c r="R83" s="6" t="s">
        <v>44</v>
      </c>
      <c r="S83" s="6" t="s">
        <v>56</v>
      </c>
      <c r="T83" s="9">
        <v>24600</v>
      </c>
      <c r="U83" s="9">
        <v>0</v>
      </c>
      <c r="V83" s="8">
        <v>12</v>
      </c>
      <c r="W83" s="8">
        <v>25</v>
      </c>
      <c r="X83" s="6" t="s">
        <v>57</v>
      </c>
      <c r="Y83" s="8">
        <v>5</v>
      </c>
      <c r="Z83" s="8">
        <v>12</v>
      </c>
      <c r="AA83" s="8">
        <v>0</v>
      </c>
      <c r="AB83" s="8">
        <v>0</v>
      </c>
      <c r="AC83" s="8">
        <v>2</v>
      </c>
      <c r="AD83" s="8">
        <v>3</v>
      </c>
      <c r="AE83" s="7" t="s">
        <v>58</v>
      </c>
      <c r="AG83">
        <f t="shared" ca="1" si="3"/>
        <v>4</v>
      </c>
      <c r="AH83" s="23" t="str" cm="1">
        <f t="array" ref="AH83">_xlfn.IFS(E83&gt;49,"50+",E83&gt;39,"40-49",E83&gt;29,"30-39",E83&gt;19,"20-29")</f>
        <v>20-29</v>
      </c>
      <c r="AI83" s="24" t="str" cm="1">
        <f t="array" aca="1" ref="AI83" ca="1">_xlfn.IFS(AG83&gt;10,"10+",AG83&gt;4,"5-10 YIL",AG83&gt;2,"3-5 YIL",AG83&gt;0.9,"1-3 YIL",AG83&lt;1,"0-1 YIL")</f>
        <v>3-5 YIL</v>
      </c>
      <c r="AJ83">
        <f t="shared" si="4"/>
        <v>2022</v>
      </c>
      <c r="AK83" t="e">
        <f t="shared" si="5"/>
        <v>#VALUE!</v>
      </c>
    </row>
    <row r="84" spans="1:37" x14ac:dyDescent="0.3">
      <c r="A84" s="2" t="s">
        <v>245</v>
      </c>
      <c r="B84" s="3" t="s">
        <v>126</v>
      </c>
      <c r="C84" s="2" t="s">
        <v>33</v>
      </c>
      <c r="D84" s="13">
        <v>31718</v>
      </c>
      <c r="E84" s="4">
        <v>40</v>
      </c>
      <c r="F84" s="2" t="s">
        <v>34</v>
      </c>
      <c r="G84" s="4">
        <v>0</v>
      </c>
      <c r="H84" s="2" t="s">
        <v>88</v>
      </c>
      <c r="I84" s="3" t="s">
        <v>70</v>
      </c>
      <c r="J84" s="3" t="s">
        <v>129</v>
      </c>
      <c r="K84" s="2" t="s">
        <v>79</v>
      </c>
      <c r="L84" s="2" t="s">
        <v>63</v>
      </c>
      <c r="M84" s="3" t="s">
        <v>80</v>
      </c>
      <c r="N84" s="2" t="s">
        <v>67</v>
      </c>
      <c r="O84" s="13">
        <v>39905</v>
      </c>
      <c r="P84" s="2" t="s">
        <v>44</v>
      </c>
      <c r="Q84" s="3" t="s">
        <v>44</v>
      </c>
      <c r="R84" s="2" t="s">
        <v>44</v>
      </c>
      <c r="S84" s="2" t="s">
        <v>56</v>
      </c>
      <c r="T84" s="5">
        <v>113000</v>
      </c>
      <c r="U84" s="5">
        <v>0</v>
      </c>
      <c r="V84" s="4">
        <v>8</v>
      </c>
      <c r="W84" s="4">
        <v>27</v>
      </c>
      <c r="X84" s="2" t="s">
        <v>81</v>
      </c>
      <c r="Y84" s="4">
        <v>0</v>
      </c>
      <c r="Z84" s="4">
        <v>12</v>
      </c>
      <c r="AA84" s="4">
        <v>3</v>
      </c>
      <c r="AB84" s="4">
        <v>0</v>
      </c>
      <c r="AC84" s="4">
        <v>3</v>
      </c>
      <c r="AD84" s="4">
        <v>16</v>
      </c>
      <c r="AE84" s="3" t="s">
        <v>96</v>
      </c>
      <c r="AG84">
        <f t="shared" ca="1" si="3"/>
        <v>17</v>
      </c>
      <c r="AH84" s="23" t="str" cm="1">
        <f t="array" ref="AH84">_xlfn.IFS(E84&gt;49,"50+",E84&gt;39,"40-49",E84&gt;29,"30-39",E84&gt;19,"20-29")</f>
        <v>40-49</v>
      </c>
      <c r="AI84" s="24" t="str" cm="1">
        <f t="array" aca="1" ref="AI84" ca="1">_xlfn.IFS(AG84&gt;10,"10+",AG84&gt;4,"5-10 YIL",AG84&gt;2,"3-5 YIL",AG84&gt;0.9,"1-3 YIL",AG84&lt;1,"0-1 YIL")</f>
        <v>10+</v>
      </c>
      <c r="AJ84">
        <f t="shared" si="4"/>
        <v>2009</v>
      </c>
      <c r="AK84" t="e">
        <f t="shared" si="5"/>
        <v>#VALUE!</v>
      </c>
    </row>
    <row r="85" spans="1:37" x14ac:dyDescent="0.3">
      <c r="A85" s="6" t="s">
        <v>246</v>
      </c>
      <c r="B85" s="7" t="s">
        <v>247</v>
      </c>
      <c r="C85" s="6" t="s">
        <v>33</v>
      </c>
      <c r="D85" s="14">
        <v>33608</v>
      </c>
      <c r="E85" s="8">
        <v>34</v>
      </c>
      <c r="F85" s="6" t="s">
        <v>49</v>
      </c>
      <c r="G85" s="8">
        <v>1</v>
      </c>
      <c r="H85" s="6" t="s">
        <v>88</v>
      </c>
      <c r="I85" s="7" t="s">
        <v>139</v>
      </c>
      <c r="J85" s="7" t="s">
        <v>161</v>
      </c>
      <c r="K85" s="6" t="s">
        <v>51</v>
      </c>
      <c r="L85" s="6" t="s">
        <v>63</v>
      </c>
      <c r="M85" s="7" t="s">
        <v>162</v>
      </c>
      <c r="N85" s="6" t="s">
        <v>67</v>
      </c>
      <c r="O85" s="14">
        <v>42163</v>
      </c>
      <c r="P85" s="6" t="s">
        <v>44</v>
      </c>
      <c r="Q85" s="7" t="s">
        <v>44</v>
      </c>
      <c r="R85" s="6" t="s">
        <v>44</v>
      </c>
      <c r="S85" s="6" t="s">
        <v>56</v>
      </c>
      <c r="T85" s="9">
        <v>73900</v>
      </c>
      <c r="U85" s="9">
        <v>8500</v>
      </c>
      <c r="V85" s="8">
        <v>1</v>
      </c>
      <c r="W85" s="8">
        <v>30</v>
      </c>
      <c r="X85" s="6" t="s">
        <v>44</v>
      </c>
      <c r="Y85" s="8">
        <v>0</v>
      </c>
      <c r="Z85" s="8">
        <v>13</v>
      </c>
      <c r="AA85" s="8">
        <v>0</v>
      </c>
      <c r="AB85" s="8">
        <v>0</v>
      </c>
      <c r="AC85" s="8">
        <v>3</v>
      </c>
      <c r="AD85" s="8">
        <v>4</v>
      </c>
      <c r="AE85" s="7" t="s">
        <v>58</v>
      </c>
      <c r="AG85">
        <f t="shared" ca="1" si="3"/>
        <v>11</v>
      </c>
      <c r="AH85" s="23" t="str" cm="1">
        <f t="array" ref="AH85">_xlfn.IFS(E85&gt;49,"50+",E85&gt;39,"40-49",E85&gt;29,"30-39",E85&gt;19,"20-29")</f>
        <v>30-39</v>
      </c>
      <c r="AI85" s="24" t="str" cm="1">
        <f t="array" aca="1" ref="AI85" ca="1">_xlfn.IFS(AG85&gt;10,"10+",AG85&gt;4,"5-10 YIL",AG85&gt;2,"3-5 YIL",AG85&gt;0.9,"1-3 YIL",AG85&lt;1,"0-1 YIL")</f>
        <v>10+</v>
      </c>
      <c r="AJ85">
        <f t="shared" si="4"/>
        <v>2015</v>
      </c>
      <c r="AK85" t="e">
        <f t="shared" si="5"/>
        <v>#VALUE!</v>
      </c>
    </row>
    <row r="86" spans="1:37" x14ac:dyDescent="0.3">
      <c r="A86" s="2" t="s">
        <v>248</v>
      </c>
      <c r="B86" s="3" t="s">
        <v>249</v>
      </c>
      <c r="C86" s="2" t="s">
        <v>33</v>
      </c>
      <c r="D86" s="13">
        <v>36290</v>
      </c>
      <c r="E86" s="4">
        <v>27</v>
      </c>
      <c r="F86" s="2" t="s">
        <v>34</v>
      </c>
      <c r="G86" s="4">
        <v>0</v>
      </c>
      <c r="H86" s="2" t="s">
        <v>35</v>
      </c>
      <c r="I86" s="3" t="s">
        <v>36</v>
      </c>
      <c r="J86" s="3" t="s">
        <v>37</v>
      </c>
      <c r="K86" s="2" t="s">
        <v>38</v>
      </c>
      <c r="L86" s="2" t="s">
        <v>39</v>
      </c>
      <c r="M86" s="3" t="s">
        <v>40</v>
      </c>
      <c r="N86" s="2" t="s">
        <v>41</v>
      </c>
      <c r="O86" s="13">
        <v>45495</v>
      </c>
      <c r="P86" s="2" t="s">
        <v>44</v>
      </c>
      <c r="Q86" s="3" t="s">
        <v>44</v>
      </c>
      <c r="R86" s="2" t="s">
        <v>44</v>
      </c>
      <c r="S86" s="2" t="s">
        <v>56</v>
      </c>
      <c r="T86" s="5">
        <v>26800</v>
      </c>
      <c r="U86" s="5">
        <v>0</v>
      </c>
      <c r="V86" s="4">
        <v>22</v>
      </c>
      <c r="W86" s="4">
        <v>30</v>
      </c>
      <c r="X86" s="2" t="s">
        <v>44</v>
      </c>
      <c r="Y86" s="4">
        <v>0</v>
      </c>
      <c r="Z86" s="4">
        <v>4</v>
      </c>
      <c r="AA86" s="4">
        <v>0</v>
      </c>
      <c r="AB86" s="4">
        <v>0</v>
      </c>
      <c r="AC86" s="4">
        <v>2</v>
      </c>
      <c r="AD86" s="4">
        <v>5</v>
      </c>
      <c r="AE86" s="3" t="s">
        <v>58</v>
      </c>
      <c r="AG86">
        <f t="shared" ca="1" si="3"/>
        <v>1</v>
      </c>
      <c r="AH86" s="23" t="str" cm="1">
        <f t="array" ref="AH86">_xlfn.IFS(E86&gt;49,"50+",E86&gt;39,"40-49",E86&gt;29,"30-39",E86&gt;19,"20-29")</f>
        <v>20-29</v>
      </c>
      <c r="AI86" s="24" t="str" cm="1">
        <f t="array" aca="1" ref="AI86" ca="1">_xlfn.IFS(AG86&gt;10,"10+",AG86&gt;4,"5-10 YIL",AG86&gt;2,"3-5 YIL",AG86&gt;0.9,"1-3 YIL",AG86&lt;1,"0-1 YIL")</f>
        <v>1-3 YIL</v>
      </c>
      <c r="AJ86">
        <f t="shared" si="4"/>
        <v>2024</v>
      </c>
      <c r="AK86" t="e">
        <f t="shared" si="5"/>
        <v>#VALUE!</v>
      </c>
    </row>
    <row r="87" spans="1:37" x14ac:dyDescent="0.3">
      <c r="A87" s="6" t="s">
        <v>250</v>
      </c>
      <c r="B87" s="7" t="s">
        <v>251</v>
      </c>
      <c r="C87" s="6" t="s">
        <v>33</v>
      </c>
      <c r="D87" s="14">
        <v>37689</v>
      </c>
      <c r="E87" s="8">
        <v>23</v>
      </c>
      <c r="F87" s="6" t="s">
        <v>49</v>
      </c>
      <c r="G87" s="8">
        <v>0</v>
      </c>
      <c r="H87" s="6" t="s">
        <v>88</v>
      </c>
      <c r="I87" s="7" t="s">
        <v>148</v>
      </c>
      <c r="J87" s="7" t="s">
        <v>252</v>
      </c>
      <c r="K87" s="6" t="s">
        <v>38</v>
      </c>
      <c r="L87" s="6" t="s">
        <v>63</v>
      </c>
      <c r="M87" s="7" t="s">
        <v>150</v>
      </c>
      <c r="N87" s="6" t="s">
        <v>41</v>
      </c>
      <c r="O87" s="14">
        <v>44858</v>
      </c>
      <c r="P87" s="6" t="s">
        <v>44</v>
      </c>
      <c r="Q87" s="7" t="s">
        <v>44</v>
      </c>
      <c r="R87" s="6" t="s">
        <v>44</v>
      </c>
      <c r="S87" s="6" t="s">
        <v>56</v>
      </c>
      <c r="T87" s="9">
        <v>34400</v>
      </c>
      <c r="U87" s="9">
        <v>4400</v>
      </c>
      <c r="V87" s="8">
        <v>8</v>
      </c>
      <c r="W87" s="8">
        <v>30</v>
      </c>
      <c r="X87" s="6" t="s">
        <v>44</v>
      </c>
      <c r="Y87" s="8">
        <v>0</v>
      </c>
      <c r="Z87" s="8">
        <v>8</v>
      </c>
      <c r="AA87" s="8">
        <v>0</v>
      </c>
      <c r="AB87" s="8">
        <v>0</v>
      </c>
      <c r="AC87" s="8">
        <v>3</v>
      </c>
      <c r="AD87" s="8">
        <v>17</v>
      </c>
      <c r="AE87" s="7" t="s">
        <v>45</v>
      </c>
      <c r="AG87">
        <f t="shared" ca="1" si="3"/>
        <v>3</v>
      </c>
      <c r="AH87" s="23" t="str" cm="1">
        <f t="array" ref="AH87">_xlfn.IFS(E87&gt;49,"50+",E87&gt;39,"40-49",E87&gt;29,"30-39",E87&gt;19,"20-29")</f>
        <v>20-29</v>
      </c>
      <c r="AI87" s="24" t="str" cm="1">
        <f t="array" aca="1" ref="AI87" ca="1">_xlfn.IFS(AG87&gt;10,"10+",AG87&gt;4,"5-10 YIL",AG87&gt;2,"3-5 YIL",AG87&gt;0.9,"1-3 YIL",AG87&lt;1,"0-1 YIL")</f>
        <v>3-5 YIL</v>
      </c>
      <c r="AJ87">
        <f t="shared" si="4"/>
        <v>2022</v>
      </c>
      <c r="AK87" t="e">
        <f t="shared" si="5"/>
        <v>#VALUE!</v>
      </c>
    </row>
    <row r="88" spans="1:37" x14ac:dyDescent="0.3">
      <c r="A88" s="2" t="s">
        <v>253</v>
      </c>
      <c r="B88" s="3" t="s">
        <v>254</v>
      </c>
      <c r="C88" s="2" t="s">
        <v>48</v>
      </c>
      <c r="D88" s="13">
        <v>38009</v>
      </c>
      <c r="E88" s="4">
        <v>22</v>
      </c>
      <c r="F88" s="2" t="s">
        <v>34</v>
      </c>
      <c r="G88" s="4">
        <v>0</v>
      </c>
      <c r="H88" s="2" t="s">
        <v>85</v>
      </c>
      <c r="I88" s="3" t="s">
        <v>36</v>
      </c>
      <c r="J88" s="3" t="s">
        <v>37</v>
      </c>
      <c r="K88" s="2" t="s">
        <v>38</v>
      </c>
      <c r="L88" s="2" t="s">
        <v>39</v>
      </c>
      <c r="M88" s="3" t="s">
        <v>40</v>
      </c>
      <c r="N88" s="2" t="s">
        <v>41</v>
      </c>
      <c r="O88" s="13">
        <v>45100</v>
      </c>
      <c r="P88" s="13">
        <v>45710</v>
      </c>
      <c r="Q88" s="3" t="s">
        <v>177</v>
      </c>
      <c r="R88" s="2">
        <v>3</v>
      </c>
      <c r="S88" s="2" t="s">
        <v>43</v>
      </c>
      <c r="T88" s="5">
        <v>26300</v>
      </c>
      <c r="U88" s="5">
        <v>0</v>
      </c>
      <c r="V88" s="4">
        <v>17</v>
      </c>
      <c r="W88" s="4">
        <v>30</v>
      </c>
      <c r="X88" s="2" t="s">
        <v>44</v>
      </c>
      <c r="Y88" s="4">
        <v>0</v>
      </c>
      <c r="Z88" s="4">
        <v>10</v>
      </c>
      <c r="AA88" s="4">
        <v>0</v>
      </c>
      <c r="AB88" s="4">
        <v>0</v>
      </c>
      <c r="AC88" s="4">
        <v>4</v>
      </c>
      <c r="AD88" s="4">
        <v>14</v>
      </c>
      <c r="AE88" s="3" t="s">
        <v>45</v>
      </c>
      <c r="AG88">
        <f t="shared" ca="1" si="3"/>
        <v>3</v>
      </c>
      <c r="AH88" s="23" t="str" cm="1">
        <f t="array" ref="AH88">_xlfn.IFS(E88&gt;49,"50+",E88&gt;39,"40-49",E88&gt;29,"30-39",E88&gt;19,"20-29")</f>
        <v>20-29</v>
      </c>
      <c r="AI88" s="24" t="str" cm="1">
        <f t="array" aca="1" ref="AI88" ca="1">_xlfn.IFS(AG88&gt;10,"10+",AG88&gt;4,"5-10 YIL",AG88&gt;2,"3-5 YIL",AG88&gt;0.9,"1-3 YIL",AG88&lt;1,"0-1 YIL")</f>
        <v>3-5 YIL</v>
      </c>
      <c r="AJ88">
        <f t="shared" si="4"/>
        <v>2023</v>
      </c>
      <c r="AK88">
        <f t="shared" si="5"/>
        <v>2025</v>
      </c>
    </row>
    <row r="89" spans="1:37" x14ac:dyDescent="0.3">
      <c r="A89" s="6" t="s">
        <v>255</v>
      </c>
      <c r="B89" s="7" t="s">
        <v>256</v>
      </c>
      <c r="C89" s="6" t="s">
        <v>48</v>
      </c>
      <c r="D89" s="14">
        <v>37381</v>
      </c>
      <c r="E89" s="8">
        <v>24</v>
      </c>
      <c r="F89" s="6" t="s">
        <v>49</v>
      </c>
      <c r="G89" s="8">
        <v>0</v>
      </c>
      <c r="H89" s="6" t="s">
        <v>35</v>
      </c>
      <c r="I89" s="7" t="s">
        <v>61</v>
      </c>
      <c r="J89" s="7" t="s">
        <v>62</v>
      </c>
      <c r="K89" s="6" t="s">
        <v>38</v>
      </c>
      <c r="L89" s="6" t="s">
        <v>63</v>
      </c>
      <c r="M89" s="7" t="s">
        <v>64</v>
      </c>
      <c r="N89" s="6" t="s">
        <v>95</v>
      </c>
      <c r="O89" s="14">
        <v>45459</v>
      </c>
      <c r="P89" s="6" t="s">
        <v>44</v>
      </c>
      <c r="Q89" s="7" t="s">
        <v>44</v>
      </c>
      <c r="R89" s="6" t="s">
        <v>44</v>
      </c>
      <c r="S89" s="6" t="s">
        <v>56</v>
      </c>
      <c r="T89" s="9">
        <v>30800</v>
      </c>
      <c r="U89" s="9">
        <v>0</v>
      </c>
      <c r="V89" s="8">
        <v>3</v>
      </c>
      <c r="W89" s="8">
        <v>28</v>
      </c>
      <c r="X89" s="6" t="s">
        <v>57</v>
      </c>
      <c r="Y89" s="8">
        <v>2</v>
      </c>
      <c r="Z89" s="8">
        <v>7</v>
      </c>
      <c r="AA89" s="8">
        <v>0</v>
      </c>
      <c r="AB89" s="8">
        <v>0</v>
      </c>
      <c r="AC89" s="8">
        <v>3</v>
      </c>
      <c r="AD89" s="8">
        <v>3</v>
      </c>
      <c r="AE89" s="7" t="s">
        <v>58</v>
      </c>
      <c r="AG89">
        <f t="shared" ca="1" si="3"/>
        <v>2</v>
      </c>
      <c r="AH89" s="23" t="str" cm="1">
        <f t="array" ref="AH89">_xlfn.IFS(E89&gt;49,"50+",E89&gt;39,"40-49",E89&gt;29,"30-39",E89&gt;19,"20-29")</f>
        <v>20-29</v>
      </c>
      <c r="AI89" s="24" t="str" cm="1">
        <f t="array" aca="1" ref="AI89" ca="1">_xlfn.IFS(AG89&gt;10,"10+",AG89&gt;4,"5-10 YIL",AG89&gt;2,"3-5 YIL",AG89&gt;0.9,"1-3 YIL",AG89&lt;1,"0-1 YIL")</f>
        <v>1-3 YIL</v>
      </c>
      <c r="AJ89">
        <f t="shared" si="4"/>
        <v>2024</v>
      </c>
      <c r="AK89" t="e">
        <f t="shared" si="5"/>
        <v>#VALUE!</v>
      </c>
    </row>
    <row r="90" spans="1:37" x14ac:dyDescent="0.3">
      <c r="A90" s="2" t="s">
        <v>257</v>
      </c>
      <c r="B90" s="3" t="s">
        <v>258</v>
      </c>
      <c r="C90" s="2" t="s">
        <v>33</v>
      </c>
      <c r="D90" s="13">
        <v>34752</v>
      </c>
      <c r="E90" s="4">
        <v>31</v>
      </c>
      <c r="F90" s="2" t="s">
        <v>49</v>
      </c>
      <c r="G90" s="4">
        <v>0</v>
      </c>
      <c r="H90" s="2" t="s">
        <v>85</v>
      </c>
      <c r="I90" s="3" t="s">
        <v>70</v>
      </c>
      <c r="J90" s="3" t="s">
        <v>71</v>
      </c>
      <c r="K90" s="2" t="s">
        <v>51</v>
      </c>
      <c r="L90" s="2" t="s">
        <v>63</v>
      </c>
      <c r="M90" s="3" t="s">
        <v>72</v>
      </c>
      <c r="N90" s="2" t="s">
        <v>41</v>
      </c>
      <c r="O90" s="13">
        <v>42253</v>
      </c>
      <c r="P90" s="2" t="s">
        <v>44</v>
      </c>
      <c r="Q90" s="3" t="s">
        <v>44</v>
      </c>
      <c r="R90" s="2" t="s">
        <v>44</v>
      </c>
      <c r="S90" s="2" t="s">
        <v>56</v>
      </c>
      <c r="T90" s="5">
        <v>63800</v>
      </c>
      <c r="U90" s="5">
        <v>0</v>
      </c>
      <c r="V90" s="4">
        <v>9</v>
      </c>
      <c r="W90" s="4">
        <v>29</v>
      </c>
      <c r="X90" s="2" t="s">
        <v>81</v>
      </c>
      <c r="Y90" s="4">
        <v>0</v>
      </c>
      <c r="Z90" s="4">
        <v>6</v>
      </c>
      <c r="AA90" s="4">
        <v>1</v>
      </c>
      <c r="AB90" s="4">
        <v>0</v>
      </c>
      <c r="AC90" s="4">
        <v>2</v>
      </c>
      <c r="AD90" s="4">
        <v>9</v>
      </c>
      <c r="AE90" s="3" t="s">
        <v>58</v>
      </c>
      <c r="AG90">
        <f t="shared" ca="1" si="3"/>
        <v>10</v>
      </c>
      <c r="AH90" s="23" t="str" cm="1">
        <f t="array" ref="AH90">_xlfn.IFS(E90&gt;49,"50+",E90&gt;39,"40-49",E90&gt;29,"30-39",E90&gt;19,"20-29")</f>
        <v>30-39</v>
      </c>
      <c r="AI90" s="24" t="str" cm="1">
        <f t="array" aca="1" ref="AI90" ca="1">_xlfn.IFS(AG90&gt;10,"10+",AG90&gt;4,"5-10 YIL",AG90&gt;2,"3-5 YIL",AG90&gt;0.9,"1-3 YIL",AG90&lt;1,"0-1 YIL")</f>
        <v>5-10 YIL</v>
      </c>
      <c r="AJ90">
        <f t="shared" si="4"/>
        <v>2015</v>
      </c>
      <c r="AK90" t="e">
        <f t="shared" si="5"/>
        <v>#VALUE!</v>
      </c>
    </row>
    <row r="91" spans="1:37" x14ac:dyDescent="0.3">
      <c r="A91" s="6" t="s">
        <v>259</v>
      </c>
      <c r="B91" s="7" t="s">
        <v>260</v>
      </c>
      <c r="C91" s="6" t="s">
        <v>48</v>
      </c>
      <c r="D91" s="14">
        <v>35263</v>
      </c>
      <c r="E91" s="8">
        <v>30</v>
      </c>
      <c r="F91" s="6" t="s">
        <v>34</v>
      </c>
      <c r="G91" s="8">
        <v>0</v>
      </c>
      <c r="H91" s="6" t="s">
        <v>35</v>
      </c>
      <c r="I91" s="7" t="s">
        <v>36</v>
      </c>
      <c r="J91" s="7" t="s">
        <v>50</v>
      </c>
      <c r="K91" s="6" t="s">
        <v>51</v>
      </c>
      <c r="L91" s="6" t="s">
        <v>39</v>
      </c>
      <c r="M91" s="7" t="s">
        <v>40</v>
      </c>
      <c r="N91" s="6" t="s">
        <v>41</v>
      </c>
      <c r="O91" s="14">
        <v>42619</v>
      </c>
      <c r="P91" s="14">
        <v>44845</v>
      </c>
      <c r="Q91" s="7" t="s">
        <v>177</v>
      </c>
      <c r="R91" s="6">
        <v>3</v>
      </c>
      <c r="S91" s="6" t="s">
        <v>43</v>
      </c>
      <c r="T91" s="9">
        <v>41700</v>
      </c>
      <c r="U91" s="9">
        <v>0</v>
      </c>
      <c r="V91" s="8">
        <v>17</v>
      </c>
      <c r="W91" s="8">
        <v>29</v>
      </c>
      <c r="X91" s="6" t="s">
        <v>57</v>
      </c>
      <c r="Y91" s="8">
        <v>1</v>
      </c>
      <c r="Z91" s="8">
        <v>6</v>
      </c>
      <c r="AA91" s="8">
        <v>0</v>
      </c>
      <c r="AB91" s="8">
        <v>0</v>
      </c>
      <c r="AC91" s="8">
        <v>2</v>
      </c>
      <c r="AD91" s="8">
        <v>12</v>
      </c>
      <c r="AE91" s="7" t="s">
        <v>45</v>
      </c>
      <c r="AG91">
        <f t="shared" ca="1" si="3"/>
        <v>9</v>
      </c>
      <c r="AH91" s="23" t="str" cm="1">
        <f t="array" ref="AH91">_xlfn.IFS(E91&gt;49,"50+",E91&gt;39,"40-49",E91&gt;29,"30-39",E91&gt;19,"20-29")</f>
        <v>30-39</v>
      </c>
      <c r="AI91" s="24" t="str" cm="1">
        <f t="array" aca="1" ref="AI91" ca="1">_xlfn.IFS(AG91&gt;10,"10+",AG91&gt;4,"5-10 YIL",AG91&gt;2,"3-5 YIL",AG91&gt;0.9,"1-3 YIL",AG91&lt;1,"0-1 YIL")</f>
        <v>5-10 YIL</v>
      </c>
      <c r="AJ91">
        <f t="shared" si="4"/>
        <v>2016</v>
      </c>
      <c r="AK91">
        <f t="shared" si="5"/>
        <v>2022</v>
      </c>
    </row>
    <row r="92" spans="1:37" x14ac:dyDescent="0.3">
      <c r="A92" s="2" t="s">
        <v>261</v>
      </c>
      <c r="B92" s="3" t="s">
        <v>262</v>
      </c>
      <c r="C92" s="2" t="s">
        <v>48</v>
      </c>
      <c r="D92" s="13">
        <v>37053</v>
      </c>
      <c r="E92" s="4">
        <v>25</v>
      </c>
      <c r="F92" s="2" t="s">
        <v>49</v>
      </c>
      <c r="G92" s="4">
        <v>1</v>
      </c>
      <c r="H92" s="2" t="s">
        <v>88</v>
      </c>
      <c r="I92" s="3" t="s">
        <v>36</v>
      </c>
      <c r="J92" s="3" t="s">
        <v>37</v>
      </c>
      <c r="K92" s="2" t="s">
        <v>38</v>
      </c>
      <c r="L92" s="2" t="s">
        <v>39</v>
      </c>
      <c r="M92" s="3" t="s">
        <v>40</v>
      </c>
      <c r="N92" s="2" t="s">
        <v>52</v>
      </c>
      <c r="O92" s="13">
        <v>45985</v>
      </c>
      <c r="P92" s="2" t="s">
        <v>44</v>
      </c>
      <c r="Q92" s="3" t="s">
        <v>44</v>
      </c>
      <c r="R92" s="2" t="s">
        <v>44</v>
      </c>
      <c r="S92" s="2" t="s">
        <v>56</v>
      </c>
      <c r="T92" s="5">
        <v>24300</v>
      </c>
      <c r="U92" s="5">
        <v>0</v>
      </c>
      <c r="V92" s="4">
        <v>32</v>
      </c>
      <c r="W92" s="4">
        <v>29</v>
      </c>
      <c r="X92" s="2" t="s">
        <v>57</v>
      </c>
      <c r="Y92" s="4">
        <v>1</v>
      </c>
      <c r="Z92" s="4">
        <v>0</v>
      </c>
      <c r="AA92" s="4">
        <v>0</v>
      </c>
      <c r="AB92" s="4">
        <v>0</v>
      </c>
      <c r="AC92" s="4">
        <v>4</v>
      </c>
      <c r="AD92" s="4">
        <v>26</v>
      </c>
      <c r="AE92" s="3" t="s">
        <v>45</v>
      </c>
      <c r="AG92">
        <f t="shared" ca="1" si="3"/>
        <v>0</v>
      </c>
      <c r="AH92" s="23" t="str" cm="1">
        <f t="array" ref="AH92">_xlfn.IFS(E92&gt;49,"50+",E92&gt;39,"40-49",E92&gt;29,"30-39",E92&gt;19,"20-29")</f>
        <v>20-29</v>
      </c>
      <c r="AI92" s="24" t="str" cm="1">
        <f t="array" aca="1" ref="AI92" ca="1">_xlfn.IFS(AG92&gt;10,"10+",AG92&gt;4,"5-10 YIL",AG92&gt;2,"3-5 YIL",AG92&gt;0.9,"1-3 YIL",AG92&lt;1,"0-1 YIL")</f>
        <v>0-1 YIL</v>
      </c>
      <c r="AJ92">
        <f t="shared" si="4"/>
        <v>2025</v>
      </c>
      <c r="AK92" t="e">
        <f t="shared" si="5"/>
        <v>#VALUE!</v>
      </c>
    </row>
    <row r="93" spans="1:37" x14ac:dyDescent="0.3">
      <c r="A93" s="6" t="s">
        <v>263</v>
      </c>
      <c r="B93" s="7" t="s">
        <v>172</v>
      </c>
      <c r="C93" s="6" t="s">
        <v>48</v>
      </c>
      <c r="D93" s="14">
        <v>35724</v>
      </c>
      <c r="E93" s="8">
        <v>29</v>
      </c>
      <c r="F93" s="6" t="s">
        <v>34</v>
      </c>
      <c r="G93" s="8">
        <v>0</v>
      </c>
      <c r="H93" s="6" t="s">
        <v>85</v>
      </c>
      <c r="I93" s="7" t="s">
        <v>36</v>
      </c>
      <c r="J93" s="7" t="s">
        <v>50</v>
      </c>
      <c r="K93" s="6" t="s">
        <v>51</v>
      </c>
      <c r="L93" s="6" t="s">
        <v>39</v>
      </c>
      <c r="M93" s="7" t="s">
        <v>40</v>
      </c>
      <c r="N93" s="6" t="s">
        <v>41</v>
      </c>
      <c r="O93" s="14">
        <v>41855</v>
      </c>
      <c r="P93" s="6" t="s">
        <v>44</v>
      </c>
      <c r="Q93" s="7" t="s">
        <v>44</v>
      </c>
      <c r="R93" s="6" t="s">
        <v>44</v>
      </c>
      <c r="S93" s="6" t="s">
        <v>56</v>
      </c>
      <c r="T93" s="9">
        <v>39500</v>
      </c>
      <c r="U93" s="9">
        <v>0</v>
      </c>
      <c r="V93" s="8">
        <v>22</v>
      </c>
      <c r="W93" s="8">
        <v>30</v>
      </c>
      <c r="X93" s="6" t="s">
        <v>44</v>
      </c>
      <c r="Y93" s="8">
        <v>0</v>
      </c>
      <c r="Z93" s="8">
        <v>9</v>
      </c>
      <c r="AA93" s="8">
        <v>0</v>
      </c>
      <c r="AB93" s="8">
        <v>0</v>
      </c>
      <c r="AC93" s="8">
        <v>1</v>
      </c>
      <c r="AD93" s="8">
        <v>18</v>
      </c>
      <c r="AE93" s="7" t="s">
        <v>45</v>
      </c>
      <c r="AG93">
        <f t="shared" ca="1" si="3"/>
        <v>11</v>
      </c>
      <c r="AH93" s="23" t="str" cm="1">
        <f t="array" ref="AH93">_xlfn.IFS(E93&gt;49,"50+",E93&gt;39,"40-49",E93&gt;29,"30-39",E93&gt;19,"20-29")</f>
        <v>20-29</v>
      </c>
      <c r="AI93" s="24" t="str" cm="1">
        <f t="array" aca="1" ref="AI93" ca="1">_xlfn.IFS(AG93&gt;10,"10+",AG93&gt;4,"5-10 YIL",AG93&gt;2,"3-5 YIL",AG93&gt;0.9,"1-3 YIL",AG93&lt;1,"0-1 YIL")</f>
        <v>10+</v>
      </c>
      <c r="AJ93">
        <f t="shared" si="4"/>
        <v>2014</v>
      </c>
      <c r="AK93" t="e">
        <f t="shared" si="5"/>
        <v>#VALUE!</v>
      </c>
    </row>
    <row r="94" spans="1:37" x14ac:dyDescent="0.3">
      <c r="A94" s="2" t="s">
        <v>264</v>
      </c>
      <c r="B94" s="3" t="s">
        <v>265</v>
      </c>
      <c r="C94" s="2" t="s">
        <v>48</v>
      </c>
      <c r="D94" s="13">
        <v>37731</v>
      </c>
      <c r="E94" s="4">
        <v>23</v>
      </c>
      <c r="F94" s="2" t="s">
        <v>34</v>
      </c>
      <c r="G94" s="4">
        <v>0</v>
      </c>
      <c r="H94" s="2" t="s">
        <v>35</v>
      </c>
      <c r="I94" s="3" t="s">
        <v>36</v>
      </c>
      <c r="J94" s="3" t="s">
        <v>37</v>
      </c>
      <c r="K94" s="2" t="s">
        <v>38</v>
      </c>
      <c r="L94" s="2" t="s">
        <v>39</v>
      </c>
      <c r="M94" s="3" t="s">
        <v>40</v>
      </c>
      <c r="N94" s="2" t="s">
        <v>89</v>
      </c>
      <c r="O94" s="13">
        <v>45055</v>
      </c>
      <c r="P94" s="2" t="s">
        <v>44</v>
      </c>
      <c r="Q94" s="3" t="s">
        <v>44</v>
      </c>
      <c r="R94" s="2" t="s">
        <v>44</v>
      </c>
      <c r="S94" s="2" t="s">
        <v>56</v>
      </c>
      <c r="T94" s="5">
        <v>24400</v>
      </c>
      <c r="U94" s="5">
        <v>0</v>
      </c>
      <c r="V94" s="4">
        <v>30</v>
      </c>
      <c r="W94" s="4">
        <v>30</v>
      </c>
      <c r="X94" s="2" t="s">
        <v>44</v>
      </c>
      <c r="Y94" s="4">
        <v>0</v>
      </c>
      <c r="Z94" s="4">
        <v>9</v>
      </c>
      <c r="AA94" s="4">
        <v>0</v>
      </c>
      <c r="AB94" s="4">
        <v>0</v>
      </c>
      <c r="AC94" s="4">
        <v>3</v>
      </c>
      <c r="AD94" s="4">
        <v>14</v>
      </c>
      <c r="AE94" s="3" t="s">
        <v>45</v>
      </c>
      <c r="AG94">
        <f t="shared" ca="1" si="3"/>
        <v>3</v>
      </c>
      <c r="AH94" s="23" t="str" cm="1">
        <f t="array" ref="AH94">_xlfn.IFS(E94&gt;49,"50+",E94&gt;39,"40-49",E94&gt;29,"30-39",E94&gt;19,"20-29")</f>
        <v>20-29</v>
      </c>
      <c r="AI94" s="24" t="str" cm="1">
        <f t="array" aca="1" ref="AI94" ca="1">_xlfn.IFS(AG94&gt;10,"10+",AG94&gt;4,"5-10 YIL",AG94&gt;2,"3-5 YIL",AG94&gt;0.9,"1-3 YIL",AG94&lt;1,"0-1 YIL")</f>
        <v>3-5 YIL</v>
      </c>
      <c r="AJ94">
        <f t="shared" si="4"/>
        <v>2023</v>
      </c>
      <c r="AK94" t="e">
        <f t="shared" si="5"/>
        <v>#VALUE!</v>
      </c>
    </row>
    <row r="95" spans="1:37" x14ac:dyDescent="0.3">
      <c r="A95" s="6" t="s">
        <v>266</v>
      </c>
      <c r="B95" s="7" t="s">
        <v>186</v>
      </c>
      <c r="C95" s="6" t="s">
        <v>48</v>
      </c>
      <c r="D95" s="14">
        <v>36209</v>
      </c>
      <c r="E95" s="8">
        <v>27</v>
      </c>
      <c r="F95" s="6" t="s">
        <v>34</v>
      </c>
      <c r="G95" s="8">
        <v>0</v>
      </c>
      <c r="H95" s="6" t="s">
        <v>88</v>
      </c>
      <c r="I95" s="7" t="s">
        <v>36</v>
      </c>
      <c r="J95" s="7" t="s">
        <v>37</v>
      </c>
      <c r="K95" s="6" t="s">
        <v>38</v>
      </c>
      <c r="L95" s="6" t="s">
        <v>39</v>
      </c>
      <c r="M95" s="7" t="s">
        <v>40</v>
      </c>
      <c r="N95" s="6" t="s">
        <v>67</v>
      </c>
      <c r="O95" s="14">
        <v>44920</v>
      </c>
      <c r="P95" s="6" t="s">
        <v>44</v>
      </c>
      <c r="Q95" s="7" t="s">
        <v>44</v>
      </c>
      <c r="R95" s="6" t="s">
        <v>44</v>
      </c>
      <c r="S95" s="6" t="s">
        <v>56</v>
      </c>
      <c r="T95" s="9">
        <v>25400</v>
      </c>
      <c r="U95" s="9">
        <v>0</v>
      </c>
      <c r="V95" s="8">
        <v>28</v>
      </c>
      <c r="W95" s="8">
        <v>29</v>
      </c>
      <c r="X95" s="6" t="s">
        <v>112</v>
      </c>
      <c r="Y95" s="8">
        <v>0</v>
      </c>
      <c r="Z95" s="8">
        <v>13</v>
      </c>
      <c r="AA95" s="8">
        <v>0</v>
      </c>
      <c r="AB95" s="8">
        <v>1</v>
      </c>
      <c r="AC95" s="8">
        <v>3</v>
      </c>
      <c r="AD95" s="8">
        <v>5</v>
      </c>
      <c r="AE95" s="7" t="s">
        <v>58</v>
      </c>
      <c r="AG95">
        <f t="shared" ca="1" si="3"/>
        <v>3</v>
      </c>
      <c r="AH95" s="23" t="str" cm="1">
        <f t="array" ref="AH95">_xlfn.IFS(E95&gt;49,"50+",E95&gt;39,"40-49",E95&gt;29,"30-39",E95&gt;19,"20-29")</f>
        <v>20-29</v>
      </c>
      <c r="AI95" s="24" t="str" cm="1">
        <f t="array" aca="1" ref="AI95" ca="1">_xlfn.IFS(AG95&gt;10,"10+",AG95&gt;4,"5-10 YIL",AG95&gt;2,"3-5 YIL",AG95&gt;0.9,"1-3 YIL",AG95&lt;1,"0-1 YIL")</f>
        <v>3-5 YIL</v>
      </c>
      <c r="AJ95">
        <f t="shared" si="4"/>
        <v>2022</v>
      </c>
      <c r="AK95" t="e">
        <f t="shared" si="5"/>
        <v>#VALUE!</v>
      </c>
    </row>
    <row r="96" spans="1:37" x14ac:dyDescent="0.3">
      <c r="A96" s="2" t="s">
        <v>267</v>
      </c>
      <c r="B96" s="3" t="s">
        <v>69</v>
      </c>
      <c r="C96" s="2" t="s">
        <v>48</v>
      </c>
      <c r="D96" s="13">
        <v>32499</v>
      </c>
      <c r="E96" s="4">
        <v>38</v>
      </c>
      <c r="F96" s="2" t="s">
        <v>49</v>
      </c>
      <c r="G96" s="4">
        <v>1</v>
      </c>
      <c r="H96" s="2" t="s">
        <v>88</v>
      </c>
      <c r="I96" s="3" t="s">
        <v>36</v>
      </c>
      <c r="J96" s="3" t="s">
        <v>50</v>
      </c>
      <c r="K96" s="2" t="s">
        <v>51</v>
      </c>
      <c r="L96" s="2" t="s">
        <v>39</v>
      </c>
      <c r="M96" s="3" t="s">
        <v>40</v>
      </c>
      <c r="N96" s="2" t="s">
        <v>41</v>
      </c>
      <c r="O96" s="13">
        <v>41856</v>
      </c>
      <c r="P96" s="2" t="s">
        <v>44</v>
      </c>
      <c r="Q96" s="3" t="s">
        <v>44</v>
      </c>
      <c r="R96" s="2" t="s">
        <v>44</v>
      </c>
      <c r="S96" s="2" t="s">
        <v>56</v>
      </c>
      <c r="T96" s="5">
        <v>43100</v>
      </c>
      <c r="U96" s="5">
        <v>0</v>
      </c>
      <c r="V96" s="4">
        <v>29</v>
      </c>
      <c r="W96" s="4">
        <v>27</v>
      </c>
      <c r="X96" s="2" t="s">
        <v>57</v>
      </c>
      <c r="Y96" s="4">
        <v>1</v>
      </c>
      <c r="Z96" s="4">
        <v>5</v>
      </c>
      <c r="AA96" s="4">
        <v>0</v>
      </c>
      <c r="AB96" s="4">
        <v>2</v>
      </c>
      <c r="AC96" s="4">
        <v>3</v>
      </c>
      <c r="AD96" s="4">
        <v>8</v>
      </c>
      <c r="AE96" s="3" t="s">
        <v>58</v>
      </c>
      <c r="AG96">
        <f t="shared" ca="1" si="3"/>
        <v>11</v>
      </c>
      <c r="AH96" s="23" t="str" cm="1">
        <f t="array" ref="AH96">_xlfn.IFS(E96&gt;49,"50+",E96&gt;39,"40-49",E96&gt;29,"30-39",E96&gt;19,"20-29")</f>
        <v>30-39</v>
      </c>
      <c r="AI96" s="24" t="str" cm="1">
        <f t="array" aca="1" ref="AI96" ca="1">_xlfn.IFS(AG96&gt;10,"10+",AG96&gt;4,"5-10 YIL",AG96&gt;2,"3-5 YIL",AG96&gt;0.9,"1-3 YIL",AG96&lt;1,"0-1 YIL")</f>
        <v>10+</v>
      </c>
      <c r="AJ96">
        <f t="shared" si="4"/>
        <v>2014</v>
      </c>
      <c r="AK96" t="e">
        <f t="shared" si="5"/>
        <v>#VALUE!</v>
      </c>
    </row>
    <row r="97" spans="1:37" x14ac:dyDescent="0.3">
      <c r="A97" s="6" t="s">
        <v>268</v>
      </c>
      <c r="B97" s="7" t="s">
        <v>87</v>
      </c>
      <c r="C97" s="6" t="s">
        <v>48</v>
      </c>
      <c r="D97" s="14">
        <v>38067</v>
      </c>
      <c r="E97" s="8">
        <v>22</v>
      </c>
      <c r="F97" s="6" t="s">
        <v>49</v>
      </c>
      <c r="G97" s="8">
        <v>1</v>
      </c>
      <c r="H97" s="6" t="s">
        <v>88</v>
      </c>
      <c r="I97" s="7" t="s">
        <v>148</v>
      </c>
      <c r="J97" s="7" t="s">
        <v>252</v>
      </c>
      <c r="K97" s="6" t="s">
        <v>38</v>
      </c>
      <c r="L97" s="6" t="s">
        <v>63</v>
      </c>
      <c r="M97" s="7" t="s">
        <v>150</v>
      </c>
      <c r="N97" s="6" t="s">
        <v>41</v>
      </c>
      <c r="O97" s="14">
        <v>45409</v>
      </c>
      <c r="P97" s="6" t="s">
        <v>44</v>
      </c>
      <c r="Q97" s="7" t="s">
        <v>44</v>
      </c>
      <c r="R97" s="6" t="s">
        <v>44</v>
      </c>
      <c r="S97" s="6" t="s">
        <v>56</v>
      </c>
      <c r="T97" s="9">
        <v>37100</v>
      </c>
      <c r="U97" s="9">
        <v>0</v>
      </c>
      <c r="V97" s="8">
        <v>0</v>
      </c>
      <c r="W97" s="8">
        <v>29</v>
      </c>
      <c r="X97" s="6" t="s">
        <v>81</v>
      </c>
      <c r="Y97" s="8">
        <v>0</v>
      </c>
      <c r="Z97" s="8">
        <v>3</v>
      </c>
      <c r="AA97" s="8">
        <v>1</v>
      </c>
      <c r="AB97" s="8">
        <v>0</v>
      </c>
      <c r="AC97" s="8">
        <v>2</v>
      </c>
      <c r="AD97" s="8">
        <v>5</v>
      </c>
      <c r="AE97" s="7" t="s">
        <v>45</v>
      </c>
      <c r="AG97">
        <f t="shared" ca="1" si="3"/>
        <v>2</v>
      </c>
      <c r="AH97" s="23" t="str" cm="1">
        <f t="array" ref="AH97">_xlfn.IFS(E97&gt;49,"50+",E97&gt;39,"40-49",E97&gt;29,"30-39",E97&gt;19,"20-29")</f>
        <v>20-29</v>
      </c>
      <c r="AI97" s="24" t="str" cm="1">
        <f t="array" aca="1" ref="AI97" ca="1">_xlfn.IFS(AG97&gt;10,"10+",AG97&gt;4,"5-10 YIL",AG97&gt;2,"3-5 YIL",AG97&gt;0.9,"1-3 YIL",AG97&lt;1,"0-1 YIL")</f>
        <v>1-3 YIL</v>
      </c>
      <c r="AJ97">
        <f t="shared" si="4"/>
        <v>2024</v>
      </c>
      <c r="AK97" t="e">
        <f t="shared" si="5"/>
        <v>#VALUE!</v>
      </c>
    </row>
    <row r="98" spans="1:37" x14ac:dyDescent="0.3">
      <c r="A98" s="2" t="s">
        <v>269</v>
      </c>
      <c r="B98" s="3" t="s">
        <v>270</v>
      </c>
      <c r="C98" s="2" t="s">
        <v>48</v>
      </c>
      <c r="D98" s="13">
        <v>38101</v>
      </c>
      <c r="E98" s="4">
        <v>22</v>
      </c>
      <c r="F98" s="2" t="s">
        <v>34</v>
      </c>
      <c r="G98" s="4">
        <v>0</v>
      </c>
      <c r="H98" s="2" t="s">
        <v>88</v>
      </c>
      <c r="I98" s="3" t="s">
        <v>36</v>
      </c>
      <c r="J98" s="3" t="s">
        <v>37</v>
      </c>
      <c r="K98" s="2" t="s">
        <v>38</v>
      </c>
      <c r="L98" s="2" t="s">
        <v>39</v>
      </c>
      <c r="M98" s="3" t="s">
        <v>40</v>
      </c>
      <c r="N98" s="2" t="s">
        <v>41</v>
      </c>
      <c r="O98" s="13">
        <v>45408</v>
      </c>
      <c r="P98" s="2" t="s">
        <v>44</v>
      </c>
      <c r="Q98" s="3" t="s">
        <v>44</v>
      </c>
      <c r="R98" s="2" t="s">
        <v>44</v>
      </c>
      <c r="S98" s="2" t="s">
        <v>56</v>
      </c>
      <c r="T98" s="5">
        <v>25200</v>
      </c>
      <c r="U98" s="5">
        <v>0</v>
      </c>
      <c r="V98" s="4">
        <v>39</v>
      </c>
      <c r="W98" s="4">
        <v>30</v>
      </c>
      <c r="X98" s="2" t="s">
        <v>44</v>
      </c>
      <c r="Y98" s="4">
        <v>0</v>
      </c>
      <c r="Z98" s="4">
        <v>6</v>
      </c>
      <c r="AA98" s="4">
        <v>0</v>
      </c>
      <c r="AB98" s="4">
        <v>0</v>
      </c>
      <c r="AC98" s="4">
        <v>3</v>
      </c>
      <c r="AD98" s="4">
        <v>17</v>
      </c>
      <c r="AE98" s="3" t="s">
        <v>58</v>
      </c>
      <c r="AG98">
        <f t="shared" ca="1" si="3"/>
        <v>2</v>
      </c>
      <c r="AH98" s="23" t="str" cm="1">
        <f t="array" ref="AH98">_xlfn.IFS(E98&gt;49,"50+",E98&gt;39,"40-49",E98&gt;29,"30-39",E98&gt;19,"20-29")</f>
        <v>20-29</v>
      </c>
      <c r="AI98" s="24" t="str" cm="1">
        <f t="array" aca="1" ref="AI98" ca="1">_xlfn.IFS(AG98&gt;10,"10+",AG98&gt;4,"5-10 YIL",AG98&gt;2,"3-5 YIL",AG98&gt;0.9,"1-3 YIL",AG98&lt;1,"0-1 YIL")</f>
        <v>1-3 YIL</v>
      </c>
      <c r="AJ98">
        <f t="shared" si="4"/>
        <v>2024</v>
      </c>
      <c r="AK98" t="e">
        <f t="shared" si="5"/>
        <v>#VALUE!</v>
      </c>
    </row>
    <row r="99" spans="1:37" x14ac:dyDescent="0.3">
      <c r="A99" s="6" t="s">
        <v>271</v>
      </c>
      <c r="B99" s="7" t="s">
        <v>91</v>
      </c>
      <c r="C99" s="6" t="s">
        <v>48</v>
      </c>
      <c r="D99" s="14">
        <v>36557</v>
      </c>
      <c r="E99" s="8">
        <v>26</v>
      </c>
      <c r="F99" s="6" t="s">
        <v>49</v>
      </c>
      <c r="G99" s="8">
        <v>0</v>
      </c>
      <c r="H99" s="6" t="s">
        <v>85</v>
      </c>
      <c r="I99" s="7" t="s">
        <v>36</v>
      </c>
      <c r="J99" s="7" t="s">
        <v>37</v>
      </c>
      <c r="K99" s="6" t="s">
        <v>38</v>
      </c>
      <c r="L99" s="6" t="s">
        <v>39</v>
      </c>
      <c r="M99" s="7" t="s">
        <v>40</v>
      </c>
      <c r="N99" s="6" t="s">
        <v>41</v>
      </c>
      <c r="O99" s="14">
        <v>45072</v>
      </c>
      <c r="P99" s="6" t="s">
        <v>44</v>
      </c>
      <c r="Q99" s="7" t="s">
        <v>44</v>
      </c>
      <c r="R99" s="6" t="s">
        <v>44</v>
      </c>
      <c r="S99" s="6" t="s">
        <v>56</v>
      </c>
      <c r="T99" s="9">
        <v>24900</v>
      </c>
      <c r="U99" s="9">
        <v>0</v>
      </c>
      <c r="V99" s="8">
        <v>41</v>
      </c>
      <c r="W99" s="8">
        <v>28</v>
      </c>
      <c r="X99" s="6" t="s">
        <v>57</v>
      </c>
      <c r="Y99" s="8">
        <v>1</v>
      </c>
      <c r="Z99" s="8">
        <v>14</v>
      </c>
      <c r="AA99" s="8">
        <v>1</v>
      </c>
      <c r="AB99" s="8">
        <v>0</v>
      </c>
      <c r="AC99" s="8">
        <v>3</v>
      </c>
      <c r="AD99" s="8">
        <v>13</v>
      </c>
      <c r="AE99" s="7" t="s">
        <v>82</v>
      </c>
      <c r="AG99">
        <f t="shared" ca="1" si="3"/>
        <v>3</v>
      </c>
      <c r="AH99" s="23" t="str" cm="1">
        <f t="array" ref="AH99">_xlfn.IFS(E99&gt;49,"50+",E99&gt;39,"40-49",E99&gt;29,"30-39",E99&gt;19,"20-29")</f>
        <v>20-29</v>
      </c>
      <c r="AI99" s="24" t="str" cm="1">
        <f t="array" aca="1" ref="AI99" ca="1">_xlfn.IFS(AG99&gt;10,"10+",AG99&gt;4,"5-10 YIL",AG99&gt;2,"3-5 YIL",AG99&gt;0.9,"1-3 YIL",AG99&lt;1,"0-1 YIL")</f>
        <v>3-5 YIL</v>
      </c>
      <c r="AJ99">
        <f t="shared" si="4"/>
        <v>2023</v>
      </c>
      <c r="AK99" t="e">
        <f t="shared" si="5"/>
        <v>#VALUE!</v>
      </c>
    </row>
    <row r="100" spans="1:37" x14ac:dyDescent="0.3">
      <c r="A100" s="2" t="s">
        <v>272</v>
      </c>
      <c r="B100" s="3" t="s">
        <v>273</v>
      </c>
      <c r="C100" s="2" t="s">
        <v>48</v>
      </c>
      <c r="D100" s="13">
        <v>37388</v>
      </c>
      <c r="E100" s="4">
        <v>24</v>
      </c>
      <c r="F100" s="2" t="s">
        <v>34</v>
      </c>
      <c r="G100" s="4">
        <v>0</v>
      </c>
      <c r="H100" s="2" t="s">
        <v>88</v>
      </c>
      <c r="I100" s="3" t="s">
        <v>36</v>
      </c>
      <c r="J100" s="3" t="s">
        <v>37</v>
      </c>
      <c r="K100" s="2" t="s">
        <v>38</v>
      </c>
      <c r="L100" s="2" t="s">
        <v>39</v>
      </c>
      <c r="M100" s="3" t="s">
        <v>40</v>
      </c>
      <c r="N100" s="2" t="s">
        <v>95</v>
      </c>
      <c r="O100" s="13">
        <v>46013</v>
      </c>
      <c r="P100" s="2" t="s">
        <v>44</v>
      </c>
      <c r="Q100" s="3" t="s">
        <v>44</v>
      </c>
      <c r="R100" s="2" t="s">
        <v>44</v>
      </c>
      <c r="S100" s="2" t="s">
        <v>56</v>
      </c>
      <c r="T100" s="5">
        <v>25000</v>
      </c>
      <c r="U100" s="5">
        <v>0</v>
      </c>
      <c r="V100" s="4">
        <v>16</v>
      </c>
      <c r="W100" s="4">
        <v>28</v>
      </c>
      <c r="X100" s="2" t="s">
        <v>57</v>
      </c>
      <c r="Y100" s="4">
        <v>1</v>
      </c>
      <c r="Z100" s="4">
        <v>0</v>
      </c>
      <c r="AA100" s="4">
        <v>0</v>
      </c>
      <c r="AB100" s="4">
        <v>1</v>
      </c>
      <c r="AC100" s="4">
        <v>3</v>
      </c>
      <c r="AD100" s="4">
        <v>12</v>
      </c>
      <c r="AE100" s="3" t="s">
        <v>45</v>
      </c>
      <c r="AG100">
        <f t="shared" ca="1" si="3"/>
        <v>0</v>
      </c>
      <c r="AH100" s="23" t="str" cm="1">
        <f t="array" ref="AH100">_xlfn.IFS(E100&gt;49,"50+",E100&gt;39,"40-49",E100&gt;29,"30-39",E100&gt;19,"20-29")</f>
        <v>20-29</v>
      </c>
      <c r="AI100" s="24" t="str" cm="1">
        <f t="array" aca="1" ref="AI100" ca="1">_xlfn.IFS(AG100&gt;10,"10+",AG100&gt;4,"5-10 YIL",AG100&gt;2,"3-5 YIL",AG100&gt;0.9,"1-3 YIL",AG100&lt;1,"0-1 YIL")</f>
        <v>0-1 YIL</v>
      </c>
      <c r="AJ100">
        <f t="shared" si="4"/>
        <v>2025</v>
      </c>
      <c r="AK100" t="e">
        <f t="shared" si="5"/>
        <v>#VALUE!</v>
      </c>
    </row>
    <row r="101" spans="1:37" x14ac:dyDescent="0.3">
      <c r="A101" s="6" t="s">
        <v>274</v>
      </c>
      <c r="B101" s="7" t="s">
        <v>275</v>
      </c>
      <c r="C101" s="6" t="s">
        <v>48</v>
      </c>
      <c r="D101" s="14">
        <v>32920</v>
      </c>
      <c r="E101" s="8">
        <v>36</v>
      </c>
      <c r="F101" s="6" t="s">
        <v>49</v>
      </c>
      <c r="G101" s="8">
        <v>1</v>
      </c>
      <c r="H101" s="6" t="s">
        <v>35</v>
      </c>
      <c r="I101" s="7" t="s">
        <v>70</v>
      </c>
      <c r="J101" s="7" t="s">
        <v>129</v>
      </c>
      <c r="K101" s="6" t="s">
        <v>79</v>
      </c>
      <c r="L101" s="6" t="s">
        <v>63</v>
      </c>
      <c r="M101" s="7" t="s">
        <v>80</v>
      </c>
      <c r="N101" s="6" t="s">
        <v>41</v>
      </c>
      <c r="O101" s="14">
        <v>40936</v>
      </c>
      <c r="P101" s="6" t="s">
        <v>44</v>
      </c>
      <c r="Q101" s="7" t="s">
        <v>44</v>
      </c>
      <c r="R101" s="6" t="s">
        <v>44</v>
      </c>
      <c r="S101" s="6" t="s">
        <v>56</v>
      </c>
      <c r="T101" s="9">
        <v>110900</v>
      </c>
      <c r="U101" s="9">
        <v>0</v>
      </c>
      <c r="V101" s="8">
        <v>9</v>
      </c>
      <c r="W101" s="8">
        <v>25</v>
      </c>
      <c r="X101" s="6" t="s">
        <v>57</v>
      </c>
      <c r="Y101" s="8">
        <v>5</v>
      </c>
      <c r="Z101" s="8">
        <v>0</v>
      </c>
      <c r="AA101" s="8">
        <v>0</v>
      </c>
      <c r="AB101" s="8">
        <v>0</v>
      </c>
      <c r="AC101" s="8">
        <v>3</v>
      </c>
      <c r="AD101" s="8">
        <v>8</v>
      </c>
      <c r="AE101" s="7" t="s">
        <v>73</v>
      </c>
      <c r="AG101">
        <f t="shared" ca="1" si="3"/>
        <v>14</v>
      </c>
      <c r="AH101" s="23" t="str" cm="1">
        <f t="array" ref="AH101">_xlfn.IFS(E101&gt;49,"50+",E101&gt;39,"40-49",E101&gt;29,"30-39",E101&gt;19,"20-29")</f>
        <v>30-39</v>
      </c>
      <c r="AI101" s="24" t="str" cm="1">
        <f t="array" aca="1" ref="AI101" ca="1">_xlfn.IFS(AG101&gt;10,"10+",AG101&gt;4,"5-10 YIL",AG101&gt;2,"3-5 YIL",AG101&gt;0.9,"1-3 YIL",AG101&lt;1,"0-1 YIL")</f>
        <v>10+</v>
      </c>
      <c r="AJ101">
        <f t="shared" si="4"/>
        <v>2012</v>
      </c>
      <c r="AK101" t="e">
        <f t="shared" si="5"/>
        <v>#VALUE!</v>
      </c>
    </row>
    <row r="102" spans="1:37" x14ac:dyDescent="0.3">
      <c r="A102" s="2" t="s">
        <v>276</v>
      </c>
      <c r="B102" s="3" t="s">
        <v>69</v>
      </c>
      <c r="C102" s="2" t="s">
        <v>48</v>
      </c>
      <c r="D102" s="13">
        <v>36411</v>
      </c>
      <c r="E102" s="4">
        <v>27</v>
      </c>
      <c r="F102" s="2" t="s">
        <v>34</v>
      </c>
      <c r="G102" s="4">
        <v>0</v>
      </c>
      <c r="H102" s="2" t="s">
        <v>88</v>
      </c>
      <c r="I102" s="3" t="s">
        <v>61</v>
      </c>
      <c r="J102" s="3" t="s">
        <v>62</v>
      </c>
      <c r="K102" s="2" t="s">
        <v>38</v>
      </c>
      <c r="L102" s="2" t="s">
        <v>63</v>
      </c>
      <c r="M102" s="3" t="s">
        <v>64</v>
      </c>
      <c r="N102" s="2" t="s">
        <v>41</v>
      </c>
      <c r="O102" s="13">
        <v>45386</v>
      </c>
      <c r="P102" s="2" t="s">
        <v>44</v>
      </c>
      <c r="Q102" s="3" t="s">
        <v>44</v>
      </c>
      <c r="R102" s="2" t="s">
        <v>44</v>
      </c>
      <c r="S102" s="2" t="s">
        <v>56</v>
      </c>
      <c r="T102" s="5">
        <v>34000</v>
      </c>
      <c r="U102" s="5">
        <v>0</v>
      </c>
      <c r="V102" s="4">
        <v>2</v>
      </c>
      <c r="W102" s="4">
        <v>27</v>
      </c>
      <c r="X102" s="2" t="s">
        <v>57</v>
      </c>
      <c r="Y102" s="4">
        <v>3</v>
      </c>
      <c r="Z102" s="4">
        <v>3</v>
      </c>
      <c r="AA102" s="4">
        <v>0</v>
      </c>
      <c r="AB102" s="4">
        <v>0</v>
      </c>
      <c r="AC102" s="4">
        <v>4</v>
      </c>
      <c r="AD102" s="4">
        <v>18</v>
      </c>
      <c r="AE102" s="3" t="s">
        <v>58</v>
      </c>
      <c r="AG102">
        <f t="shared" ca="1" si="3"/>
        <v>2</v>
      </c>
      <c r="AH102" s="23" t="str" cm="1">
        <f t="array" ref="AH102">_xlfn.IFS(E102&gt;49,"50+",E102&gt;39,"40-49",E102&gt;29,"30-39",E102&gt;19,"20-29")</f>
        <v>20-29</v>
      </c>
      <c r="AI102" s="24" t="str" cm="1">
        <f t="array" aca="1" ref="AI102" ca="1">_xlfn.IFS(AG102&gt;10,"10+",AG102&gt;4,"5-10 YIL",AG102&gt;2,"3-5 YIL",AG102&gt;0.9,"1-3 YIL",AG102&lt;1,"0-1 YIL")</f>
        <v>1-3 YIL</v>
      </c>
      <c r="AJ102">
        <f t="shared" si="4"/>
        <v>2024</v>
      </c>
      <c r="AK102" t="e">
        <f t="shared" si="5"/>
        <v>#VALUE!</v>
      </c>
    </row>
    <row r="103" spans="1:37" x14ac:dyDescent="0.3">
      <c r="A103" s="6" t="s">
        <v>277</v>
      </c>
      <c r="B103" s="7" t="s">
        <v>278</v>
      </c>
      <c r="C103" s="6" t="s">
        <v>48</v>
      </c>
      <c r="D103" s="14">
        <v>36986</v>
      </c>
      <c r="E103" s="8">
        <v>25</v>
      </c>
      <c r="F103" s="6" t="s">
        <v>34</v>
      </c>
      <c r="G103" s="8">
        <v>0</v>
      </c>
      <c r="H103" s="6" t="s">
        <v>85</v>
      </c>
      <c r="I103" s="7" t="s">
        <v>36</v>
      </c>
      <c r="J103" s="7" t="s">
        <v>37</v>
      </c>
      <c r="K103" s="6" t="s">
        <v>38</v>
      </c>
      <c r="L103" s="6" t="s">
        <v>39</v>
      </c>
      <c r="M103" s="7" t="s">
        <v>40</v>
      </c>
      <c r="N103" s="6" t="s">
        <v>41</v>
      </c>
      <c r="O103" s="14">
        <v>46089</v>
      </c>
      <c r="P103" s="6" t="s">
        <v>44</v>
      </c>
      <c r="Q103" s="7" t="s">
        <v>44</v>
      </c>
      <c r="R103" s="6" t="s">
        <v>44</v>
      </c>
      <c r="S103" s="6" t="s">
        <v>56</v>
      </c>
      <c r="T103" s="9">
        <v>24700</v>
      </c>
      <c r="U103" s="9">
        <v>0</v>
      </c>
      <c r="V103" s="8">
        <v>27</v>
      </c>
      <c r="W103" s="8">
        <v>30</v>
      </c>
      <c r="X103" s="6" t="s">
        <v>44</v>
      </c>
      <c r="Y103" s="8">
        <v>0</v>
      </c>
      <c r="Z103" s="8">
        <v>0</v>
      </c>
      <c r="AA103" s="8">
        <v>0</v>
      </c>
      <c r="AB103" s="8">
        <v>0</v>
      </c>
      <c r="AC103" s="8">
        <v>3</v>
      </c>
      <c r="AD103" s="8">
        <v>4</v>
      </c>
      <c r="AE103" s="7" t="s">
        <v>58</v>
      </c>
      <c r="AG103">
        <f t="shared" ca="1" si="3"/>
        <v>0</v>
      </c>
      <c r="AH103" s="23" t="str" cm="1">
        <f t="array" ref="AH103">_xlfn.IFS(E103&gt;49,"50+",E103&gt;39,"40-49",E103&gt;29,"30-39",E103&gt;19,"20-29")</f>
        <v>20-29</v>
      </c>
      <c r="AI103" s="24" t="str" cm="1">
        <f t="array" aca="1" ref="AI103" ca="1">_xlfn.IFS(AG103&gt;10,"10+",AG103&gt;4,"5-10 YIL",AG103&gt;2,"3-5 YIL",AG103&gt;0.9,"1-3 YIL",AG103&lt;1,"0-1 YIL")</f>
        <v>0-1 YIL</v>
      </c>
      <c r="AJ103">
        <f t="shared" si="4"/>
        <v>2026</v>
      </c>
      <c r="AK103" t="e">
        <f t="shared" si="5"/>
        <v>#VALUE!</v>
      </c>
    </row>
    <row r="104" spans="1:37" x14ac:dyDescent="0.3">
      <c r="A104" s="2" t="s">
        <v>279</v>
      </c>
      <c r="B104" s="3" t="s">
        <v>280</v>
      </c>
      <c r="C104" s="2" t="s">
        <v>48</v>
      </c>
      <c r="D104" s="13">
        <v>34499</v>
      </c>
      <c r="E104" s="4">
        <v>32</v>
      </c>
      <c r="F104" s="2" t="s">
        <v>49</v>
      </c>
      <c r="G104" s="4">
        <v>1</v>
      </c>
      <c r="H104" s="2" t="s">
        <v>88</v>
      </c>
      <c r="I104" s="3" t="s">
        <v>61</v>
      </c>
      <c r="J104" s="3" t="s">
        <v>107</v>
      </c>
      <c r="K104" s="2" t="s">
        <v>51</v>
      </c>
      <c r="L104" s="2" t="s">
        <v>63</v>
      </c>
      <c r="M104" s="3" t="s">
        <v>64</v>
      </c>
      <c r="N104" s="2" t="s">
        <v>41</v>
      </c>
      <c r="O104" s="13">
        <v>43737</v>
      </c>
      <c r="P104" s="2" t="s">
        <v>44</v>
      </c>
      <c r="Q104" s="3" t="s">
        <v>44</v>
      </c>
      <c r="R104" s="2" t="s">
        <v>44</v>
      </c>
      <c r="S104" s="2" t="s">
        <v>56</v>
      </c>
      <c r="T104" s="5">
        <v>53500</v>
      </c>
      <c r="U104" s="5">
        <v>15200</v>
      </c>
      <c r="V104" s="4">
        <v>0</v>
      </c>
      <c r="W104" s="4">
        <v>27</v>
      </c>
      <c r="X104" s="2" t="s">
        <v>81</v>
      </c>
      <c r="Y104" s="4">
        <v>0</v>
      </c>
      <c r="Z104" s="4">
        <v>4</v>
      </c>
      <c r="AA104" s="4">
        <v>3</v>
      </c>
      <c r="AB104" s="4">
        <v>0</v>
      </c>
      <c r="AC104" s="4">
        <v>3</v>
      </c>
      <c r="AD104" s="4">
        <v>3</v>
      </c>
      <c r="AE104" s="3" t="s">
        <v>45</v>
      </c>
      <c r="AG104">
        <f t="shared" ca="1" si="3"/>
        <v>6</v>
      </c>
      <c r="AH104" s="23" t="str" cm="1">
        <f t="array" ref="AH104">_xlfn.IFS(E104&gt;49,"50+",E104&gt;39,"40-49",E104&gt;29,"30-39",E104&gt;19,"20-29")</f>
        <v>30-39</v>
      </c>
      <c r="AI104" s="24" t="str" cm="1">
        <f t="array" aca="1" ref="AI104" ca="1">_xlfn.IFS(AG104&gt;10,"10+",AG104&gt;4,"5-10 YIL",AG104&gt;2,"3-5 YIL",AG104&gt;0.9,"1-3 YIL",AG104&lt;1,"0-1 YIL")</f>
        <v>5-10 YIL</v>
      </c>
      <c r="AJ104">
        <f t="shared" si="4"/>
        <v>2019</v>
      </c>
      <c r="AK104" t="e">
        <f t="shared" si="5"/>
        <v>#VALUE!</v>
      </c>
    </row>
    <row r="105" spans="1:37" x14ac:dyDescent="0.3">
      <c r="A105" s="6" t="s">
        <v>281</v>
      </c>
      <c r="B105" s="7" t="s">
        <v>133</v>
      </c>
      <c r="C105" s="6" t="s">
        <v>48</v>
      </c>
      <c r="D105" s="14">
        <v>32120</v>
      </c>
      <c r="E105" s="8">
        <v>39</v>
      </c>
      <c r="F105" s="6" t="s">
        <v>49</v>
      </c>
      <c r="G105" s="8">
        <v>0</v>
      </c>
      <c r="H105" s="6" t="s">
        <v>35</v>
      </c>
      <c r="I105" s="7" t="s">
        <v>61</v>
      </c>
      <c r="J105" s="7" t="s">
        <v>124</v>
      </c>
      <c r="K105" s="6" t="s">
        <v>79</v>
      </c>
      <c r="L105" s="6" t="s">
        <v>63</v>
      </c>
      <c r="M105" s="7" t="s">
        <v>80</v>
      </c>
      <c r="N105" s="6" t="s">
        <v>41</v>
      </c>
      <c r="O105" s="14">
        <v>43484</v>
      </c>
      <c r="P105" s="6" t="s">
        <v>44</v>
      </c>
      <c r="Q105" s="7" t="s">
        <v>44</v>
      </c>
      <c r="R105" s="6" t="s">
        <v>44</v>
      </c>
      <c r="S105" s="6" t="s">
        <v>56</v>
      </c>
      <c r="T105" s="9">
        <v>106400</v>
      </c>
      <c r="U105" s="9">
        <v>23200</v>
      </c>
      <c r="V105" s="8">
        <v>3</v>
      </c>
      <c r="W105" s="8">
        <v>30</v>
      </c>
      <c r="X105" s="6" t="s">
        <v>44</v>
      </c>
      <c r="Y105" s="8">
        <v>0</v>
      </c>
      <c r="Z105" s="8">
        <v>5</v>
      </c>
      <c r="AA105" s="8">
        <v>0</v>
      </c>
      <c r="AB105" s="8">
        <v>0</v>
      </c>
      <c r="AC105" s="8">
        <v>4</v>
      </c>
      <c r="AD105" s="8">
        <v>39</v>
      </c>
      <c r="AE105" s="7" t="s">
        <v>58</v>
      </c>
      <c r="AG105">
        <f t="shared" ca="1" si="3"/>
        <v>7</v>
      </c>
      <c r="AH105" s="23" t="str" cm="1">
        <f t="array" ref="AH105">_xlfn.IFS(E105&gt;49,"50+",E105&gt;39,"40-49",E105&gt;29,"30-39",E105&gt;19,"20-29")</f>
        <v>30-39</v>
      </c>
      <c r="AI105" s="24" t="str" cm="1">
        <f t="array" aca="1" ref="AI105" ca="1">_xlfn.IFS(AG105&gt;10,"10+",AG105&gt;4,"5-10 YIL",AG105&gt;2,"3-5 YIL",AG105&gt;0.9,"1-3 YIL",AG105&lt;1,"0-1 YIL")</f>
        <v>5-10 YIL</v>
      </c>
      <c r="AJ105">
        <f t="shared" si="4"/>
        <v>2019</v>
      </c>
      <c r="AK105" t="e">
        <f t="shared" si="5"/>
        <v>#VALUE!</v>
      </c>
    </row>
    <row r="106" spans="1:37" x14ac:dyDescent="0.3">
      <c r="A106" s="2" t="s">
        <v>282</v>
      </c>
      <c r="B106" s="3" t="s">
        <v>283</v>
      </c>
      <c r="C106" s="2" t="s">
        <v>33</v>
      </c>
      <c r="D106" s="13">
        <v>37453</v>
      </c>
      <c r="E106" s="4">
        <v>24</v>
      </c>
      <c r="F106" s="2" t="s">
        <v>49</v>
      </c>
      <c r="G106" s="4">
        <v>2</v>
      </c>
      <c r="H106" s="2" t="s">
        <v>35</v>
      </c>
      <c r="I106" s="3" t="s">
        <v>61</v>
      </c>
      <c r="J106" s="3" t="s">
        <v>62</v>
      </c>
      <c r="K106" s="2" t="s">
        <v>38</v>
      </c>
      <c r="L106" s="2" t="s">
        <v>63</v>
      </c>
      <c r="M106" s="3" t="s">
        <v>64</v>
      </c>
      <c r="N106" s="2" t="s">
        <v>89</v>
      </c>
      <c r="O106" s="13">
        <v>46024</v>
      </c>
      <c r="P106" s="2" t="s">
        <v>44</v>
      </c>
      <c r="Q106" s="3" t="s">
        <v>44</v>
      </c>
      <c r="R106" s="2" t="s">
        <v>44</v>
      </c>
      <c r="S106" s="2" t="s">
        <v>56</v>
      </c>
      <c r="T106" s="5">
        <v>35800</v>
      </c>
      <c r="U106" s="5">
        <v>0</v>
      </c>
      <c r="V106" s="4">
        <v>4</v>
      </c>
      <c r="W106" s="4">
        <v>29</v>
      </c>
      <c r="X106" s="2" t="s">
        <v>57</v>
      </c>
      <c r="Y106" s="4">
        <v>1</v>
      </c>
      <c r="Z106" s="4">
        <v>0</v>
      </c>
      <c r="AA106" s="4">
        <v>0</v>
      </c>
      <c r="AB106" s="4">
        <v>0</v>
      </c>
      <c r="AC106" s="4">
        <v>3</v>
      </c>
      <c r="AD106" s="4">
        <v>16</v>
      </c>
      <c r="AE106" s="3" t="s">
        <v>45</v>
      </c>
      <c r="AG106">
        <f t="shared" ca="1" si="3"/>
        <v>0</v>
      </c>
      <c r="AH106" s="23" t="str" cm="1">
        <f t="array" ref="AH106">_xlfn.IFS(E106&gt;49,"50+",E106&gt;39,"40-49",E106&gt;29,"30-39",E106&gt;19,"20-29")</f>
        <v>20-29</v>
      </c>
      <c r="AI106" s="24" t="str" cm="1">
        <f t="array" aca="1" ref="AI106" ca="1">_xlfn.IFS(AG106&gt;10,"10+",AG106&gt;4,"5-10 YIL",AG106&gt;2,"3-5 YIL",AG106&gt;0.9,"1-3 YIL",AG106&lt;1,"0-1 YIL")</f>
        <v>0-1 YIL</v>
      </c>
      <c r="AJ106">
        <f t="shared" si="4"/>
        <v>2026</v>
      </c>
      <c r="AK106" t="e">
        <f t="shared" si="5"/>
        <v>#VALUE!</v>
      </c>
    </row>
    <row r="107" spans="1:37" x14ac:dyDescent="0.3">
      <c r="A107" s="6" t="s">
        <v>284</v>
      </c>
      <c r="B107" s="7" t="s">
        <v>285</v>
      </c>
      <c r="C107" s="6" t="s">
        <v>48</v>
      </c>
      <c r="D107" s="14">
        <v>34053</v>
      </c>
      <c r="E107" s="8">
        <v>33</v>
      </c>
      <c r="F107" s="6" t="s">
        <v>34</v>
      </c>
      <c r="G107" s="8">
        <v>0</v>
      </c>
      <c r="H107" s="6" t="s">
        <v>35</v>
      </c>
      <c r="I107" s="7" t="s">
        <v>61</v>
      </c>
      <c r="J107" s="7" t="s">
        <v>107</v>
      </c>
      <c r="K107" s="6" t="s">
        <v>51</v>
      </c>
      <c r="L107" s="6" t="s">
        <v>63</v>
      </c>
      <c r="M107" s="7" t="s">
        <v>64</v>
      </c>
      <c r="N107" s="6" t="s">
        <v>67</v>
      </c>
      <c r="O107" s="14">
        <v>43501</v>
      </c>
      <c r="P107" s="6" t="s">
        <v>44</v>
      </c>
      <c r="Q107" s="7" t="s">
        <v>44</v>
      </c>
      <c r="R107" s="6" t="s">
        <v>44</v>
      </c>
      <c r="S107" s="6" t="s">
        <v>56</v>
      </c>
      <c r="T107" s="9">
        <v>60600</v>
      </c>
      <c r="U107" s="9">
        <v>19700</v>
      </c>
      <c r="V107" s="8">
        <v>0</v>
      </c>
      <c r="W107" s="8">
        <v>29</v>
      </c>
      <c r="X107" s="6" t="s">
        <v>57</v>
      </c>
      <c r="Y107" s="8">
        <v>1</v>
      </c>
      <c r="Z107" s="8">
        <v>1</v>
      </c>
      <c r="AA107" s="8">
        <v>0</v>
      </c>
      <c r="AB107" s="8">
        <v>0</v>
      </c>
      <c r="AC107" s="8">
        <v>3</v>
      </c>
      <c r="AD107" s="8">
        <v>7</v>
      </c>
      <c r="AE107" s="7" t="s">
        <v>58</v>
      </c>
      <c r="AG107">
        <f t="shared" ca="1" si="3"/>
        <v>7</v>
      </c>
      <c r="AH107" s="23" t="str" cm="1">
        <f t="array" ref="AH107">_xlfn.IFS(E107&gt;49,"50+",E107&gt;39,"40-49",E107&gt;29,"30-39",E107&gt;19,"20-29")</f>
        <v>30-39</v>
      </c>
      <c r="AI107" s="24" t="str" cm="1">
        <f t="array" aca="1" ref="AI107" ca="1">_xlfn.IFS(AG107&gt;10,"10+",AG107&gt;4,"5-10 YIL",AG107&gt;2,"3-5 YIL",AG107&gt;0.9,"1-3 YIL",AG107&lt;1,"0-1 YIL")</f>
        <v>5-10 YIL</v>
      </c>
      <c r="AJ107">
        <f t="shared" si="4"/>
        <v>2019</v>
      </c>
      <c r="AK107" t="e">
        <f t="shared" si="5"/>
        <v>#VALUE!</v>
      </c>
    </row>
    <row r="108" spans="1:37" x14ac:dyDescent="0.3">
      <c r="A108" s="2" t="s">
        <v>286</v>
      </c>
      <c r="B108" s="3" t="s">
        <v>179</v>
      </c>
      <c r="C108" s="2" t="s">
        <v>48</v>
      </c>
      <c r="D108" s="13">
        <v>28597</v>
      </c>
      <c r="E108" s="4">
        <v>48</v>
      </c>
      <c r="F108" s="2" t="s">
        <v>49</v>
      </c>
      <c r="G108" s="4">
        <v>1</v>
      </c>
      <c r="H108" s="2" t="s">
        <v>85</v>
      </c>
      <c r="I108" s="3" t="s">
        <v>36</v>
      </c>
      <c r="J108" s="3" t="s">
        <v>78</v>
      </c>
      <c r="K108" s="2" t="s">
        <v>79</v>
      </c>
      <c r="L108" s="2" t="s">
        <v>63</v>
      </c>
      <c r="M108" s="3" t="s">
        <v>80</v>
      </c>
      <c r="N108" s="2" t="s">
        <v>41</v>
      </c>
      <c r="O108" s="13">
        <v>40415</v>
      </c>
      <c r="P108" s="2" t="s">
        <v>44</v>
      </c>
      <c r="Q108" s="3" t="s">
        <v>44</v>
      </c>
      <c r="R108" s="2" t="s">
        <v>44</v>
      </c>
      <c r="S108" s="2" t="s">
        <v>56</v>
      </c>
      <c r="T108" s="5">
        <v>90800</v>
      </c>
      <c r="U108" s="5">
        <v>0</v>
      </c>
      <c r="V108" s="4">
        <v>5</v>
      </c>
      <c r="W108" s="4">
        <v>30</v>
      </c>
      <c r="X108" s="2" t="s">
        <v>44</v>
      </c>
      <c r="Y108" s="4">
        <v>0</v>
      </c>
      <c r="Z108" s="4">
        <v>2</v>
      </c>
      <c r="AA108" s="4">
        <v>0</v>
      </c>
      <c r="AB108" s="4">
        <v>0</v>
      </c>
      <c r="AC108" s="4">
        <v>5</v>
      </c>
      <c r="AD108" s="4">
        <v>14</v>
      </c>
      <c r="AE108" s="3" t="s">
        <v>82</v>
      </c>
      <c r="AG108">
        <f t="shared" ca="1" si="3"/>
        <v>15</v>
      </c>
      <c r="AH108" s="23" t="str" cm="1">
        <f t="array" ref="AH108">_xlfn.IFS(E108&gt;49,"50+",E108&gt;39,"40-49",E108&gt;29,"30-39",E108&gt;19,"20-29")</f>
        <v>40-49</v>
      </c>
      <c r="AI108" s="24" t="str" cm="1">
        <f t="array" aca="1" ref="AI108" ca="1">_xlfn.IFS(AG108&gt;10,"10+",AG108&gt;4,"5-10 YIL",AG108&gt;2,"3-5 YIL",AG108&gt;0.9,"1-3 YIL",AG108&lt;1,"0-1 YIL")</f>
        <v>10+</v>
      </c>
      <c r="AJ108">
        <f t="shared" si="4"/>
        <v>2010</v>
      </c>
      <c r="AK108" t="e">
        <f t="shared" si="5"/>
        <v>#VALUE!</v>
      </c>
    </row>
    <row r="109" spans="1:37" x14ac:dyDescent="0.3">
      <c r="A109" s="6" t="s">
        <v>287</v>
      </c>
      <c r="B109" s="7" t="s">
        <v>186</v>
      </c>
      <c r="C109" s="6" t="s">
        <v>48</v>
      </c>
      <c r="D109" s="14">
        <v>36013</v>
      </c>
      <c r="E109" s="8">
        <v>28</v>
      </c>
      <c r="F109" s="6" t="s">
        <v>34</v>
      </c>
      <c r="G109" s="8">
        <v>0</v>
      </c>
      <c r="H109" s="6" t="s">
        <v>35</v>
      </c>
      <c r="I109" s="7" t="s">
        <v>148</v>
      </c>
      <c r="J109" s="7" t="s">
        <v>252</v>
      </c>
      <c r="K109" s="6" t="s">
        <v>38</v>
      </c>
      <c r="L109" s="6" t="s">
        <v>63</v>
      </c>
      <c r="M109" s="7" t="s">
        <v>150</v>
      </c>
      <c r="N109" s="6" t="s">
        <v>41</v>
      </c>
      <c r="O109" s="14">
        <v>44762</v>
      </c>
      <c r="P109" s="6" t="s">
        <v>44</v>
      </c>
      <c r="Q109" s="7" t="s">
        <v>44</v>
      </c>
      <c r="R109" s="6" t="s">
        <v>44</v>
      </c>
      <c r="S109" s="6" t="s">
        <v>56</v>
      </c>
      <c r="T109" s="9">
        <v>33100</v>
      </c>
      <c r="U109" s="9">
        <v>0</v>
      </c>
      <c r="V109" s="8">
        <v>3</v>
      </c>
      <c r="W109" s="8">
        <v>30</v>
      </c>
      <c r="X109" s="6" t="s">
        <v>44</v>
      </c>
      <c r="Y109" s="8">
        <v>0</v>
      </c>
      <c r="Z109" s="8">
        <v>2</v>
      </c>
      <c r="AA109" s="8">
        <v>0</v>
      </c>
      <c r="AB109" s="8">
        <v>0</v>
      </c>
      <c r="AC109" s="8">
        <v>3</v>
      </c>
      <c r="AD109" s="8">
        <v>15</v>
      </c>
      <c r="AE109" s="7" t="s">
        <v>58</v>
      </c>
      <c r="AG109">
        <f t="shared" ca="1" si="3"/>
        <v>3</v>
      </c>
      <c r="AH109" s="23" t="str" cm="1">
        <f t="array" ref="AH109">_xlfn.IFS(E109&gt;49,"50+",E109&gt;39,"40-49",E109&gt;29,"30-39",E109&gt;19,"20-29")</f>
        <v>20-29</v>
      </c>
      <c r="AI109" s="24" t="str" cm="1">
        <f t="array" aca="1" ref="AI109" ca="1">_xlfn.IFS(AG109&gt;10,"10+",AG109&gt;4,"5-10 YIL",AG109&gt;2,"3-5 YIL",AG109&gt;0.9,"1-3 YIL",AG109&lt;1,"0-1 YIL")</f>
        <v>3-5 YIL</v>
      </c>
      <c r="AJ109">
        <f t="shared" si="4"/>
        <v>2022</v>
      </c>
      <c r="AK109" t="e">
        <f t="shared" si="5"/>
        <v>#VALUE!</v>
      </c>
    </row>
    <row r="110" spans="1:37" x14ac:dyDescent="0.3">
      <c r="A110" s="2" t="s">
        <v>288</v>
      </c>
      <c r="B110" s="3" t="s">
        <v>289</v>
      </c>
      <c r="C110" s="2" t="s">
        <v>33</v>
      </c>
      <c r="D110" s="13">
        <v>35811</v>
      </c>
      <c r="E110" s="4">
        <v>28</v>
      </c>
      <c r="F110" s="2" t="s">
        <v>34</v>
      </c>
      <c r="G110" s="4">
        <v>0</v>
      </c>
      <c r="H110" s="2" t="s">
        <v>35</v>
      </c>
      <c r="I110" s="3" t="s">
        <v>70</v>
      </c>
      <c r="J110" s="3" t="s">
        <v>92</v>
      </c>
      <c r="K110" s="2" t="s">
        <v>38</v>
      </c>
      <c r="L110" s="2" t="s">
        <v>63</v>
      </c>
      <c r="M110" s="3" t="s">
        <v>72</v>
      </c>
      <c r="N110" s="2" t="s">
        <v>67</v>
      </c>
      <c r="O110" s="13">
        <v>44921</v>
      </c>
      <c r="P110" s="2" t="s">
        <v>44</v>
      </c>
      <c r="Q110" s="3" t="s">
        <v>44</v>
      </c>
      <c r="R110" s="2" t="s">
        <v>44</v>
      </c>
      <c r="S110" s="2" t="s">
        <v>56</v>
      </c>
      <c r="T110" s="5">
        <v>35100</v>
      </c>
      <c r="U110" s="5">
        <v>0</v>
      </c>
      <c r="V110" s="4">
        <v>4</v>
      </c>
      <c r="W110" s="4">
        <v>30</v>
      </c>
      <c r="X110" s="2" t="s">
        <v>44</v>
      </c>
      <c r="Y110" s="4">
        <v>0</v>
      </c>
      <c r="Z110" s="4">
        <v>2</v>
      </c>
      <c r="AA110" s="4">
        <v>0</v>
      </c>
      <c r="AB110" s="4">
        <v>0</v>
      </c>
      <c r="AC110" s="4">
        <v>3</v>
      </c>
      <c r="AD110" s="4">
        <v>10</v>
      </c>
      <c r="AE110" s="3" t="s">
        <v>73</v>
      </c>
      <c r="AG110">
        <f t="shared" ca="1" si="3"/>
        <v>3</v>
      </c>
      <c r="AH110" s="23" t="str" cm="1">
        <f t="array" ref="AH110">_xlfn.IFS(E110&gt;49,"50+",E110&gt;39,"40-49",E110&gt;29,"30-39",E110&gt;19,"20-29")</f>
        <v>20-29</v>
      </c>
      <c r="AI110" s="24" t="str" cm="1">
        <f t="array" aca="1" ref="AI110" ca="1">_xlfn.IFS(AG110&gt;10,"10+",AG110&gt;4,"5-10 YIL",AG110&gt;2,"3-5 YIL",AG110&gt;0.9,"1-3 YIL",AG110&lt;1,"0-1 YIL")</f>
        <v>3-5 YIL</v>
      </c>
      <c r="AJ110">
        <f t="shared" si="4"/>
        <v>2022</v>
      </c>
      <c r="AK110" t="e">
        <f t="shared" si="5"/>
        <v>#VALUE!</v>
      </c>
    </row>
    <row r="111" spans="1:37" x14ac:dyDescent="0.3">
      <c r="A111" s="6" t="s">
        <v>290</v>
      </c>
      <c r="B111" s="7" t="s">
        <v>275</v>
      </c>
      <c r="C111" s="6" t="s">
        <v>48</v>
      </c>
      <c r="D111" s="14">
        <v>37153</v>
      </c>
      <c r="E111" s="8">
        <v>25</v>
      </c>
      <c r="F111" s="6" t="s">
        <v>34</v>
      </c>
      <c r="G111" s="8">
        <v>0</v>
      </c>
      <c r="H111" s="6" t="s">
        <v>35</v>
      </c>
      <c r="I111" s="7" t="s">
        <v>36</v>
      </c>
      <c r="J111" s="7" t="s">
        <v>37</v>
      </c>
      <c r="K111" s="6" t="s">
        <v>38</v>
      </c>
      <c r="L111" s="6" t="s">
        <v>39</v>
      </c>
      <c r="M111" s="7" t="s">
        <v>40</v>
      </c>
      <c r="N111" s="6" t="s">
        <v>41</v>
      </c>
      <c r="O111" s="14">
        <v>45783</v>
      </c>
      <c r="P111" s="6" t="s">
        <v>44</v>
      </c>
      <c r="Q111" s="7" t="s">
        <v>44</v>
      </c>
      <c r="R111" s="6" t="s">
        <v>44</v>
      </c>
      <c r="S111" s="6" t="s">
        <v>56</v>
      </c>
      <c r="T111" s="9">
        <v>24600</v>
      </c>
      <c r="U111" s="9">
        <v>0</v>
      </c>
      <c r="V111" s="8">
        <v>30</v>
      </c>
      <c r="W111" s="8">
        <v>30</v>
      </c>
      <c r="X111" s="6" t="s">
        <v>44</v>
      </c>
      <c r="Y111" s="8">
        <v>0</v>
      </c>
      <c r="Z111" s="8">
        <v>12</v>
      </c>
      <c r="AA111" s="8">
        <v>0</v>
      </c>
      <c r="AB111" s="8">
        <v>0</v>
      </c>
      <c r="AC111" s="8">
        <v>3</v>
      </c>
      <c r="AD111" s="8">
        <v>5</v>
      </c>
      <c r="AE111" s="7" t="s">
        <v>58</v>
      </c>
      <c r="AG111">
        <f t="shared" ca="1" si="3"/>
        <v>1</v>
      </c>
      <c r="AH111" s="23" t="str" cm="1">
        <f t="array" ref="AH111">_xlfn.IFS(E111&gt;49,"50+",E111&gt;39,"40-49",E111&gt;29,"30-39",E111&gt;19,"20-29")</f>
        <v>20-29</v>
      </c>
      <c r="AI111" s="24" t="str" cm="1">
        <f t="array" aca="1" ref="AI111" ca="1">_xlfn.IFS(AG111&gt;10,"10+",AG111&gt;4,"5-10 YIL",AG111&gt;2,"3-5 YIL",AG111&gt;0.9,"1-3 YIL",AG111&lt;1,"0-1 YIL")</f>
        <v>1-3 YIL</v>
      </c>
      <c r="AJ111">
        <f t="shared" si="4"/>
        <v>2025</v>
      </c>
      <c r="AK111" t="e">
        <f t="shared" si="5"/>
        <v>#VALUE!</v>
      </c>
    </row>
    <row r="112" spans="1:37" x14ac:dyDescent="0.3">
      <c r="A112" s="2" t="s">
        <v>291</v>
      </c>
      <c r="B112" s="3" t="s">
        <v>292</v>
      </c>
      <c r="C112" s="2" t="s">
        <v>48</v>
      </c>
      <c r="D112" s="13">
        <v>36421</v>
      </c>
      <c r="E112" s="4">
        <v>27</v>
      </c>
      <c r="F112" s="2" t="s">
        <v>34</v>
      </c>
      <c r="G112" s="4">
        <v>0</v>
      </c>
      <c r="H112" s="2" t="s">
        <v>35</v>
      </c>
      <c r="I112" s="3" t="s">
        <v>36</v>
      </c>
      <c r="J112" s="3" t="s">
        <v>37</v>
      </c>
      <c r="K112" s="2" t="s">
        <v>38</v>
      </c>
      <c r="L112" s="2" t="s">
        <v>39</v>
      </c>
      <c r="M112" s="3" t="s">
        <v>40</v>
      </c>
      <c r="N112" s="2" t="s">
        <v>95</v>
      </c>
      <c r="O112" s="13">
        <v>45748</v>
      </c>
      <c r="P112" s="2" t="s">
        <v>44</v>
      </c>
      <c r="Q112" s="3" t="s">
        <v>44</v>
      </c>
      <c r="R112" s="2" t="s">
        <v>44</v>
      </c>
      <c r="S112" s="2" t="s">
        <v>56</v>
      </c>
      <c r="T112" s="5">
        <v>24000</v>
      </c>
      <c r="U112" s="5">
        <v>0</v>
      </c>
      <c r="V112" s="4">
        <v>17</v>
      </c>
      <c r="W112" s="4">
        <v>30</v>
      </c>
      <c r="X112" s="2" t="s">
        <v>44</v>
      </c>
      <c r="Y112" s="4">
        <v>0</v>
      </c>
      <c r="Z112" s="4">
        <v>8</v>
      </c>
      <c r="AA112" s="4">
        <v>0</v>
      </c>
      <c r="AB112" s="4">
        <v>0</v>
      </c>
      <c r="AC112" s="4">
        <v>3</v>
      </c>
      <c r="AD112" s="4">
        <v>9</v>
      </c>
      <c r="AE112" s="3" t="s">
        <v>58</v>
      </c>
      <c r="AG112">
        <f t="shared" ca="1" si="3"/>
        <v>1</v>
      </c>
      <c r="AH112" s="23" t="str" cm="1">
        <f t="array" ref="AH112">_xlfn.IFS(E112&gt;49,"50+",E112&gt;39,"40-49",E112&gt;29,"30-39",E112&gt;19,"20-29")</f>
        <v>20-29</v>
      </c>
      <c r="AI112" s="24" t="str" cm="1">
        <f t="array" aca="1" ref="AI112" ca="1">_xlfn.IFS(AG112&gt;10,"10+",AG112&gt;4,"5-10 YIL",AG112&gt;2,"3-5 YIL",AG112&gt;0.9,"1-3 YIL",AG112&lt;1,"0-1 YIL")</f>
        <v>1-3 YIL</v>
      </c>
      <c r="AJ112">
        <f t="shared" si="4"/>
        <v>2025</v>
      </c>
      <c r="AK112" t="e">
        <f t="shared" si="5"/>
        <v>#VALUE!</v>
      </c>
    </row>
    <row r="113" spans="1:37" x14ac:dyDescent="0.3">
      <c r="A113" s="6" t="s">
        <v>293</v>
      </c>
      <c r="B113" s="7" t="s">
        <v>237</v>
      </c>
      <c r="C113" s="6" t="s">
        <v>48</v>
      </c>
      <c r="D113" s="14">
        <v>33440</v>
      </c>
      <c r="E113" s="8">
        <v>35</v>
      </c>
      <c r="F113" s="6" t="s">
        <v>49</v>
      </c>
      <c r="G113" s="8">
        <v>1</v>
      </c>
      <c r="H113" s="6" t="s">
        <v>85</v>
      </c>
      <c r="I113" s="7" t="s">
        <v>148</v>
      </c>
      <c r="J113" s="7" t="s">
        <v>197</v>
      </c>
      <c r="K113" s="6" t="s">
        <v>79</v>
      </c>
      <c r="L113" s="6" t="s">
        <v>63</v>
      </c>
      <c r="M113" s="7" t="s">
        <v>80</v>
      </c>
      <c r="N113" s="6" t="s">
        <v>41</v>
      </c>
      <c r="O113" s="14">
        <v>40816</v>
      </c>
      <c r="P113" s="6" t="s">
        <v>44</v>
      </c>
      <c r="Q113" s="7" t="s">
        <v>44</v>
      </c>
      <c r="R113" s="6" t="s">
        <v>44</v>
      </c>
      <c r="S113" s="6" t="s">
        <v>56</v>
      </c>
      <c r="T113" s="9">
        <v>105300</v>
      </c>
      <c r="U113" s="9">
        <v>8400</v>
      </c>
      <c r="V113" s="8">
        <v>8</v>
      </c>
      <c r="W113" s="8">
        <v>28</v>
      </c>
      <c r="X113" s="6" t="s">
        <v>57</v>
      </c>
      <c r="Y113" s="8">
        <v>2</v>
      </c>
      <c r="Z113" s="8">
        <v>0</v>
      </c>
      <c r="AA113" s="8">
        <v>0</v>
      </c>
      <c r="AB113" s="8">
        <v>0</v>
      </c>
      <c r="AC113" s="8">
        <v>2</v>
      </c>
      <c r="AD113" s="8">
        <v>8</v>
      </c>
      <c r="AE113" s="7" t="s">
        <v>58</v>
      </c>
      <c r="AG113">
        <f t="shared" ca="1" si="3"/>
        <v>14</v>
      </c>
      <c r="AH113" s="23" t="str" cm="1">
        <f t="array" ref="AH113">_xlfn.IFS(E113&gt;49,"50+",E113&gt;39,"40-49",E113&gt;29,"30-39",E113&gt;19,"20-29")</f>
        <v>30-39</v>
      </c>
      <c r="AI113" s="24" t="str" cm="1">
        <f t="array" aca="1" ref="AI113" ca="1">_xlfn.IFS(AG113&gt;10,"10+",AG113&gt;4,"5-10 YIL",AG113&gt;2,"3-5 YIL",AG113&gt;0.9,"1-3 YIL",AG113&lt;1,"0-1 YIL")</f>
        <v>10+</v>
      </c>
      <c r="AJ113">
        <f t="shared" si="4"/>
        <v>2011</v>
      </c>
      <c r="AK113" t="e">
        <f t="shared" si="5"/>
        <v>#VALUE!</v>
      </c>
    </row>
    <row r="114" spans="1:37" x14ac:dyDescent="0.3">
      <c r="A114" s="2" t="s">
        <v>294</v>
      </c>
      <c r="B114" s="3" t="s">
        <v>75</v>
      </c>
      <c r="C114" s="2" t="s">
        <v>33</v>
      </c>
      <c r="D114" s="13">
        <v>37124</v>
      </c>
      <c r="E114" s="4">
        <v>25</v>
      </c>
      <c r="F114" s="2" t="s">
        <v>34</v>
      </c>
      <c r="G114" s="4">
        <v>0</v>
      </c>
      <c r="H114" s="2" t="s">
        <v>88</v>
      </c>
      <c r="I114" s="3" t="s">
        <v>36</v>
      </c>
      <c r="J114" s="3" t="s">
        <v>37</v>
      </c>
      <c r="K114" s="2" t="s">
        <v>38</v>
      </c>
      <c r="L114" s="2" t="s">
        <v>39</v>
      </c>
      <c r="M114" s="3" t="s">
        <v>40</v>
      </c>
      <c r="N114" s="2" t="s">
        <v>41</v>
      </c>
      <c r="O114" s="13">
        <v>44970</v>
      </c>
      <c r="P114" s="2" t="s">
        <v>44</v>
      </c>
      <c r="Q114" s="3" t="s">
        <v>44</v>
      </c>
      <c r="R114" s="2" t="s">
        <v>44</v>
      </c>
      <c r="S114" s="2" t="s">
        <v>56</v>
      </c>
      <c r="T114" s="5">
        <v>25300</v>
      </c>
      <c r="U114" s="5">
        <v>0</v>
      </c>
      <c r="V114" s="4">
        <v>35</v>
      </c>
      <c r="W114" s="4">
        <v>25</v>
      </c>
      <c r="X114" s="2" t="s">
        <v>57</v>
      </c>
      <c r="Y114" s="4">
        <v>5</v>
      </c>
      <c r="Z114" s="4">
        <v>7</v>
      </c>
      <c r="AA114" s="4">
        <v>0</v>
      </c>
      <c r="AB114" s="4">
        <v>0</v>
      </c>
      <c r="AC114" s="4">
        <v>1</v>
      </c>
      <c r="AD114" s="4">
        <v>14</v>
      </c>
      <c r="AE114" s="3" t="s">
        <v>82</v>
      </c>
      <c r="AG114">
        <f t="shared" ca="1" si="3"/>
        <v>3</v>
      </c>
      <c r="AH114" s="23" t="str" cm="1">
        <f t="array" ref="AH114">_xlfn.IFS(E114&gt;49,"50+",E114&gt;39,"40-49",E114&gt;29,"30-39",E114&gt;19,"20-29")</f>
        <v>20-29</v>
      </c>
      <c r="AI114" s="24" t="str" cm="1">
        <f t="array" aca="1" ref="AI114" ca="1">_xlfn.IFS(AG114&gt;10,"10+",AG114&gt;4,"5-10 YIL",AG114&gt;2,"3-5 YIL",AG114&gt;0.9,"1-3 YIL",AG114&lt;1,"0-1 YIL")</f>
        <v>3-5 YIL</v>
      </c>
      <c r="AJ114">
        <f t="shared" si="4"/>
        <v>2023</v>
      </c>
      <c r="AK114" t="e">
        <f t="shared" si="5"/>
        <v>#VALUE!</v>
      </c>
    </row>
    <row r="115" spans="1:37" x14ac:dyDescent="0.3">
      <c r="A115" s="6" t="s">
        <v>295</v>
      </c>
      <c r="B115" s="7" t="s">
        <v>296</v>
      </c>
      <c r="C115" s="6" t="s">
        <v>33</v>
      </c>
      <c r="D115" s="14">
        <v>33239</v>
      </c>
      <c r="E115" s="8">
        <v>35</v>
      </c>
      <c r="F115" s="6" t="s">
        <v>49</v>
      </c>
      <c r="G115" s="8">
        <v>1</v>
      </c>
      <c r="H115" s="6" t="s">
        <v>85</v>
      </c>
      <c r="I115" s="7" t="s">
        <v>139</v>
      </c>
      <c r="J115" s="7" t="s">
        <v>161</v>
      </c>
      <c r="K115" s="6" t="s">
        <v>51</v>
      </c>
      <c r="L115" s="6" t="s">
        <v>63</v>
      </c>
      <c r="M115" s="7" t="s">
        <v>162</v>
      </c>
      <c r="N115" s="6" t="s">
        <v>67</v>
      </c>
      <c r="O115" s="14">
        <v>43651</v>
      </c>
      <c r="P115" s="6" t="s">
        <v>44</v>
      </c>
      <c r="Q115" s="7" t="s">
        <v>44</v>
      </c>
      <c r="R115" s="6" t="s">
        <v>44</v>
      </c>
      <c r="S115" s="6" t="s">
        <v>56</v>
      </c>
      <c r="T115" s="9">
        <v>76600</v>
      </c>
      <c r="U115" s="9">
        <v>0</v>
      </c>
      <c r="V115" s="8">
        <v>8</v>
      </c>
      <c r="W115" s="8">
        <v>30</v>
      </c>
      <c r="X115" s="6" t="s">
        <v>44</v>
      </c>
      <c r="Y115" s="8">
        <v>0</v>
      </c>
      <c r="Z115" s="8">
        <v>12</v>
      </c>
      <c r="AA115" s="8">
        <v>0</v>
      </c>
      <c r="AB115" s="8">
        <v>0</v>
      </c>
      <c r="AC115" s="8">
        <v>1</v>
      </c>
      <c r="AD115" s="8">
        <v>19</v>
      </c>
      <c r="AE115" s="7" t="s">
        <v>45</v>
      </c>
      <c r="AG115">
        <f t="shared" ca="1" si="3"/>
        <v>6</v>
      </c>
      <c r="AH115" s="23" t="str" cm="1">
        <f t="array" ref="AH115">_xlfn.IFS(E115&gt;49,"50+",E115&gt;39,"40-49",E115&gt;29,"30-39",E115&gt;19,"20-29")</f>
        <v>30-39</v>
      </c>
      <c r="AI115" s="24" t="str" cm="1">
        <f t="array" aca="1" ref="AI115" ca="1">_xlfn.IFS(AG115&gt;10,"10+",AG115&gt;4,"5-10 YIL",AG115&gt;2,"3-5 YIL",AG115&gt;0.9,"1-3 YIL",AG115&lt;1,"0-1 YIL")</f>
        <v>5-10 YIL</v>
      </c>
      <c r="AJ115">
        <f t="shared" si="4"/>
        <v>2019</v>
      </c>
      <c r="AK115" t="e">
        <f t="shared" si="5"/>
        <v>#VALUE!</v>
      </c>
    </row>
    <row r="116" spans="1:37" x14ac:dyDescent="0.3">
      <c r="A116" s="2" t="s">
        <v>297</v>
      </c>
      <c r="B116" s="3" t="s">
        <v>298</v>
      </c>
      <c r="C116" s="2" t="s">
        <v>33</v>
      </c>
      <c r="D116" s="13">
        <v>33128</v>
      </c>
      <c r="E116" s="4">
        <v>36</v>
      </c>
      <c r="F116" s="2" t="s">
        <v>49</v>
      </c>
      <c r="G116" s="4">
        <v>1</v>
      </c>
      <c r="H116" s="2" t="s">
        <v>35</v>
      </c>
      <c r="I116" s="3" t="s">
        <v>148</v>
      </c>
      <c r="J116" s="3" t="s">
        <v>197</v>
      </c>
      <c r="K116" s="2" t="s">
        <v>79</v>
      </c>
      <c r="L116" s="2" t="s">
        <v>63</v>
      </c>
      <c r="M116" s="3" t="s">
        <v>80</v>
      </c>
      <c r="N116" s="2" t="s">
        <v>41</v>
      </c>
      <c r="O116" s="13">
        <v>44113</v>
      </c>
      <c r="P116" s="2" t="s">
        <v>44</v>
      </c>
      <c r="Q116" s="3" t="s">
        <v>44</v>
      </c>
      <c r="R116" s="2" t="s">
        <v>44</v>
      </c>
      <c r="S116" s="2" t="s">
        <v>56</v>
      </c>
      <c r="T116" s="5">
        <v>106500</v>
      </c>
      <c r="U116" s="5">
        <v>0</v>
      </c>
      <c r="V116" s="4">
        <v>0</v>
      </c>
      <c r="W116" s="4">
        <v>30</v>
      </c>
      <c r="X116" s="2" t="s">
        <v>44</v>
      </c>
      <c r="Y116" s="4">
        <v>0</v>
      </c>
      <c r="Z116" s="4">
        <v>7</v>
      </c>
      <c r="AA116" s="4">
        <v>0</v>
      </c>
      <c r="AB116" s="4">
        <v>0</v>
      </c>
      <c r="AC116" s="4">
        <v>3</v>
      </c>
      <c r="AD116" s="4">
        <v>12</v>
      </c>
      <c r="AE116" s="3" t="s">
        <v>58</v>
      </c>
      <c r="AG116">
        <f t="shared" ca="1" si="3"/>
        <v>5</v>
      </c>
      <c r="AH116" s="23" t="str" cm="1">
        <f t="array" ref="AH116">_xlfn.IFS(E116&gt;49,"50+",E116&gt;39,"40-49",E116&gt;29,"30-39",E116&gt;19,"20-29")</f>
        <v>30-39</v>
      </c>
      <c r="AI116" s="24" t="str" cm="1">
        <f t="array" aca="1" ref="AI116" ca="1">_xlfn.IFS(AG116&gt;10,"10+",AG116&gt;4,"5-10 YIL",AG116&gt;2,"3-5 YIL",AG116&gt;0.9,"1-3 YIL",AG116&lt;1,"0-1 YIL")</f>
        <v>5-10 YIL</v>
      </c>
      <c r="AJ116">
        <f t="shared" si="4"/>
        <v>2020</v>
      </c>
      <c r="AK116" t="e">
        <f t="shared" si="5"/>
        <v>#VALUE!</v>
      </c>
    </row>
    <row r="117" spans="1:37" x14ac:dyDescent="0.3">
      <c r="A117" s="6" t="s">
        <v>299</v>
      </c>
      <c r="B117" s="7" t="s">
        <v>300</v>
      </c>
      <c r="C117" s="6" t="s">
        <v>48</v>
      </c>
      <c r="D117" s="14">
        <v>28314</v>
      </c>
      <c r="E117" s="8">
        <v>49</v>
      </c>
      <c r="F117" s="6" t="s">
        <v>49</v>
      </c>
      <c r="G117" s="8">
        <v>2</v>
      </c>
      <c r="H117" s="6" t="s">
        <v>35</v>
      </c>
      <c r="I117" s="7" t="s">
        <v>148</v>
      </c>
      <c r="J117" s="7" t="s">
        <v>197</v>
      </c>
      <c r="K117" s="6" t="s">
        <v>79</v>
      </c>
      <c r="L117" s="6" t="s">
        <v>63</v>
      </c>
      <c r="M117" s="7" t="s">
        <v>80</v>
      </c>
      <c r="N117" s="6" t="s">
        <v>95</v>
      </c>
      <c r="O117" s="14">
        <v>41351</v>
      </c>
      <c r="P117" s="6" t="s">
        <v>44</v>
      </c>
      <c r="Q117" s="7" t="s">
        <v>44</v>
      </c>
      <c r="R117" s="6" t="s">
        <v>44</v>
      </c>
      <c r="S117" s="6" t="s">
        <v>56</v>
      </c>
      <c r="T117" s="9">
        <v>102400</v>
      </c>
      <c r="U117" s="9">
        <v>0</v>
      </c>
      <c r="V117" s="8">
        <v>0</v>
      </c>
      <c r="W117" s="8">
        <v>30</v>
      </c>
      <c r="X117" s="6" t="s">
        <v>44</v>
      </c>
      <c r="Y117" s="8">
        <v>0</v>
      </c>
      <c r="Z117" s="8">
        <v>11</v>
      </c>
      <c r="AA117" s="8">
        <v>0</v>
      </c>
      <c r="AB117" s="8">
        <v>0</v>
      </c>
      <c r="AC117" s="8">
        <v>3</v>
      </c>
      <c r="AD117" s="8">
        <v>5</v>
      </c>
      <c r="AE117" s="7" t="s">
        <v>45</v>
      </c>
      <c r="AG117">
        <f t="shared" ca="1" si="3"/>
        <v>13</v>
      </c>
      <c r="AH117" s="23" t="str" cm="1">
        <f t="array" ref="AH117">_xlfn.IFS(E117&gt;49,"50+",E117&gt;39,"40-49",E117&gt;29,"30-39",E117&gt;19,"20-29")</f>
        <v>40-49</v>
      </c>
      <c r="AI117" s="24" t="str" cm="1">
        <f t="array" aca="1" ref="AI117" ca="1">_xlfn.IFS(AG117&gt;10,"10+",AG117&gt;4,"5-10 YIL",AG117&gt;2,"3-5 YIL",AG117&gt;0.9,"1-3 YIL",AG117&lt;1,"0-1 YIL")</f>
        <v>10+</v>
      </c>
      <c r="AJ117">
        <f t="shared" si="4"/>
        <v>2013</v>
      </c>
      <c r="AK117" t="e">
        <f t="shared" si="5"/>
        <v>#VALUE!</v>
      </c>
    </row>
    <row r="118" spans="1:37" x14ac:dyDescent="0.3">
      <c r="A118" s="2" t="s">
        <v>301</v>
      </c>
      <c r="B118" s="3" t="s">
        <v>302</v>
      </c>
      <c r="C118" s="2" t="s">
        <v>48</v>
      </c>
      <c r="D118" s="13">
        <v>32148</v>
      </c>
      <c r="E118" s="4">
        <v>38</v>
      </c>
      <c r="F118" s="2" t="s">
        <v>49</v>
      </c>
      <c r="G118" s="4">
        <v>1</v>
      </c>
      <c r="H118" s="2" t="s">
        <v>35</v>
      </c>
      <c r="I118" s="3" t="s">
        <v>36</v>
      </c>
      <c r="J118" s="3" t="s">
        <v>50</v>
      </c>
      <c r="K118" s="2" t="s">
        <v>51</v>
      </c>
      <c r="L118" s="2" t="s">
        <v>39</v>
      </c>
      <c r="M118" s="3" t="s">
        <v>40</v>
      </c>
      <c r="N118" s="2" t="s">
        <v>41</v>
      </c>
      <c r="O118" s="13">
        <v>45015</v>
      </c>
      <c r="P118" s="2" t="s">
        <v>44</v>
      </c>
      <c r="Q118" s="3" t="s">
        <v>44</v>
      </c>
      <c r="R118" s="2" t="s">
        <v>44</v>
      </c>
      <c r="S118" s="2" t="s">
        <v>56</v>
      </c>
      <c r="T118" s="5">
        <v>40900</v>
      </c>
      <c r="U118" s="5">
        <v>0</v>
      </c>
      <c r="V118" s="4">
        <v>21</v>
      </c>
      <c r="W118" s="4">
        <v>30</v>
      </c>
      <c r="X118" s="2" t="s">
        <v>44</v>
      </c>
      <c r="Y118" s="4">
        <v>0</v>
      </c>
      <c r="Z118" s="4">
        <v>0</v>
      </c>
      <c r="AA118" s="4">
        <v>0</v>
      </c>
      <c r="AB118" s="4">
        <v>0</v>
      </c>
      <c r="AC118" s="4">
        <v>3</v>
      </c>
      <c r="AD118" s="4">
        <v>4</v>
      </c>
      <c r="AE118" s="3" t="s">
        <v>96</v>
      </c>
      <c r="AG118">
        <f t="shared" ca="1" si="3"/>
        <v>3</v>
      </c>
      <c r="AH118" s="23" t="str" cm="1">
        <f t="array" ref="AH118">_xlfn.IFS(E118&gt;49,"50+",E118&gt;39,"40-49",E118&gt;29,"30-39",E118&gt;19,"20-29")</f>
        <v>30-39</v>
      </c>
      <c r="AI118" s="24" t="str" cm="1">
        <f t="array" aca="1" ref="AI118" ca="1">_xlfn.IFS(AG118&gt;10,"10+",AG118&gt;4,"5-10 YIL",AG118&gt;2,"3-5 YIL",AG118&gt;0.9,"1-3 YIL",AG118&lt;1,"0-1 YIL")</f>
        <v>3-5 YIL</v>
      </c>
      <c r="AJ118">
        <f t="shared" si="4"/>
        <v>2023</v>
      </c>
      <c r="AK118" t="e">
        <f t="shared" si="5"/>
        <v>#VALUE!</v>
      </c>
    </row>
    <row r="119" spans="1:37" x14ac:dyDescent="0.3">
      <c r="A119" s="6" t="s">
        <v>303</v>
      </c>
      <c r="B119" s="7" t="s">
        <v>75</v>
      </c>
      <c r="C119" s="6" t="s">
        <v>33</v>
      </c>
      <c r="D119" s="14">
        <v>32786</v>
      </c>
      <c r="E119" s="8">
        <v>37</v>
      </c>
      <c r="F119" s="6" t="s">
        <v>49</v>
      </c>
      <c r="G119" s="8">
        <v>1</v>
      </c>
      <c r="H119" s="6" t="s">
        <v>35</v>
      </c>
      <c r="I119" s="7" t="s">
        <v>61</v>
      </c>
      <c r="J119" s="7" t="s">
        <v>107</v>
      </c>
      <c r="K119" s="6" t="s">
        <v>51</v>
      </c>
      <c r="L119" s="6" t="s">
        <v>63</v>
      </c>
      <c r="M119" s="7" t="s">
        <v>64</v>
      </c>
      <c r="N119" s="6" t="s">
        <v>41</v>
      </c>
      <c r="O119" s="14">
        <v>43448</v>
      </c>
      <c r="P119" s="6" t="s">
        <v>44</v>
      </c>
      <c r="Q119" s="7" t="s">
        <v>44</v>
      </c>
      <c r="R119" s="6" t="s">
        <v>44</v>
      </c>
      <c r="S119" s="6" t="s">
        <v>56</v>
      </c>
      <c r="T119" s="9">
        <v>57500</v>
      </c>
      <c r="U119" s="9">
        <v>12100</v>
      </c>
      <c r="V119" s="8">
        <v>0</v>
      </c>
      <c r="W119" s="8">
        <v>20</v>
      </c>
      <c r="X119" s="6" t="s">
        <v>57</v>
      </c>
      <c r="Y119" s="8">
        <v>10</v>
      </c>
      <c r="Z119" s="8">
        <v>14</v>
      </c>
      <c r="AA119" s="8">
        <v>0</v>
      </c>
      <c r="AB119" s="8">
        <v>0</v>
      </c>
      <c r="AC119" s="8">
        <v>2</v>
      </c>
      <c r="AD119" s="8">
        <v>18</v>
      </c>
      <c r="AE119" s="7" t="s">
        <v>58</v>
      </c>
      <c r="AG119">
        <f t="shared" ca="1" si="3"/>
        <v>7</v>
      </c>
      <c r="AH119" s="23" t="str" cm="1">
        <f t="array" ref="AH119">_xlfn.IFS(E119&gt;49,"50+",E119&gt;39,"40-49",E119&gt;29,"30-39",E119&gt;19,"20-29")</f>
        <v>30-39</v>
      </c>
      <c r="AI119" s="24" t="str" cm="1">
        <f t="array" aca="1" ref="AI119" ca="1">_xlfn.IFS(AG119&gt;10,"10+",AG119&gt;4,"5-10 YIL",AG119&gt;2,"3-5 YIL",AG119&gt;0.9,"1-3 YIL",AG119&lt;1,"0-1 YIL")</f>
        <v>5-10 YIL</v>
      </c>
      <c r="AJ119">
        <f t="shared" si="4"/>
        <v>2018</v>
      </c>
      <c r="AK119" t="e">
        <f t="shared" si="5"/>
        <v>#VALUE!</v>
      </c>
    </row>
    <row r="120" spans="1:37" x14ac:dyDescent="0.3">
      <c r="A120" s="2" t="s">
        <v>304</v>
      </c>
      <c r="B120" s="3" t="s">
        <v>305</v>
      </c>
      <c r="C120" s="2" t="s">
        <v>33</v>
      </c>
      <c r="D120" s="13">
        <v>32593</v>
      </c>
      <c r="E120" s="4">
        <v>37</v>
      </c>
      <c r="F120" s="2" t="s">
        <v>49</v>
      </c>
      <c r="G120" s="4">
        <v>1</v>
      </c>
      <c r="H120" s="2" t="s">
        <v>35</v>
      </c>
      <c r="I120" s="3" t="s">
        <v>148</v>
      </c>
      <c r="J120" s="3" t="s">
        <v>149</v>
      </c>
      <c r="K120" s="2" t="s">
        <v>51</v>
      </c>
      <c r="L120" s="2" t="s">
        <v>63</v>
      </c>
      <c r="M120" s="3" t="s">
        <v>150</v>
      </c>
      <c r="N120" s="2" t="s">
        <v>95</v>
      </c>
      <c r="O120" s="13">
        <v>44372</v>
      </c>
      <c r="P120" s="2" t="s">
        <v>44</v>
      </c>
      <c r="Q120" s="3" t="s">
        <v>44</v>
      </c>
      <c r="R120" s="2" t="s">
        <v>44</v>
      </c>
      <c r="S120" s="2" t="s">
        <v>56</v>
      </c>
      <c r="T120" s="5">
        <v>52200</v>
      </c>
      <c r="U120" s="5">
        <v>0</v>
      </c>
      <c r="V120" s="4">
        <v>2</v>
      </c>
      <c r="W120" s="4">
        <v>30</v>
      </c>
      <c r="X120" s="2" t="s">
        <v>44</v>
      </c>
      <c r="Y120" s="4">
        <v>0</v>
      </c>
      <c r="Z120" s="4">
        <v>12</v>
      </c>
      <c r="AA120" s="4">
        <v>0</v>
      </c>
      <c r="AB120" s="4">
        <v>0</v>
      </c>
      <c r="AC120" s="4">
        <v>3</v>
      </c>
      <c r="AD120" s="4">
        <v>16</v>
      </c>
      <c r="AE120" s="3" t="s">
        <v>82</v>
      </c>
      <c r="AG120">
        <f t="shared" ca="1" si="3"/>
        <v>5</v>
      </c>
      <c r="AH120" s="23" t="str" cm="1">
        <f t="array" ref="AH120">_xlfn.IFS(E120&gt;49,"50+",E120&gt;39,"40-49",E120&gt;29,"30-39",E120&gt;19,"20-29")</f>
        <v>30-39</v>
      </c>
      <c r="AI120" s="24" t="str" cm="1">
        <f t="array" aca="1" ref="AI120" ca="1">_xlfn.IFS(AG120&gt;10,"10+",AG120&gt;4,"5-10 YIL",AG120&gt;2,"3-5 YIL",AG120&gt;0.9,"1-3 YIL",AG120&lt;1,"0-1 YIL")</f>
        <v>5-10 YIL</v>
      </c>
      <c r="AJ120">
        <f t="shared" si="4"/>
        <v>2021</v>
      </c>
      <c r="AK120" t="e">
        <f t="shared" si="5"/>
        <v>#VALUE!</v>
      </c>
    </row>
    <row r="121" spans="1:37" x14ac:dyDescent="0.3">
      <c r="A121" s="6" t="s">
        <v>306</v>
      </c>
      <c r="B121" s="7" t="s">
        <v>307</v>
      </c>
      <c r="C121" s="6" t="s">
        <v>33</v>
      </c>
      <c r="D121" s="14">
        <v>33821</v>
      </c>
      <c r="E121" s="8">
        <v>34</v>
      </c>
      <c r="F121" s="6" t="s">
        <v>34</v>
      </c>
      <c r="G121" s="8">
        <v>0</v>
      </c>
      <c r="H121" s="6" t="s">
        <v>35</v>
      </c>
      <c r="I121" s="7" t="s">
        <v>61</v>
      </c>
      <c r="J121" s="7" t="s">
        <v>107</v>
      </c>
      <c r="K121" s="6" t="s">
        <v>51</v>
      </c>
      <c r="L121" s="6" t="s">
        <v>63</v>
      </c>
      <c r="M121" s="7" t="s">
        <v>64</v>
      </c>
      <c r="N121" s="6" t="s">
        <v>41</v>
      </c>
      <c r="O121" s="14">
        <v>43473</v>
      </c>
      <c r="P121" s="6" t="s">
        <v>44</v>
      </c>
      <c r="Q121" s="7" t="s">
        <v>44</v>
      </c>
      <c r="R121" s="6" t="s">
        <v>44</v>
      </c>
      <c r="S121" s="6" t="s">
        <v>56</v>
      </c>
      <c r="T121" s="9">
        <v>62200</v>
      </c>
      <c r="U121" s="9">
        <v>8300</v>
      </c>
      <c r="V121" s="8">
        <v>1</v>
      </c>
      <c r="W121" s="8">
        <v>29</v>
      </c>
      <c r="X121" s="6" t="s">
        <v>57</v>
      </c>
      <c r="Y121" s="8">
        <v>1</v>
      </c>
      <c r="Z121" s="8">
        <v>11</v>
      </c>
      <c r="AA121" s="8">
        <v>0</v>
      </c>
      <c r="AB121" s="8">
        <v>0</v>
      </c>
      <c r="AC121" s="8">
        <v>1</v>
      </c>
      <c r="AD121" s="8">
        <v>12</v>
      </c>
      <c r="AE121" s="7" t="s">
        <v>58</v>
      </c>
      <c r="AG121">
        <f t="shared" ca="1" si="3"/>
        <v>7</v>
      </c>
      <c r="AH121" s="23" t="str" cm="1">
        <f t="array" ref="AH121">_xlfn.IFS(E121&gt;49,"50+",E121&gt;39,"40-49",E121&gt;29,"30-39",E121&gt;19,"20-29")</f>
        <v>30-39</v>
      </c>
      <c r="AI121" s="24" t="str" cm="1">
        <f t="array" aca="1" ref="AI121" ca="1">_xlfn.IFS(AG121&gt;10,"10+",AG121&gt;4,"5-10 YIL",AG121&gt;2,"3-5 YIL",AG121&gt;0.9,"1-3 YIL",AG121&lt;1,"0-1 YIL")</f>
        <v>5-10 YIL</v>
      </c>
      <c r="AJ121">
        <f t="shared" si="4"/>
        <v>2019</v>
      </c>
      <c r="AK121" t="e">
        <f t="shared" si="5"/>
        <v>#VALUE!</v>
      </c>
    </row>
    <row r="122" spans="1:37" x14ac:dyDescent="0.3">
      <c r="A122" s="2" t="s">
        <v>308</v>
      </c>
      <c r="B122" s="3" t="s">
        <v>309</v>
      </c>
      <c r="C122" s="2" t="s">
        <v>33</v>
      </c>
      <c r="D122" s="13">
        <v>37065</v>
      </c>
      <c r="E122" s="4">
        <v>25</v>
      </c>
      <c r="F122" s="2" t="s">
        <v>49</v>
      </c>
      <c r="G122" s="4">
        <v>0</v>
      </c>
      <c r="H122" s="2" t="s">
        <v>85</v>
      </c>
      <c r="I122" s="3" t="s">
        <v>36</v>
      </c>
      <c r="J122" s="3" t="s">
        <v>37</v>
      </c>
      <c r="K122" s="2" t="s">
        <v>38</v>
      </c>
      <c r="L122" s="2" t="s">
        <v>39</v>
      </c>
      <c r="M122" s="3" t="s">
        <v>40</v>
      </c>
      <c r="N122" s="2" t="s">
        <v>52</v>
      </c>
      <c r="O122" s="13">
        <v>44829</v>
      </c>
      <c r="P122" s="2" t="s">
        <v>44</v>
      </c>
      <c r="Q122" s="3" t="s">
        <v>44</v>
      </c>
      <c r="R122" s="2" t="s">
        <v>44</v>
      </c>
      <c r="S122" s="2" t="s">
        <v>56</v>
      </c>
      <c r="T122" s="5">
        <v>26400</v>
      </c>
      <c r="U122" s="5">
        <v>0</v>
      </c>
      <c r="V122" s="4">
        <v>33</v>
      </c>
      <c r="W122" s="4">
        <v>30</v>
      </c>
      <c r="X122" s="2" t="s">
        <v>44</v>
      </c>
      <c r="Y122" s="4">
        <v>0</v>
      </c>
      <c r="Z122" s="4">
        <v>8</v>
      </c>
      <c r="AA122" s="4">
        <v>0</v>
      </c>
      <c r="AB122" s="4">
        <v>0</v>
      </c>
      <c r="AC122" s="4">
        <v>3</v>
      </c>
      <c r="AD122" s="4">
        <v>15</v>
      </c>
      <c r="AE122" s="3" t="s">
        <v>58</v>
      </c>
      <c r="AG122">
        <f t="shared" ca="1" si="3"/>
        <v>3</v>
      </c>
      <c r="AH122" s="23" t="str" cm="1">
        <f t="array" ref="AH122">_xlfn.IFS(E122&gt;49,"50+",E122&gt;39,"40-49",E122&gt;29,"30-39",E122&gt;19,"20-29")</f>
        <v>20-29</v>
      </c>
      <c r="AI122" s="24" t="str" cm="1">
        <f t="array" aca="1" ref="AI122" ca="1">_xlfn.IFS(AG122&gt;10,"10+",AG122&gt;4,"5-10 YIL",AG122&gt;2,"3-5 YIL",AG122&gt;0.9,"1-3 YIL",AG122&lt;1,"0-1 YIL")</f>
        <v>3-5 YIL</v>
      </c>
      <c r="AJ122">
        <f t="shared" si="4"/>
        <v>2022</v>
      </c>
      <c r="AK122" t="e">
        <f t="shared" si="5"/>
        <v>#VALUE!</v>
      </c>
    </row>
    <row r="123" spans="1:37" x14ac:dyDescent="0.3">
      <c r="A123" s="6" t="s">
        <v>310</v>
      </c>
      <c r="B123" s="7" t="s">
        <v>311</v>
      </c>
      <c r="C123" s="6" t="s">
        <v>48</v>
      </c>
      <c r="D123" s="14">
        <v>37994</v>
      </c>
      <c r="E123" s="8">
        <v>22</v>
      </c>
      <c r="F123" s="6" t="s">
        <v>49</v>
      </c>
      <c r="G123" s="8">
        <v>2</v>
      </c>
      <c r="H123" s="6" t="s">
        <v>35</v>
      </c>
      <c r="I123" s="7" t="s">
        <v>139</v>
      </c>
      <c r="J123" s="7" t="s">
        <v>235</v>
      </c>
      <c r="K123" s="6" t="s">
        <v>38</v>
      </c>
      <c r="L123" s="6" t="s">
        <v>63</v>
      </c>
      <c r="M123" s="7" t="s">
        <v>162</v>
      </c>
      <c r="N123" s="6" t="s">
        <v>52</v>
      </c>
      <c r="O123" s="14">
        <v>46027</v>
      </c>
      <c r="P123" s="6" t="s">
        <v>44</v>
      </c>
      <c r="Q123" s="7" t="s">
        <v>44</v>
      </c>
      <c r="R123" s="6" t="s">
        <v>44</v>
      </c>
      <c r="S123" s="6" t="s">
        <v>56</v>
      </c>
      <c r="T123" s="9">
        <v>43000</v>
      </c>
      <c r="U123" s="9">
        <v>0</v>
      </c>
      <c r="V123" s="8">
        <v>6</v>
      </c>
      <c r="W123" s="8">
        <v>30</v>
      </c>
      <c r="X123" s="6" t="s">
        <v>44</v>
      </c>
      <c r="Y123" s="8">
        <v>0</v>
      </c>
      <c r="Z123" s="8">
        <v>0</v>
      </c>
      <c r="AA123" s="8">
        <v>0</v>
      </c>
      <c r="AB123" s="8">
        <v>0</v>
      </c>
      <c r="AC123" s="8">
        <v>3</v>
      </c>
      <c r="AD123" s="8">
        <v>12</v>
      </c>
      <c r="AE123" s="7" t="s">
        <v>73</v>
      </c>
      <c r="AG123">
        <f t="shared" ca="1" si="3"/>
        <v>0</v>
      </c>
      <c r="AH123" s="23" t="str" cm="1">
        <f t="array" ref="AH123">_xlfn.IFS(E123&gt;49,"50+",E123&gt;39,"40-49",E123&gt;29,"30-39",E123&gt;19,"20-29")</f>
        <v>20-29</v>
      </c>
      <c r="AI123" s="24" t="str" cm="1">
        <f t="array" aca="1" ref="AI123" ca="1">_xlfn.IFS(AG123&gt;10,"10+",AG123&gt;4,"5-10 YIL",AG123&gt;2,"3-5 YIL",AG123&gt;0.9,"1-3 YIL",AG123&lt;1,"0-1 YIL")</f>
        <v>0-1 YIL</v>
      </c>
      <c r="AJ123">
        <f t="shared" si="4"/>
        <v>2026</v>
      </c>
      <c r="AK123" t="e">
        <f t="shared" si="5"/>
        <v>#VALUE!</v>
      </c>
    </row>
    <row r="124" spans="1:37" x14ac:dyDescent="0.3">
      <c r="A124" s="2" t="s">
        <v>312</v>
      </c>
      <c r="B124" s="3" t="s">
        <v>313</v>
      </c>
      <c r="C124" s="2" t="s">
        <v>48</v>
      </c>
      <c r="D124" s="13">
        <v>37494</v>
      </c>
      <c r="E124" s="4">
        <v>24</v>
      </c>
      <c r="F124" s="2" t="s">
        <v>49</v>
      </c>
      <c r="G124" s="4">
        <v>2</v>
      </c>
      <c r="H124" s="2" t="s">
        <v>35</v>
      </c>
      <c r="I124" s="3" t="s">
        <v>70</v>
      </c>
      <c r="J124" s="3" t="s">
        <v>92</v>
      </c>
      <c r="K124" s="2" t="s">
        <v>38</v>
      </c>
      <c r="L124" s="2" t="s">
        <v>63</v>
      </c>
      <c r="M124" s="3" t="s">
        <v>72</v>
      </c>
      <c r="N124" s="2" t="s">
        <v>41</v>
      </c>
      <c r="O124" s="13">
        <v>45696</v>
      </c>
      <c r="P124" s="2" t="s">
        <v>44</v>
      </c>
      <c r="Q124" s="3" t="s">
        <v>44</v>
      </c>
      <c r="R124" s="2" t="s">
        <v>44</v>
      </c>
      <c r="S124" s="2" t="s">
        <v>56</v>
      </c>
      <c r="T124" s="5">
        <v>33300</v>
      </c>
      <c r="U124" s="5">
        <v>0</v>
      </c>
      <c r="V124" s="4">
        <v>4</v>
      </c>
      <c r="W124" s="4">
        <v>29</v>
      </c>
      <c r="X124" s="2" t="s">
        <v>57</v>
      </c>
      <c r="Y124" s="4">
        <v>1</v>
      </c>
      <c r="Z124" s="4">
        <v>7</v>
      </c>
      <c r="AA124" s="4">
        <v>0</v>
      </c>
      <c r="AB124" s="4">
        <v>0</v>
      </c>
      <c r="AC124" s="4">
        <v>4</v>
      </c>
      <c r="AD124" s="4">
        <v>39</v>
      </c>
      <c r="AE124" s="3" t="s">
        <v>58</v>
      </c>
      <c r="AG124">
        <f t="shared" ca="1" si="3"/>
        <v>1</v>
      </c>
      <c r="AH124" s="23" t="str" cm="1">
        <f t="array" ref="AH124">_xlfn.IFS(E124&gt;49,"50+",E124&gt;39,"40-49",E124&gt;29,"30-39",E124&gt;19,"20-29")</f>
        <v>20-29</v>
      </c>
      <c r="AI124" s="24" t="str" cm="1">
        <f t="array" aca="1" ref="AI124" ca="1">_xlfn.IFS(AG124&gt;10,"10+",AG124&gt;4,"5-10 YIL",AG124&gt;2,"3-5 YIL",AG124&gt;0.9,"1-3 YIL",AG124&lt;1,"0-1 YIL")</f>
        <v>1-3 YIL</v>
      </c>
      <c r="AJ124">
        <f t="shared" si="4"/>
        <v>2025</v>
      </c>
      <c r="AK124" t="e">
        <f t="shared" si="5"/>
        <v>#VALUE!</v>
      </c>
    </row>
    <row r="125" spans="1:37" x14ac:dyDescent="0.3">
      <c r="A125" s="6" t="s">
        <v>314</v>
      </c>
      <c r="B125" s="7" t="s">
        <v>315</v>
      </c>
      <c r="C125" s="6" t="s">
        <v>48</v>
      </c>
      <c r="D125" s="14">
        <v>34184</v>
      </c>
      <c r="E125" s="8">
        <v>33</v>
      </c>
      <c r="F125" s="6" t="s">
        <v>34</v>
      </c>
      <c r="G125" s="8">
        <v>0</v>
      </c>
      <c r="H125" s="6" t="s">
        <v>88</v>
      </c>
      <c r="I125" s="7" t="s">
        <v>139</v>
      </c>
      <c r="J125" s="7" t="s">
        <v>161</v>
      </c>
      <c r="K125" s="6" t="s">
        <v>51</v>
      </c>
      <c r="L125" s="6" t="s">
        <v>63</v>
      </c>
      <c r="M125" s="7" t="s">
        <v>162</v>
      </c>
      <c r="N125" s="6" t="s">
        <v>41</v>
      </c>
      <c r="O125" s="14">
        <v>44160</v>
      </c>
      <c r="P125" s="6" t="s">
        <v>44</v>
      </c>
      <c r="Q125" s="7" t="s">
        <v>44</v>
      </c>
      <c r="R125" s="6" t="s">
        <v>44</v>
      </c>
      <c r="S125" s="6" t="s">
        <v>56</v>
      </c>
      <c r="T125" s="9">
        <v>81700</v>
      </c>
      <c r="U125" s="9">
        <v>0</v>
      </c>
      <c r="V125" s="8">
        <v>5</v>
      </c>
      <c r="W125" s="8">
        <v>30</v>
      </c>
      <c r="X125" s="6" t="s">
        <v>44</v>
      </c>
      <c r="Y125" s="8">
        <v>0</v>
      </c>
      <c r="Z125" s="8">
        <v>6</v>
      </c>
      <c r="AA125" s="8">
        <v>0</v>
      </c>
      <c r="AB125" s="8">
        <v>0</v>
      </c>
      <c r="AC125" s="8">
        <v>4</v>
      </c>
      <c r="AD125" s="8">
        <v>39</v>
      </c>
      <c r="AE125" s="7" t="s">
        <v>58</v>
      </c>
      <c r="AG125">
        <f t="shared" ca="1" si="3"/>
        <v>5</v>
      </c>
      <c r="AH125" s="23" t="str" cm="1">
        <f t="array" ref="AH125">_xlfn.IFS(E125&gt;49,"50+",E125&gt;39,"40-49",E125&gt;29,"30-39",E125&gt;19,"20-29")</f>
        <v>30-39</v>
      </c>
      <c r="AI125" s="24" t="str" cm="1">
        <f t="array" aca="1" ref="AI125" ca="1">_xlfn.IFS(AG125&gt;10,"10+",AG125&gt;4,"5-10 YIL",AG125&gt;2,"3-5 YIL",AG125&gt;0.9,"1-3 YIL",AG125&lt;1,"0-1 YIL")</f>
        <v>5-10 YIL</v>
      </c>
      <c r="AJ125">
        <f t="shared" si="4"/>
        <v>2020</v>
      </c>
      <c r="AK125" t="e">
        <f t="shared" si="5"/>
        <v>#VALUE!</v>
      </c>
    </row>
    <row r="126" spans="1:37" x14ac:dyDescent="0.3">
      <c r="A126" s="2" t="s">
        <v>316</v>
      </c>
      <c r="B126" s="3" t="s">
        <v>317</v>
      </c>
      <c r="C126" s="2" t="s">
        <v>33</v>
      </c>
      <c r="D126" s="13">
        <v>25361</v>
      </c>
      <c r="E126" s="4">
        <v>57</v>
      </c>
      <c r="F126" s="2" t="s">
        <v>49</v>
      </c>
      <c r="G126" s="4">
        <v>0</v>
      </c>
      <c r="H126" s="2" t="s">
        <v>35</v>
      </c>
      <c r="I126" s="3" t="s">
        <v>61</v>
      </c>
      <c r="J126" s="3" t="s">
        <v>124</v>
      </c>
      <c r="K126" s="2" t="s">
        <v>79</v>
      </c>
      <c r="L126" s="2" t="s">
        <v>63</v>
      </c>
      <c r="M126" s="3" t="s">
        <v>80</v>
      </c>
      <c r="N126" s="2" t="s">
        <v>41</v>
      </c>
      <c r="O126" s="13">
        <v>40643</v>
      </c>
      <c r="P126" s="2" t="s">
        <v>44</v>
      </c>
      <c r="Q126" s="3" t="s">
        <v>44</v>
      </c>
      <c r="R126" s="2" t="s">
        <v>44</v>
      </c>
      <c r="S126" s="2" t="s">
        <v>56</v>
      </c>
      <c r="T126" s="5">
        <v>111300</v>
      </c>
      <c r="U126" s="5">
        <v>0</v>
      </c>
      <c r="V126" s="4">
        <v>2</v>
      </c>
      <c r="W126" s="4">
        <v>30</v>
      </c>
      <c r="X126" s="2" t="s">
        <v>44</v>
      </c>
      <c r="Y126" s="4">
        <v>0</v>
      </c>
      <c r="Z126" s="4">
        <v>5</v>
      </c>
      <c r="AA126" s="4">
        <v>0</v>
      </c>
      <c r="AB126" s="4">
        <v>0</v>
      </c>
      <c r="AC126" s="4">
        <v>2</v>
      </c>
      <c r="AD126" s="4">
        <v>11</v>
      </c>
      <c r="AE126" s="3" t="s">
        <v>58</v>
      </c>
      <c r="AG126">
        <f t="shared" ca="1" si="3"/>
        <v>15</v>
      </c>
      <c r="AH126" s="23" t="str" cm="1">
        <f t="array" ref="AH126">_xlfn.IFS(E126&gt;49,"50+",E126&gt;39,"40-49",E126&gt;29,"30-39",E126&gt;19,"20-29")</f>
        <v>50+</v>
      </c>
      <c r="AI126" s="24" t="str" cm="1">
        <f t="array" aca="1" ref="AI126" ca="1">_xlfn.IFS(AG126&gt;10,"10+",AG126&gt;4,"5-10 YIL",AG126&gt;2,"3-5 YIL",AG126&gt;0.9,"1-3 YIL",AG126&lt;1,"0-1 YIL")</f>
        <v>10+</v>
      </c>
      <c r="AJ126">
        <f t="shared" si="4"/>
        <v>2011</v>
      </c>
      <c r="AK126" t="e">
        <f t="shared" si="5"/>
        <v>#VALUE!</v>
      </c>
    </row>
    <row r="127" spans="1:37" x14ac:dyDescent="0.3">
      <c r="A127" s="6" t="s">
        <v>318</v>
      </c>
      <c r="B127" s="7" t="s">
        <v>319</v>
      </c>
      <c r="C127" s="6" t="s">
        <v>48</v>
      </c>
      <c r="D127" s="14">
        <v>25895</v>
      </c>
      <c r="E127" s="8">
        <v>56</v>
      </c>
      <c r="F127" s="6" t="s">
        <v>34</v>
      </c>
      <c r="G127" s="8">
        <v>0</v>
      </c>
      <c r="H127" s="6" t="s">
        <v>35</v>
      </c>
      <c r="I127" s="7" t="s">
        <v>148</v>
      </c>
      <c r="J127" s="7" t="s">
        <v>197</v>
      </c>
      <c r="K127" s="6" t="s">
        <v>79</v>
      </c>
      <c r="L127" s="6" t="s">
        <v>63</v>
      </c>
      <c r="M127" s="7" t="s">
        <v>80</v>
      </c>
      <c r="N127" s="6" t="s">
        <v>95</v>
      </c>
      <c r="O127" s="14">
        <v>42988</v>
      </c>
      <c r="P127" s="6" t="s">
        <v>44</v>
      </c>
      <c r="Q127" s="7" t="s">
        <v>44</v>
      </c>
      <c r="R127" s="6" t="s">
        <v>44</v>
      </c>
      <c r="S127" s="6" t="s">
        <v>56</v>
      </c>
      <c r="T127" s="9">
        <v>104900</v>
      </c>
      <c r="U127" s="9">
        <v>0</v>
      </c>
      <c r="V127" s="8">
        <v>1</v>
      </c>
      <c r="W127" s="8">
        <v>29</v>
      </c>
      <c r="X127" s="6" t="s">
        <v>57</v>
      </c>
      <c r="Y127" s="8">
        <v>1</v>
      </c>
      <c r="Z127" s="8">
        <v>0</v>
      </c>
      <c r="AA127" s="8">
        <v>0</v>
      </c>
      <c r="AB127" s="8">
        <v>0</v>
      </c>
      <c r="AC127" s="8">
        <v>3</v>
      </c>
      <c r="AD127" s="8">
        <v>18</v>
      </c>
      <c r="AE127" s="7" t="s">
        <v>58</v>
      </c>
      <c r="AG127">
        <f t="shared" ca="1" si="3"/>
        <v>8</v>
      </c>
      <c r="AH127" s="23" t="str" cm="1">
        <f t="array" ref="AH127">_xlfn.IFS(E127&gt;49,"50+",E127&gt;39,"40-49",E127&gt;29,"30-39",E127&gt;19,"20-29")</f>
        <v>50+</v>
      </c>
      <c r="AI127" s="24" t="str" cm="1">
        <f t="array" aca="1" ref="AI127" ca="1">_xlfn.IFS(AG127&gt;10,"10+",AG127&gt;4,"5-10 YIL",AG127&gt;2,"3-5 YIL",AG127&gt;0.9,"1-3 YIL",AG127&lt;1,"0-1 YIL")</f>
        <v>5-10 YIL</v>
      </c>
      <c r="AJ127">
        <f t="shared" si="4"/>
        <v>2017</v>
      </c>
      <c r="AK127" t="e">
        <f t="shared" si="5"/>
        <v>#VALUE!</v>
      </c>
    </row>
    <row r="128" spans="1:37" x14ac:dyDescent="0.3">
      <c r="A128" s="2" t="s">
        <v>320</v>
      </c>
      <c r="B128" s="3" t="s">
        <v>321</v>
      </c>
      <c r="C128" s="2" t="s">
        <v>33</v>
      </c>
      <c r="D128" s="13">
        <v>32153</v>
      </c>
      <c r="E128" s="4">
        <v>38</v>
      </c>
      <c r="F128" s="2" t="s">
        <v>34</v>
      </c>
      <c r="G128" s="4">
        <v>0</v>
      </c>
      <c r="H128" s="2" t="s">
        <v>35</v>
      </c>
      <c r="I128" s="3" t="s">
        <v>36</v>
      </c>
      <c r="J128" s="3" t="s">
        <v>50</v>
      </c>
      <c r="K128" s="2" t="s">
        <v>51</v>
      </c>
      <c r="L128" s="2" t="s">
        <v>39</v>
      </c>
      <c r="M128" s="3" t="s">
        <v>40</v>
      </c>
      <c r="N128" s="2" t="s">
        <v>41</v>
      </c>
      <c r="O128" s="13">
        <v>42010</v>
      </c>
      <c r="P128" s="2" t="s">
        <v>44</v>
      </c>
      <c r="Q128" s="3" t="s">
        <v>44</v>
      </c>
      <c r="R128" s="2" t="s">
        <v>44</v>
      </c>
      <c r="S128" s="2" t="s">
        <v>56</v>
      </c>
      <c r="T128" s="5">
        <v>44900</v>
      </c>
      <c r="U128" s="5">
        <v>0</v>
      </c>
      <c r="V128" s="4">
        <v>13</v>
      </c>
      <c r="W128" s="4">
        <v>29</v>
      </c>
      <c r="X128" s="2" t="s">
        <v>57</v>
      </c>
      <c r="Y128" s="4">
        <v>1</v>
      </c>
      <c r="Z128" s="4">
        <v>12</v>
      </c>
      <c r="AA128" s="4">
        <v>0</v>
      </c>
      <c r="AB128" s="4">
        <v>0</v>
      </c>
      <c r="AC128" s="4">
        <v>3</v>
      </c>
      <c r="AD128" s="4">
        <v>13</v>
      </c>
      <c r="AE128" s="3" t="s">
        <v>58</v>
      </c>
      <c r="AG128">
        <f t="shared" ca="1" si="3"/>
        <v>11</v>
      </c>
      <c r="AH128" s="23" t="str" cm="1">
        <f t="array" ref="AH128">_xlfn.IFS(E128&gt;49,"50+",E128&gt;39,"40-49",E128&gt;29,"30-39",E128&gt;19,"20-29")</f>
        <v>30-39</v>
      </c>
      <c r="AI128" s="24" t="str" cm="1">
        <f t="array" aca="1" ref="AI128" ca="1">_xlfn.IFS(AG128&gt;10,"10+",AG128&gt;4,"5-10 YIL",AG128&gt;2,"3-5 YIL",AG128&gt;0.9,"1-3 YIL",AG128&lt;1,"0-1 YIL")</f>
        <v>10+</v>
      </c>
      <c r="AJ128">
        <f t="shared" si="4"/>
        <v>2015</v>
      </c>
      <c r="AK128" t="e">
        <f t="shared" si="5"/>
        <v>#VALUE!</v>
      </c>
    </row>
    <row r="129" spans="1:37" x14ac:dyDescent="0.3">
      <c r="A129" s="6" t="s">
        <v>322</v>
      </c>
      <c r="B129" s="7" t="s">
        <v>323</v>
      </c>
      <c r="C129" s="6" t="s">
        <v>33</v>
      </c>
      <c r="D129" s="14">
        <v>37377</v>
      </c>
      <c r="E129" s="8">
        <v>24</v>
      </c>
      <c r="F129" s="6" t="s">
        <v>49</v>
      </c>
      <c r="G129" s="8">
        <v>3</v>
      </c>
      <c r="H129" s="6" t="s">
        <v>85</v>
      </c>
      <c r="I129" s="7" t="s">
        <v>36</v>
      </c>
      <c r="J129" s="7" t="s">
        <v>37</v>
      </c>
      <c r="K129" s="6" t="s">
        <v>38</v>
      </c>
      <c r="L129" s="6" t="s">
        <v>39</v>
      </c>
      <c r="M129" s="7" t="s">
        <v>40</v>
      </c>
      <c r="N129" s="6" t="s">
        <v>67</v>
      </c>
      <c r="O129" s="14">
        <v>46150</v>
      </c>
      <c r="P129" s="6" t="s">
        <v>44</v>
      </c>
      <c r="Q129" s="7" t="s">
        <v>44</v>
      </c>
      <c r="R129" s="6" t="s">
        <v>44</v>
      </c>
      <c r="S129" s="6" t="s">
        <v>56</v>
      </c>
      <c r="T129" s="9">
        <v>27300</v>
      </c>
      <c r="U129" s="9">
        <v>0</v>
      </c>
      <c r="V129" s="8">
        <v>39</v>
      </c>
      <c r="W129" s="8">
        <v>30</v>
      </c>
      <c r="X129" s="6" t="s">
        <v>44</v>
      </c>
      <c r="Y129" s="8">
        <v>0</v>
      </c>
      <c r="Z129" s="8">
        <v>0</v>
      </c>
      <c r="AA129" s="8">
        <v>0</v>
      </c>
      <c r="AB129" s="8">
        <v>0</v>
      </c>
      <c r="AC129" s="8">
        <v>5</v>
      </c>
      <c r="AD129" s="8">
        <v>28</v>
      </c>
      <c r="AE129" s="7" t="s">
        <v>58</v>
      </c>
      <c r="AG129">
        <f t="shared" ca="1" si="3"/>
        <v>0</v>
      </c>
      <c r="AH129" s="23" t="str" cm="1">
        <f t="array" ref="AH129">_xlfn.IFS(E129&gt;49,"50+",E129&gt;39,"40-49",E129&gt;29,"30-39",E129&gt;19,"20-29")</f>
        <v>20-29</v>
      </c>
      <c r="AI129" s="24" t="str" cm="1">
        <f t="array" aca="1" ref="AI129" ca="1">_xlfn.IFS(AG129&gt;10,"10+",AG129&gt;4,"5-10 YIL",AG129&gt;2,"3-5 YIL",AG129&gt;0.9,"1-3 YIL",AG129&lt;1,"0-1 YIL")</f>
        <v>0-1 YIL</v>
      </c>
      <c r="AJ129">
        <f t="shared" si="4"/>
        <v>2026</v>
      </c>
      <c r="AK129" t="e">
        <f t="shared" si="5"/>
        <v>#VALUE!</v>
      </c>
    </row>
    <row r="130" spans="1:37" x14ac:dyDescent="0.3">
      <c r="A130" s="2" t="s">
        <v>324</v>
      </c>
      <c r="B130" s="3" t="s">
        <v>325</v>
      </c>
      <c r="C130" s="2" t="s">
        <v>48</v>
      </c>
      <c r="D130" s="13">
        <v>28988</v>
      </c>
      <c r="E130" s="4">
        <v>47</v>
      </c>
      <c r="F130" s="2" t="s">
        <v>49</v>
      </c>
      <c r="G130" s="4">
        <v>0</v>
      </c>
      <c r="H130" s="2" t="s">
        <v>35</v>
      </c>
      <c r="I130" s="3" t="s">
        <v>139</v>
      </c>
      <c r="J130" s="3" t="s">
        <v>140</v>
      </c>
      <c r="K130" s="2" t="s">
        <v>79</v>
      </c>
      <c r="L130" s="2" t="s">
        <v>63</v>
      </c>
      <c r="M130" s="3" t="s">
        <v>80</v>
      </c>
      <c r="N130" s="2" t="s">
        <v>95</v>
      </c>
      <c r="O130" s="13">
        <v>43883</v>
      </c>
      <c r="P130" s="2" t="s">
        <v>44</v>
      </c>
      <c r="Q130" s="3" t="s">
        <v>44</v>
      </c>
      <c r="R130" s="2" t="s">
        <v>44</v>
      </c>
      <c r="S130" s="2" t="s">
        <v>56</v>
      </c>
      <c r="T130" s="5">
        <v>119100</v>
      </c>
      <c r="U130" s="5">
        <v>0</v>
      </c>
      <c r="V130" s="4">
        <v>7</v>
      </c>
      <c r="W130" s="4">
        <v>30</v>
      </c>
      <c r="X130" s="2" t="s">
        <v>44</v>
      </c>
      <c r="Y130" s="4">
        <v>0</v>
      </c>
      <c r="Z130" s="4">
        <v>6</v>
      </c>
      <c r="AA130" s="4">
        <v>0</v>
      </c>
      <c r="AB130" s="4">
        <v>0</v>
      </c>
      <c r="AC130" s="4">
        <v>3</v>
      </c>
      <c r="AD130" s="4">
        <v>3</v>
      </c>
      <c r="AE130" s="3" t="s">
        <v>58</v>
      </c>
      <c r="AG130">
        <f t="shared" ca="1" si="3"/>
        <v>6</v>
      </c>
      <c r="AH130" s="23" t="str" cm="1">
        <f t="array" ref="AH130">_xlfn.IFS(E130&gt;49,"50+",E130&gt;39,"40-49",E130&gt;29,"30-39",E130&gt;19,"20-29")</f>
        <v>40-49</v>
      </c>
      <c r="AI130" s="24" t="str" cm="1">
        <f t="array" aca="1" ref="AI130" ca="1">_xlfn.IFS(AG130&gt;10,"10+",AG130&gt;4,"5-10 YIL",AG130&gt;2,"3-5 YIL",AG130&gt;0.9,"1-3 YIL",AG130&lt;1,"0-1 YIL")</f>
        <v>5-10 YIL</v>
      </c>
      <c r="AJ130">
        <f t="shared" si="4"/>
        <v>2020</v>
      </c>
      <c r="AK130" t="e">
        <f t="shared" si="5"/>
        <v>#VALUE!</v>
      </c>
    </row>
    <row r="131" spans="1:37" x14ac:dyDescent="0.3">
      <c r="A131" s="6" t="s">
        <v>326</v>
      </c>
      <c r="B131" s="7" t="s">
        <v>55</v>
      </c>
      <c r="C131" s="6" t="s">
        <v>48</v>
      </c>
      <c r="D131" s="14">
        <v>35926</v>
      </c>
      <c r="E131" s="8">
        <v>28</v>
      </c>
      <c r="F131" s="6" t="s">
        <v>34</v>
      </c>
      <c r="G131" s="8">
        <v>0</v>
      </c>
      <c r="H131" s="6" t="s">
        <v>184</v>
      </c>
      <c r="I131" s="7" t="s">
        <v>61</v>
      </c>
      <c r="J131" s="7" t="s">
        <v>107</v>
      </c>
      <c r="K131" s="6" t="s">
        <v>51</v>
      </c>
      <c r="L131" s="6" t="s">
        <v>63</v>
      </c>
      <c r="M131" s="7" t="s">
        <v>64</v>
      </c>
      <c r="N131" s="6" t="s">
        <v>41</v>
      </c>
      <c r="O131" s="14">
        <v>43756</v>
      </c>
      <c r="P131" s="6" t="s">
        <v>44</v>
      </c>
      <c r="Q131" s="7" t="s">
        <v>44</v>
      </c>
      <c r="R131" s="6" t="s">
        <v>44</v>
      </c>
      <c r="S131" s="6" t="s">
        <v>56</v>
      </c>
      <c r="T131" s="9">
        <v>61300</v>
      </c>
      <c r="U131" s="9">
        <v>18100</v>
      </c>
      <c r="V131" s="8">
        <v>4</v>
      </c>
      <c r="W131" s="8">
        <v>29</v>
      </c>
      <c r="X131" s="6" t="s">
        <v>57</v>
      </c>
      <c r="Y131" s="8">
        <v>1</v>
      </c>
      <c r="Z131" s="8">
        <v>5</v>
      </c>
      <c r="AA131" s="8">
        <v>0</v>
      </c>
      <c r="AB131" s="8">
        <v>0</v>
      </c>
      <c r="AC131" s="8">
        <v>3</v>
      </c>
      <c r="AD131" s="8">
        <v>18</v>
      </c>
      <c r="AE131" s="7" t="s">
        <v>45</v>
      </c>
      <c r="AG131">
        <f t="shared" ref="AG131:AG194" ca="1" si="6">DATEDIF(O131,TODAY(),"Y")</f>
        <v>6</v>
      </c>
      <c r="AH131" s="23" t="str" cm="1">
        <f t="array" ref="AH131">_xlfn.IFS(E131&gt;49,"50+",E131&gt;39,"40-49",E131&gt;29,"30-39",E131&gt;19,"20-29")</f>
        <v>20-29</v>
      </c>
      <c r="AI131" s="24" t="str" cm="1">
        <f t="array" aca="1" ref="AI131" ca="1">_xlfn.IFS(AG131&gt;10,"10+",AG131&gt;4,"5-10 YIL",AG131&gt;2,"3-5 YIL",AG131&gt;0.9,"1-3 YIL",AG131&lt;1,"0-1 YIL")</f>
        <v>5-10 YIL</v>
      </c>
      <c r="AJ131">
        <f t="shared" ref="AJ131:AJ194" si="7">YEAR(O131)</f>
        <v>2019</v>
      </c>
      <c r="AK131" t="e">
        <f t="shared" ref="AK131:AK194" si="8">YEAR(P131)</f>
        <v>#VALUE!</v>
      </c>
    </row>
    <row r="132" spans="1:37" x14ac:dyDescent="0.3">
      <c r="A132" s="2" t="s">
        <v>327</v>
      </c>
      <c r="B132" s="3" t="s">
        <v>192</v>
      </c>
      <c r="C132" s="2" t="s">
        <v>33</v>
      </c>
      <c r="D132" s="13">
        <v>31525</v>
      </c>
      <c r="E132" s="4">
        <v>40</v>
      </c>
      <c r="F132" s="2" t="s">
        <v>49</v>
      </c>
      <c r="G132" s="4">
        <v>1</v>
      </c>
      <c r="H132" s="2" t="s">
        <v>35</v>
      </c>
      <c r="I132" s="3" t="s">
        <v>36</v>
      </c>
      <c r="J132" s="3" t="s">
        <v>78</v>
      </c>
      <c r="K132" s="2" t="s">
        <v>79</v>
      </c>
      <c r="L132" s="2" t="s">
        <v>63</v>
      </c>
      <c r="M132" s="3" t="s">
        <v>80</v>
      </c>
      <c r="N132" s="2" t="s">
        <v>41</v>
      </c>
      <c r="O132" s="13">
        <v>44192</v>
      </c>
      <c r="P132" s="2" t="s">
        <v>44</v>
      </c>
      <c r="Q132" s="3" t="s">
        <v>44</v>
      </c>
      <c r="R132" s="2" t="s">
        <v>44</v>
      </c>
      <c r="S132" s="2" t="s">
        <v>56</v>
      </c>
      <c r="T132" s="5">
        <v>94400</v>
      </c>
      <c r="U132" s="5">
        <v>0</v>
      </c>
      <c r="V132" s="4">
        <v>9</v>
      </c>
      <c r="W132" s="4">
        <v>28</v>
      </c>
      <c r="X132" s="2" t="s">
        <v>57</v>
      </c>
      <c r="Y132" s="4">
        <v>2</v>
      </c>
      <c r="Z132" s="4">
        <v>9</v>
      </c>
      <c r="AA132" s="4">
        <v>0</v>
      </c>
      <c r="AB132" s="4">
        <v>0</v>
      </c>
      <c r="AC132" s="4">
        <v>4</v>
      </c>
      <c r="AD132" s="4">
        <v>20</v>
      </c>
      <c r="AE132" s="3" t="s">
        <v>45</v>
      </c>
      <c r="AG132">
        <f t="shared" ca="1" si="6"/>
        <v>5</v>
      </c>
      <c r="AH132" s="23" t="str" cm="1">
        <f t="array" ref="AH132">_xlfn.IFS(E132&gt;49,"50+",E132&gt;39,"40-49",E132&gt;29,"30-39",E132&gt;19,"20-29")</f>
        <v>40-49</v>
      </c>
      <c r="AI132" s="24" t="str" cm="1">
        <f t="array" aca="1" ref="AI132" ca="1">_xlfn.IFS(AG132&gt;10,"10+",AG132&gt;4,"5-10 YIL",AG132&gt;2,"3-5 YIL",AG132&gt;0.9,"1-3 YIL",AG132&lt;1,"0-1 YIL")</f>
        <v>5-10 YIL</v>
      </c>
      <c r="AJ132">
        <f t="shared" si="7"/>
        <v>2020</v>
      </c>
      <c r="AK132" t="e">
        <f t="shared" si="8"/>
        <v>#VALUE!</v>
      </c>
    </row>
    <row r="133" spans="1:37" x14ac:dyDescent="0.3">
      <c r="A133" s="6" t="s">
        <v>328</v>
      </c>
      <c r="B133" s="7" t="s">
        <v>329</v>
      </c>
      <c r="C133" s="6" t="s">
        <v>33</v>
      </c>
      <c r="D133" s="14">
        <v>37359</v>
      </c>
      <c r="E133" s="8">
        <v>24</v>
      </c>
      <c r="F133" s="6" t="s">
        <v>34</v>
      </c>
      <c r="G133" s="8">
        <v>0</v>
      </c>
      <c r="H133" s="6" t="s">
        <v>35</v>
      </c>
      <c r="I133" s="7" t="s">
        <v>36</v>
      </c>
      <c r="J133" s="7" t="s">
        <v>37</v>
      </c>
      <c r="K133" s="6" t="s">
        <v>38</v>
      </c>
      <c r="L133" s="6" t="s">
        <v>39</v>
      </c>
      <c r="M133" s="7" t="s">
        <v>40</v>
      </c>
      <c r="N133" s="6" t="s">
        <v>41</v>
      </c>
      <c r="O133" s="14">
        <v>46039</v>
      </c>
      <c r="P133" s="6" t="s">
        <v>44</v>
      </c>
      <c r="Q133" s="7" t="s">
        <v>44</v>
      </c>
      <c r="R133" s="6" t="s">
        <v>44</v>
      </c>
      <c r="S133" s="6" t="s">
        <v>56</v>
      </c>
      <c r="T133" s="9">
        <v>26500</v>
      </c>
      <c r="U133" s="9">
        <v>0</v>
      </c>
      <c r="V133" s="8">
        <v>17</v>
      </c>
      <c r="W133" s="8">
        <v>29</v>
      </c>
      <c r="X133" s="6" t="s">
        <v>57</v>
      </c>
      <c r="Y133" s="8">
        <v>1</v>
      </c>
      <c r="Z133" s="8">
        <v>0</v>
      </c>
      <c r="AA133" s="8">
        <v>0</v>
      </c>
      <c r="AB133" s="8">
        <v>0</v>
      </c>
      <c r="AC133" s="8">
        <v>3</v>
      </c>
      <c r="AD133" s="8">
        <v>5</v>
      </c>
      <c r="AE133" s="7" t="s">
        <v>73</v>
      </c>
      <c r="AG133">
        <f t="shared" ca="1" si="6"/>
        <v>0</v>
      </c>
      <c r="AH133" s="23" t="str" cm="1">
        <f t="array" ref="AH133">_xlfn.IFS(E133&gt;49,"50+",E133&gt;39,"40-49",E133&gt;29,"30-39",E133&gt;19,"20-29")</f>
        <v>20-29</v>
      </c>
      <c r="AI133" s="24" t="str" cm="1">
        <f t="array" aca="1" ref="AI133" ca="1">_xlfn.IFS(AG133&gt;10,"10+",AG133&gt;4,"5-10 YIL",AG133&gt;2,"3-5 YIL",AG133&gt;0.9,"1-3 YIL",AG133&lt;1,"0-1 YIL")</f>
        <v>0-1 YIL</v>
      </c>
      <c r="AJ133">
        <f t="shared" si="7"/>
        <v>2026</v>
      </c>
      <c r="AK133" t="e">
        <f t="shared" si="8"/>
        <v>#VALUE!</v>
      </c>
    </row>
    <row r="134" spans="1:37" x14ac:dyDescent="0.3">
      <c r="A134" s="2" t="s">
        <v>330</v>
      </c>
      <c r="B134" s="3" t="s">
        <v>262</v>
      </c>
      <c r="C134" s="2" t="s">
        <v>48</v>
      </c>
      <c r="D134" s="13">
        <v>33424</v>
      </c>
      <c r="E134" s="4">
        <v>35</v>
      </c>
      <c r="F134" s="2" t="s">
        <v>34</v>
      </c>
      <c r="G134" s="4">
        <v>0</v>
      </c>
      <c r="H134" s="2" t="s">
        <v>35</v>
      </c>
      <c r="I134" s="3" t="s">
        <v>61</v>
      </c>
      <c r="J134" s="3" t="s">
        <v>107</v>
      </c>
      <c r="K134" s="2" t="s">
        <v>51</v>
      </c>
      <c r="L134" s="2" t="s">
        <v>63</v>
      </c>
      <c r="M134" s="3" t="s">
        <v>64</v>
      </c>
      <c r="N134" s="2" t="s">
        <v>41</v>
      </c>
      <c r="O134" s="13">
        <v>41845</v>
      </c>
      <c r="P134" s="13">
        <v>45277</v>
      </c>
      <c r="Q134" s="3" t="s">
        <v>121</v>
      </c>
      <c r="R134" s="2">
        <v>17</v>
      </c>
      <c r="S134" s="2" t="s">
        <v>43</v>
      </c>
      <c r="T134" s="5">
        <v>53100</v>
      </c>
      <c r="U134" s="5">
        <v>10200</v>
      </c>
      <c r="V134" s="4">
        <v>3</v>
      </c>
      <c r="W134" s="4">
        <v>30</v>
      </c>
      <c r="X134" s="2" t="s">
        <v>44</v>
      </c>
      <c r="Y134" s="4">
        <v>0</v>
      </c>
      <c r="Z134" s="4">
        <v>8</v>
      </c>
      <c r="AA134" s="4">
        <v>0</v>
      </c>
      <c r="AB134" s="4">
        <v>0</v>
      </c>
      <c r="AC134" s="4">
        <v>4</v>
      </c>
      <c r="AD134" s="4">
        <v>24</v>
      </c>
      <c r="AE134" s="3" t="s">
        <v>45</v>
      </c>
      <c r="AG134">
        <f t="shared" ca="1" si="6"/>
        <v>11</v>
      </c>
      <c r="AH134" s="23" t="str" cm="1">
        <f t="array" ref="AH134">_xlfn.IFS(E134&gt;49,"50+",E134&gt;39,"40-49",E134&gt;29,"30-39",E134&gt;19,"20-29")</f>
        <v>30-39</v>
      </c>
      <c r="AI134" s="24" t="str" cm="1">
        <f t="array" aca="1" ref="AI134" ca="1">_xlfn.IFS(AG134&gt;10,"10+",AG134&gt;4,"5-10 YIL",AG134&gt;2,"3-5 YIL",AG134&gt;0.9,"1-3 YIL",AG134&lt;1,"0-1 YIL")</f>
        <v>10+</v>
      </c>
      <c r="AJ134">
        <f t="shared" si="7"/>
        <v>2014</v>
      </c>
      <c r="AK134">
        <f t="shared" si="8"/>
        <v>2023</v>
      </c>
    </row>
    <row r="135" spans="1:37" x14ac:dyDescent="0.3">
      <c r="A135" s="6" t="s">
        <v>331</v>
      </c>
      <c r="B135" s="7" t="s">
        <v>332</v>
      </c>
      <c r="C135" s="6" t="s">
        <v>48</v>
      </c>
      <c r="D135" s="14">
        <v>31588</v>
      </c>
      <c r="E135" s="8">
        <v>40</v>
      </c>
      <c r="F135" s="6" t="s">
        <v>34</v>
      </c>
      <c r="G135" s="8">
        <v>0</v>
      </c>
      <c r="H135" s="6" t="s">
        <v>35</v>
      </c>
      <c r="I135" s="7" t="s">
        <v>61</v>
      </c>
      <c r="J135" s="7" t="s">
        <v>124</v>
      </c>
      <c r="K135" s="6" t="s">
        <v>79</v>
      </c>
      <c r="L135" s="6" t="s">
        <v>63</v>
      </c>
      <c r="M135" s="7" t="s">
        <v>80</v>
      </c>
      <c r="N135" s="6" t="s">
        <v>67</v>
      </c>
      <c r="O135" s="14">
        <v>41744</v>
      </c>
      <c r="P135" s="6" t="s">
        <v>44</v>
      </c>
      <c r="Q135" s="7" t="s">
        <v>44</v>
      </c>
      <c r="R135" s="6" t="s">
        <v>44</v>
      </c>
      <c r="S135" s="6" t="s">
        <v>56</v>
      </c>
      <c r="T135" s="9">
        <v>114200</v>
      </c>
      <c r="U135" s="9">
        <v>31100</v>
      </c>
      <c r="V135" s="8">
        <v>3</v>
      </c>
      <c r="W135" s="8">
        <v>30</v>
      </c>
      <c r="X135" s="6" t="s">
        <v>44</v>
      </c>
      <c r="Y135" s="8">
        <v>0</v>
      </c>
      <c r="Z135" s="8">
        <v>5</v>
      </c>
      <c r="AA135" s="8">
        <v>0</v>
      </c>
      <c r="AB135" s="8">
        <v>0</v>
      </c>
      <c r="AC135" s="8">
        <v>3</v>
      </c>
      <c r="AD135" s="8">
        <v>7</v>
      </c>
      <c r="AE135" s="7" t="s">
        <v>58</v>
      </c>
      <c r="AG135">
        <f t="shared" ca="1" si="6"/>
        <v>12</v>
      </c>
      <c r="AH135" s="23" t="str" cm="1">
        <f t="array" ref="AH135">_xlfn.IFS(E135&gt;49,"50+",E135&gt;39,"40-49",E135&gt;29,"30-39",E135&gt;19,"20-29")</f>
        <v>40-49</v>
      </c>
      <c r="AI135" s="24" t="str" cm="1">
        <f t="array" aca="1" ref="AI135" ca="1">_xlfn.IFS(AG135&gt;10,"10+",AG135&gt;4,"5-10 YIL",AG135&gt;2,"3-5 YIL",AG135&gt;0.9,"1-3 YIL",AG135&lt;1,"0-1 YIL")</f>
        <v>10+</v>
      </c>
      <c r="AJ135">
        <f t="shared" si="7"/>
        <v>2014</v>
      </c>
      <c r="AK135" t="e">
        <f t="shared" si="8"/>
        <v>#VALUE!</v>
      </c>
    </row>
    <row r="136" spans="1:37" x14ac:dyDescent="0.3">
      <c r="A136" s="2" t="s">
        <v>333</v>
      </c>
      <c r="B136" s="3" t="s">
        <v>232</v>
      </c>
      <c r="C136" s="2" t="s">
        <v>33</v>
      </c>
      <c r="D136" s="13">
        <v>32667</v>
      </c>
      <c r="E136" s="4">
        <v>37</v>
      </c>
      <c r="F136" s="2" t="s">
        <v>34</v>
      </c>
      <c r="G136" s="4">
        <v>0</v>
      </c>
      <c r="H136" s="2" t="s">
        <v>88</v>
      </c>
      <c r="I136" s="3" t="s">
        <v>61</v>
      </c>
      <c r="J136" s="3" t="s">
        <v>107</v>
      </c>
      <c r="K136" s="2" t="s">
        <v>51</v>
      </c>
      <c r="L136" s="2" t="s">
        <v>63</v>
      </c>
      <c r="M136" s="3" t="s">
        <v>64</v>
      </c>
      <c r="N136" s="2" t="s">
        <v>41</v>
      </c>
      <c r="O136" s="13">
        <v>44113</v>
      </c>
      <c r="P136" s="2" t="s">
        <v>44</v>
      </c>
      <c r="Q136" s="3" t="s">
        <v>44</v>
      </c>
      <c r="R136" s="2" t="s">
        <v>44</v>
      </c>
      <c r="S136" s="2" t="s">
        <v>56</v>
      </c>
      <c r="T136" s="5">
        <v>53800</v>
      </c>
      <c r="U136" s="5">
        <v>18800</v>
      </c>
      <c r="V136" s="4">
        <v>3</v>
      </c>
      <c r="W136" s="4">
        <v>29</v>
      </c>
      <c r="X136" s="2" t="s">
        <v>57</v>
      </c>
      <c r="Y136" s="4">
        <v>1</v>
      </c>
      <c r="Z136" s="4">
        <v>3</v>
      </c>
      <c r="AA136" s="4">
        <v>0</v>
      </c>
      <c r="AB136" s="4">
        <v>0</v>
      </c>
      <c r="AC136" s="4">
        <v>5</v>
      </c>
      <c r="AD136" s="4">
        <v>27</v>
      </c>
      <c r="AE136" s="3" t="s">
        <v>58</v>
      </c>
      <c r="AG136">
        <f t="shared" ca="1" si="6"/>
        <v>5</v>
      </c>
      <c r="AH136" s="23" t="str" cm="1">
        <f t="array" ref="AH136">_xlfn.IFS(E136&gt;49,"50+",E136&gt;39,"40-49",E136&gt;29,"30-39",E136&gt;19,"20-29")</f>
        <v>30-39</v>
      </c>
      <c r="AI136" s="24" t="str" cm="1">
        <f t="array" aca="1" ref="AI136" ca="1">_xlfn.IFS(AG136&gt;10,"10+",AG136&gt;4,"5-10 YIL",AG136&gt;2,"3-5 YIL",AG136&gt;0.9,"1-3 YIL",AG136&lt;1,"0-1 YIL")</f>
        <v>5-10 YIL</v>
      </c>
      <c r="AJ136">
        <f t="shared" si="7"/>
        <v>2020</v>
      </c>
      <c r="AK136" t="e">
        <f t="shared" si="8"/>
        <v>#VALUE!</v>
      </c>
    </row>
    <row r="137" spans="1:37" x14ac:dyDescent="0.3">
      <c r="A137" s="6" t="s">
        <v>334</v>
      </c>
      <c r="B137" s="7" t="s">
        <v>335</v>
      </c>
      <c r="C137" s="6" t="s">
        <v>48</v>
      </c>
      <c r="D137" s="14">
        <v>36513</v>
      </c>
      <c r="E137" s="8">
        <v>27</v>
      </c>
      <c r="F137" s="6" t="s">
        <v>49</v>
      </c>
      <c r="G137" s="8">
        <v>1</v>
      </c>
      <c r="H137" s="6" t="s">
        <v>85</v>
      </c>
      <c r="I137" s="7" t="s">
        <v>36</v>
      </c>
      <c r="J137" s="7" t="s">
        <v>37</v>
      </c>
      <c r="K137" s="6" t="s">
        <v>38</v>
      </c>
      <c r="L137" s="6" t="s">
        <v>39</v>
      </c>
      <c r="M137" s="7" t="s">
        <v>40</v>
      </c>
      <c r="N137" s="6" t="s">
        <v>41</v>
      </c>
      <c r="O137" s="14">
        <v>44794</v>
      </c>
      <c r="P137" s="14">
        <v>46120</v>
      </c>
      <c r="Q137" s="7" t="s">
        <v>121</v>
      </c>
      <c r="R137" s="6">
        <v>17</v>
      </c>
      <c r="S137" s="6" t="s">
        <v>43</v>
      </c>
      <c r="T137" s="9">
        <v>26400</v>
      </c>
      <c r="U137" s="9">
        <v>0</v>
      </c>
      <c r="V137" s="8">
        <v>11</v>
      </c>
      <c r="W137" s="8">
        <v>25</v>
      </c>
      <c r="X137" s="6" t="s">
        <v>57</v>
      </c>
      <c r="Y137" s="8">
        <v>5</v>
      </c>
      <c r="Z137" s="8">
        <v>9</v>
      </c>
      <c r="AA137" s="8">
        <v>0</v>
      </c>
      <c r="AB137" s="8">
        <v>0</v>
      </c>
      <c r="AC137" s="8">
        <v>3</v>
      </c>
      <c r="AD137" s="8">
        <v>16</v>
      </c>
      <c r="AE137" s="7" t="s">
        <v>45</v>
      </c>
      <c r="AG137">
        <f t="shared" ca="1" si="6"/>
        <v>3</v>
      </c>
      <c r="AH137" s="23" t="str" cm="1">
        <f t="array" ref="AH137">_xlfn.IFS(E137&gt;49,"50+",E137&gt;39,"40-49",E137&gt;29,"30-39",E137&gt;19,"20-29")</f>
        <v>20-29</v>
      </c>
      <c r="AI137" s="24" t="str" cm="1">
        <f t="array" aca="1" ref="AI137" ca="1">_xlfn.IFS(AG137&gt;10,"10+",AG137&gt;4,"5-10 YIL",AG137&gt;2,"3-5 YIL",AG137&gt;0.9,"1-3 YIL",AG137&lt;1,"0-1 YIL")</f>
        <v>3-5 YIL</v>
      </c>
      <c r="AJ137">
        <f t="shared" si="7"/>
        <v>2022</v>
      </c>
      <c r="AK137">
        <f t="shared" si="8"/>
        <v>2026</v>
      </c>
    </row>
    <row r="138" spans="1:37" x14ac:dyDescent="0.3">
      <c r="A138" s="2" t="s">
        <v>336</v>
      </c>
      <c r="B138" s="3" t="s">
        <v>337</v>
      </c>
      <c r="C138" s="2" t="s">
        <v>48</v>
      </c>
      <c r="D138" s="13">
        <v>35043</v>
      </c>
      <c r="E138" s="4">
        <v>31</v>
      </c>
      <c r="F138" s="2" t="s">
        <v>34</v>
      </c>
      <c r="G138" s="4">
        <v>0</v>
      </c>
      <c r="H138" s="2" t="s">
        <v>35</v>
      </c>
      <c r="I138" s="3" t="s">
        <v>36</v>
      </c>
      <c r="J138" s="3" t="s">
        <v>50</v>
      </c>
      <c r="K138" s="2" t="s">
        <v>51</v>
      </c>
      <c r="L138" s="2" t="s">
        <v>39</v>
      </c>
      <c r="M138" s="3" t="s">
        <v>40</v>
      </c>
      <c r="N138" s="2" t="s">
        <v>89</v>
      </c>
      <c r="O138" s="13">
        <v>43363</v>
      </c>
      <c r="P138" s="2" t="s">
        <v>44</v>
      </c>
      <c r="Q138" s="3" t="s">
        <v>44</v>
      </c>
      <c r="R138" s="2" t="s">
        <v>44</v>
      </c>
      <c r="S138" s="2" t="s">
        <v>56</v>
      </c>
      <c r="T138" s="5">
        <v>39800</v>
      </c>
      <c r="U138" s="5">
        <v>0</v>
      </c>
      <c r="V138" s="4">
        <v>11</v>
      </c>
      <c r="W138" s="4">
        <v>30</v>
      </c>
      <c r="X138" s="2" t="s">
        <v>44</v>
      </c>
      <c r="Y138" s="4">
        <v>0</v>
      </c>
      <c r="Z138" s="4">
        <v>5</v>
      </c>
      <c r="AA138" s="4">
        <v>0</v>
      </c>
      <c r="AB138" s="4">
        <v>0</v>
      </c>
      <c r="AC138" s="4">
        <v>1</v>
      </c>
      <c r="AD138" s="4">
        <v>4</v>
      </c>
      <c r="AE138" s="3" t="s">
        <v>73</v>
      </c>
      <c r="AG138">
        <f t="shared" ca="1" si="6"/>
        <v>7</v>
      </c>
      <c r="AH138" s="23" t="str" cm="1">
        <f t="array" ref="AH138">_xlfn.IFS(E138&gt;49,"50+",E138&gt;39,"40-49",E138&gt;29,"30-39",E138&gt;19,"20-29")</f>
        <v>30-39</v>
      </c>
      <c r="AI138" s="24" t="str" cm="1">
        <f t="array" aca="1" ref="AI138" ca="1">_xlfn.IFS(AG138&gt;10,"10+",AG138&gt;4,"5-10 YIL",AG138&gt;2,"3-5 YIL",AG138&gt;0.9,"1-3 YIL",AG138&lt;1,"0-1 YIL")</f>
        <v>5-10 YIL</v>
      </c>
      <c r="AJ138">
        <f t="shared" si="7"/>
        <v>2018</v>
      </c>
      <c r="AK138" t="e">
        <f t="shared" si="8"/>
        <v>#VALUE!</v>
      </c>
    </row>
    <row r="139" spans="1:37" x14ac:dyDescent="0.3">
      <c r="A139" s="6" t="s">
        <v>338</v>
      </c>
      <c r="B139" s="7" t="s">
        <v>174</v>
      </c>
      <c r="C139" s="6" t="s">
        <v>33</v>
      </c>
      <c r="D139" s="14">
        <v>37367</v>
      </c>
      <c r="E139" s="8">
        <v>24</v>
      </c>
      <c r="F139" s="6" t="s">
        <v>49</v>
      </c>
      <c r="G139" s="8">
        <v>3</v>
      </c>
      <c r="H139" s="6" t="s">
        <v>85</v>
      </c>
      <c r="I139" s="7" t="s">
        <v>36</v>
      </c>
      <c r="J139" s="7" t="s">
        <v>37</v>
      </c>
      <c r="K139" s="6" t="s">
        <v>38</v>
      </c>
      <c r="L139" s="6" t="s">
        <v>39</v>
      </c>
      <c r="M139" s="7" t="s">
        <v>40</v>
      </c>
      <c r="N139" s="6" t="s">
        <v>41</v>
      </c>
      <c r="O139" s="14">
        <v>44985</v>
      </c>
      <c r="P139" s="14">
        <v>45732</v>
      </c>
      <c r="Q139" s="7" t="s">
        <v>177</v>
      </c>
      <c r="R139" s="6">
        <v>3</v>
      </c>
      <c r="S139" s="6" t="s">
        <v>43</v>
      </c>
      <c r="T139" s="9">
        <v>28700</v>
      </c>
      <c r="U139" s="9">
        <v>0</v>
      </c>
      <c r="V139" s="8">
        <v>38</v>
      </c>
      <c r="W139" s="8">
        <v>30</v>
      </c>
      <c r="X139" s="6" t="s">
        <v>44</v>
      </c>
      <c r="Y139" s="8">
        <v>0</v>
      </c>
      <c r="Z139" s="8">
        <v>3</v>
      </c>
      <c r="AA139" s="8">
        <v>0</v>
      </c>
      <c r="AB139" s="8">
        <v>0</v>
      </c>
      <c r="AC139" s="8">
        <v>4</v>
      </c>
      <c r="AD139" s="8">
        <v>37</v>
      </c>
      <c r="AE139" s="7" t="s">
        <v>73</v>
      </c>
      <c r="AG139">
        <f t="shared" ca="1" si="6"/>
        <v>3</v>
      </c>
      <c r="AH139" s="23" t="str" cm="1">
        <f t="array" ref="AH139">_xlfn.IFS(E139&gt;49,"50+",E139&gt;39,"40-49",E139&gt;29,"30-39",E139&gt;19,"20-29")</f>
        <v>20-29</v>
      </c>
      <c r="AI139" s="24" t="str" cm="1">
        <f t="array" aca="1" ref="AI139" ca="1">_xlfn.IFS(AG139&gt;10,"10+",AG139&gt;4,"5-10 YIL",AG139&gt;2,"3-5 YIL",AG139&gt;0.9,"1-3 YIL",AG139&lt;1,"0-1 YIL")</f>
        <v>3-5 YIL</v>
      </c>
      <c r="AJ139">
        <f t="shared" si="7"/>
        <v>2023</v>
      </c>
      <c r="AK139">
        <f t="shared" si="8"/>
        <v>2025</v>
      </c>
    </row>
    <row r="140" spans="1:37" x14ac:dyDescent="0.3">
      <c r="A140" s="2" t="s">
        <v>339</v>
      </c>
      <c r="B140" s="3" t="s">
        <v>340</v>
      </c>
      <c r="C140" s="2" t="s">
        <v>33</v>
      </c>
      <c r="D140" s="13">
        <v>36657</v>
      </c>
      <c r="E140" s="4">
        <v>26</v>
      </c>
      <c r="F140" s="2" t="s">
        <v>49</v>
      </c>
      <c r="G140" s="4">
        <v>0</v>
      </c>
      <c r="H140" s="2" t="s">
        <v>88</v>
      </c>
      <c r="I140" s="3" t="s">
        <v>148</v>
      </c>
      <c r="J140" s="3" t="s">
        <v>252</v>
      </c>
      <c r="K140" s="2" t="s">
        <v>38</v>
      </c>
      <c r="L140" s="2" t="s">
        <v>63</v>
      </c>
      <c r="M140" s="3" t="s">
        <v>150</v>
      </c>
      <c r="N140" s="2" t="s">
        <v>41</v>
      </c>
      <c r="O140" s="13">
        <v>44767</v>
      </c>
      <c r="P140" s="2" t="s">
        <v>44</v>
      </c>
      <c r="Q140" s="3" t="s">
        <v>44</v>
      </c>
      <c r="R140" s="2" t="s">
        <v>44</v>
      </c>
      <c r="S140" s="2" t="s">
        <v>56</v>
      </c>
      <c r="T140" s="5">
        <v>34800</v>
      </c>
      <c r="U140" s="5">
        <v>0</v>
      </c>
      <c r="V140" s="4">
        <v>6</v>
      </c>
      <c r="W140" s="4">
        <v>27</v>
      </c>
      <c r="X140" s="2" t="s">
        <v>57</v>
      </c>
      <c r="Y140" s="4">
        <v>2</v>
      </c>
      <c r="Z140" s="4">
        <v>7</v>
      </c>
      <c r="AA140" s="4">
        <v>1</v>
      </c>
      <c r="AB140" s="4">
        <v>0</v>
      </c>
      <c r="AC140" s="4">
        <v>3</v>
      </c>
      <c r="AD140" s="4">
        <v>15</v>
      </c>
      <c r="AE140" s="3" t="s">
        <v>82</v>
      </c>
      <c r="AG140">
        <f t="shared" ca="1" si="6"/>
        <v>3</v>
      </c>
      <c r="AH140" s="23" t="str" cm="1">
        <f t="array" ref="AH140">_xlfn.IFS(E140&gt;49,"50+",E140&gt;39,"40-49",E140&gt;29,"30-39",E140&gt;19,"20-29")</f>
        <v>20-29</v>
      </c>
      <c r="AI140" s="24" t="str" cm="1">
        <f t="array" aca="1" ref="AI140" ca="1">_xlfn.IFS(AG140&gt;10,"10+",AG140&gt;4,"5-10 YIL",AG140&gt;2,"3-5 YIL",AG140&gt;0.9,"1-3 YIL",AG140&lt;1,"0-1 YIL")</f>
        <v>3-5 YIL</v>
      </c>
      <c r="AJ140">
        <f t="shared" si="7"/>
        <v>2022</v>
      </c>
      <c r="AK140" t="e">
        <f t="shared" si="8"/>
        <v>#VALUE!</v>
      </c>
    </row>
    <row r="141" spans="1:37" x14ac:dyDescent="0.3">
      <c r="A141" s="6" t="s">
        <v>341</v>
      </c>
      <c r="B141" s="7" t="s">
        <v>342</v>
      </c>
      <c r="C141" s="6" t="s">
        <v>48</v>
      </c>
      <c r="D141" s="14">
        <v>38103</v>
      </c>
      <c r="E141" s="8">
        <v>22</v>
      </c>
      <c r="F141" s="6" t="s">
        <v>49</v>
      </c>
      <c r="G141" s="8">
        <v>1</v>
      </c>
      <c r="H141" s="6" t="s">
        <v>35</v>
      </c>
      <c r="I141" s="7" t="s">
        <v>148</v>
      </c>
      <c r="J141" s="7" t="s">
        <v>252</v>
      </c>
      <c r="K141" s="6" t="s">
        <v>38</v>
      </c>
      <c r="L141" s="6" t="s">
        <v>63</v>
      </c>
      <c r="M141" s="7" t="s">
        <v>150</v>
      </c>
      <c r="N141" s="6" t="s">
        <v>41</v>
      </c>
      <c r="O141" s="14">
        <v>45173</v>
      </c>
      <c r="P141" s="6" t="s">
        <v>44</v>
      </c>
      <c r="Q141" s="7" t="s">
        <v>44</v>
      </c>
      <c r="R141" s="6" t="s">
        <v>44</v>
      </c>
      <c r="S141" s="6" t="s">
        <v>56</v>
      </c>
      <c r="T141" s="9">
        <v>34400</v>
      </c>
      <c r="U141" s="9">
        <v>2000</v>
      </c>
      <c r="V141" s="8">
        <v>3</v>
      </c>
      <c r="W141" s="8">
        <v>29</v>
      </c>
      <c r="X141" s="6" t="s">
        <v>57</v>
      </c>
      <c r="Y141" s="8">
        <v>1</v>
      </c>
      <c r="Z141" s="8">
        <v>9</v>
      </c>
      <c r="AA141" s="8">
        <v>0</v>
      </c>
      <c r="AB141" s="8">
        <v>0</v>
      </c>
      <c r="AC141" s="8">
        <v>4</v>
      </c>
      <c r="AD141" s="8">
        <v>13</v>
      </c>
      <c r="AE141" s="7" t="s">
        <v>73</v>
      </c>
      <c r="AG141">
        <f t="shared" ca="1" si="6"/>
        <v>2</v>
      </c>
      <c r="AH141" s="23" t="str" cm="1">
        <f t="array" ref="AH141">_xlfn.IFS(E141&gt;49,"50+",E141&gt;39,"40-49",E141&gt;29,"30-39",E141&gt;19,"20-29")</f>
        <v>20-29</v>
      </c>
      <c r="AI141" s="24" t="str" cm="1">
        <f t="array" aca="1" ref="AI141" ca="1">_xlfn.IFS(AG141&gt;10,"10+",AG141&gt;4,"5-10 YIL",AG141&gt;2,"3-5 YIL",AG141&gt;0.9,"1-3 YIL",AG141&lt;1,"0-1 YIL")</f>
        <v>1-3 YIL</v>
      </c>
      <c r="AJ141">
        <f t="shared" si="7"/>
        <v>2023</v>
      </c>
      <c r="AK141" t="e">
        <f t="shared" si="8"/>
        <v>#VALUE!</v>
      </c>
    </row>
    <row r="142" spans="1:37" x14ac:dyDescent="0.3">
      <c r="A142" s="2" t="s">
        <v>343</v>
      </c>
      <c r="B142" s="3" t="s">
        <v>344</v>
      </c>
      <c r="C142" s="2" t="s">
        <v>48</v>
      </c>
      <c r="D142" s="13">
        <v>34222</v>
      </c>
      <c r="E142" s="4">
        <v>33</v>
      </c>
      <c r="F142" s="2" t="s">
        <v>49</v>
      </c>
      <c r="G142" s="4">
        <v>0</v>
      </c>
      <c r="H142" s="2" t="s">
        <v>88</v>
      </c>
      <c r="I142" s="3" t="s">
        <v>139</v>
      </c>
      <c r="J142" s="3" t="s">
        <v>161</v>
      </c>
      <c r="K142" s="2" t="s">
        <v>51</v>
      </c>
      <c r="L142" s="2" t="s">
        <v>63</v>
      </c>
      <c r="M142" s="3" t="s">
        <v>162</v>
      </c>
      <c r="N142" s="2" t="s">
        <v>95</v>
      </c>
      <c r="O142" s="13">
        <v>43450</v>
      </c>
      <c r="P142" s="2" t="s">
        <v>44</v>
      </c>
      <c r="Q142" s="3" t="s">
        <v>44</v>
      </c>
      <c r="R142" s="2" t="s">
        <v>44</v>
      </c>
      <c r="S142" s="2" t="s">
        <v>56</v>
      </c>
      <c r="T142" s="5">
        <v>75800</v>
      </c>
      <c r="U142" s="5">
        <v>0</v>
      </c>
      <c r="V142" s="4">
        <v>2</v>
      </c>
      <c r="W142" s="4">
        <v>30</v>
      </c>
      <c r="X142" s="2" t="s">
        <v>44</v>
      </c>
      <c r="Y142" s="4">
        <v>0</v>
      </c>
      <c r="Z142" s="4">
        <v>11</v>
      </c>
      <c r="AA142" s="4">
        <v>0</v>
      </c>
      <c r="AB142" s="4">
        <v>0</v>
      </c>
      <c r="AC142" s="4">
        <v>3</v>
      </c>
      <c r="AD142" s="4">
        <v>5</v>
      </c>
      <c r="AE142" s="3" t="s">
        <v>58</v>
      </c>
      <c r="AG142">
        <f t="shared" ca="1" si="6"/>
        <v>7</v>
      </c>
      <c r="AH142" s="23" t="str" cm="1">
        <f t="array" ref="AH142">_xlfn.IFS(E142&gt;49,"50+",E142&gt;39,"40-49",E142&gt;29,"30-39",E142&gt;19,"20-29")</f>
        <v>30-39</v>
      </c>
      <c r="AI142" s="24" t="str" cm="1">
        <f t="array" aca="1" ref="AI142" ca="1">_xlfn.IFS(AG142&gt;10,"10+",AG142&gt;4,"5-10 YIL",AG142&gt;2,"3-5 YIL",AG142&gt;0.9,"1-3 YIL",AG142&lt;1,"0-1 YIL")</f>
        <v>5-10 YIL</v>
      </c>
      <c r="AJ142">
        <f t="shared" si="7"/>
        <v>2018</v>
      </c>
      <c r="AK142" t="e">
        <f t="shared" si="8"/>
        <v>#VALUE!</v>
      </c>
    </row>
    <row r="143" spans="1:37" x14ac:dyDescent="0.3">
      <c r="A143" s="6" t="s">
        <v>345</v>
      </c>
      <c r="B143" s="7" t="s">
        <v>346</v>
      </c>
      <c r="C143" s="6" t="s">
        <v>48</v>
      </c>
      <c r="D143" s="14">
        <v>37411</v>
      </c>
      <c r="E143" s="8">
        <v>24</v>
      </c>
      <c r="F143" s="6" t="s">
        <v>49</v>
      </c>
      <c r="G143" s="8">
        <v>1</v>
      </c>
      <c r="H143" s="6" t="s">
        <v>35</v>
      </c>
      <c r="I143" s="7" t="s">
        <v>36</v>
      </c>
      <c r="J143" s="7" t="s">
        <v>37</v>
      </c>
      <c r="K143" s="6" t="s">
        <v>38</v>
      </c>
      <c r="L143" s="6" t="s">
        <v>39</v>
      </c>
      <c r="M143" s="7" t="s">
        <v>40</v>
      </c>
      <c r="N143" s="6" t="s">
        <v>95</v>
      </c>
      <c r="O143" s="14">
        <v>45405</v>
      </c>
      <c r="P143" s="6" t="s">
        <v>44</v>
      </c>
      <c r="Q143" s="7" t="s">
        <v>44</v>
      </c>
      <c r="R143" s="6" t="s">
        <v>44</v>
      </c>
      <c r="S143" s="6" t="s">
        <v>56</v>
      </c>
      <c r="T143" s="9">
        <v>27600</v>
      </c>
      <c r="U143" s="9">
        <v>0</v>
      </c>
      <c r="V143" s="8">
        <v>30</v>
      </c>
      <c r="W143" s="8">
        <v>30</v>
      </c>
      <c r="X143" s="6" t="s">
        <v>44</v>
      </c>
      <c r="Y143" s="8">
        <v>0</v>
      </c>
      <c r="Z143" s="8">
        <v>6</v>
      </c>
      <c r="AA143" s="8">
        <v>0</v>
      </c>
      <c r="AB143" s="8">
        <v>0</v>
      </c>
      <c r="AC143" s="8">
        <v>3</v>
      </c>
      <c r="AD143" s="8">
        <v>3</v>
      </c>
      <c r="AE143" s="7" t="s">
        <v>82</v>
      </c>
      <c r="AG143">
        <f t="shared" ca="1" si="6"/>
        <v>2</v>
      </c>
      <c r="AH143" s="23" t="str" cm="1">
        <f t="array" ref="AH143">_xlfn.IFS(E143&gt;49,"50+",E143&gt;39,"40-49",E143&gt;29,"30-39",E143&gt;19,"20-29")</f>
        <v>20-29</v>
      </c>
      <c r="AI143" s="24" t="str" cm="1">
        <f t="array" aca="1" ref="AI143" ca="1">_xlfn.IFS(AG143&gt;10,"10+",AG143&gt;4,"5-10 YIL",AG143&gt;2,"3-5 YIL",AG143&gt;0.9,"1-3 YIL",AG143&lt;1,"0-1 YIL")</f>
        <v>1-3 YIL</v>
      </c>
      <c r="AJ143">
        <f t="shared" si="7"/>
        <v>2024</v>
      </c>
      <c r="AK143" t="e">
        <f t="shared" si="8"/>
        <v>#VALUE!</v>
      </c>
    </row>
    <row r="144" spans="1:37" x14ac:dyDescent="0.3">
      <c r="A144" s="2" t="s">
        <v>347</v>
      </c>
      <c r="B144" s="3" t="s">
        <v>348</v>
      </c>
      <c r="C144" s="2" t="s">
        <v>48</v>
      </c>
      <c r="D144" s="13">
        <v>38249</v>
      </c>
      <c r="E144" s="4">
        <v>22</v>
      </c>
      <c r="F144" s="2" t="s">
        <v>49</v>
      </c>
      <c r="G144" s="4">
        <v>1</v>
      </c>
      <c r="H144" s="2" t="s">
        <v>85</v>
      </c>
      <c r="I144" s="3" t="s">
        <v>36</v>
      </c>
      <c r="J144" s="3" t="s">
        <v>37</v>
      </c>
      <c r="K144" s="2" t="s">
        <v>38</v>
      </c>
      <c r="L144" s="2" t="s">
        <v>39</v>
      </c>
      <c r="M144" s="3" t="s">
        <v>40</v>
      </c>
      <c r="N144" s="2" t="s">
        <v>67</v>
      </c>
      <c r="O144" s="13">
        <v>45882</v>
      </c>
      <c r="P144" s="13">
        <v>46105</v>
      </c>
      <c r="Q144" s="3" t="s">
        <v>177</v>
      </c>
      <c r="R144" s="2">
        <v>3</v>
      </c>
      <c r="S144" s="2" t="s">
        <v>43</v>
      </c>
      <c r="T144" s="5">
        <v>27300</v>
      </c>
      <c r="U144" s="5">
        <v>0</v>
      </c>
      <c r="V144" s="4">
        <v>15</v>
      </c>
      <c r="W144" s="4">
        <v>27</v>
      </c>
      <c r="X144" s="2" t="s">
        <v>57</v>
      </c>
      <c r="Y144" s="4">
        <v>3</v>
      </c>
      <c r="Z144" s="4">
        <v>0</v>
      </c>
      <c r="AA144" s="4">
        <v>0</v>
      </c>
      <c r="AB144" s="4">
        <v>0</v>
      </c>
      <c r="AC144" s="4">
        <v>4</v>
      </c>
      <c r="AD144" s="4">
        <v>28</v>
      </c>
      <c r="AE144" s="3" t="s">
        <v>45</v>
      </c>
      <c r="AG144">
        <f t="shared" ca="1" si="6"/>
        <v>0</v>
      </c>
      <c r="AH144" s="23" t="str" cm="1">
        <f t="array" ref="AH144">_xlfn.IFS(E144&gt;49,"50+",E144&gt;39,"40-49",E144&gt;29,"30-39",E144&gt;19,"20-29")</f>
        <v>20-29</v>
      </c>
      <c r="AI144" s="24" t="str" cm="1">
        <f t="array" aca="1" ref="AI144" ca="1">_xlfn.IFS(AG144&gt;10,"10+",AG144&gt;4,"5-10 YIL",AG144&gt;2,"3-5 YIL",AG144&gt;0.9,"1-3 YIL",AG144&lt;1,"0-1 YIL")</f>
        <v>0-1 YIL</v>
      </c>
      <c r="AJ144">
        <f t="shared" si="7"/>
        <v>2025</v>
      </c>
      <c r="AK144">
        <f t="shared" si="8"/>
        <v>2026</v>
      </c>
    </row>
    <row r="145" spans="1:37" x14ac:dyDescent="0.3">
      <c r="A145" s="6" t="s">
        <v>349</v>
      </c>
      <c r="B145" s="7" t="s">
        <v>142</v>
      </c>
      <c r="C145" s="6" t="s">
        <v>33</v>
      </c>
      <c r="D145" s="14">
        <v>31429</v>
      </c>
      <c r="E145" s="8">
        <v>40</v>
      </c>
      <c r="F145" s="6" t="s">
        <v>49</v>
      </c>
      <c r="G145" s="8">
        <v>1</v>
      </c>
      <c r="H145" s="6" t="s">
        <v>35</v>
      </c>
      <c r="I145" s="7" t="s">
        <v>61</v>
      </c>
      <c r="J145" s="7" t="s">
        <v>107</v>
      </c>
      <c r="K145" s="6" t="s">
        <v>51</v>
      </c>
      <c r="L145" s="6" t="s">
        <v>63</v>
      </c>
      <c r="M145" s="7" t="s">
        <v>64</v>
      </c>
      <c r="N145" s="6" t="s">
        <v>41</v>
      </c>
      <c r="O145" s="14">
        <v>42616</v>
      </c>
      <c r="P145" s="6" t="s">
        <v>44</v>
      </c>
      <c r="Q145" s="7" t="s">
        <v>44</v>
      </c>
      <c r="R145" s="6" t="s">
        <v>44</v>
      </c>
      <c r="S145" s="6" t="s">
        <v>56</v>
      </c>
      <c r="T145" s="9">
        <v>56500</v>
      </c>
      <c r="U145" s="9">
        <v>0</v>
      </c>
      <c r="V145" s="8">
        <v>2</v>
      </c>
      <c r="W145" s="8">
        <v>28</v>
      </c>
      <c r="X145" s="6" t="s">
        <v>57</v>
      </c>
      <c r="Y145" s="8">
        <v>2</v>
      </c>
      <c r="Z145" s="8">
        <v>9</v>
      </c>
      <c r="AA145" s="8">
        <v>0</v>
      </c>
      <c r="AB145" s="8">
        <v>0</v>
      </c>
      <c r="AC145" s="8">
        <v>3</v>
      </c>
      <c r="AD145" s="8">
        <v>3</v>
      </c>
      <c r="AE145" s="7" t="s">
        <v>58</v>
      </c>
      <c r="AG145">
        <f t="shared" ca="1" si="6"/>
        <v>9</v>
      </c>
      <c r="AH145" s="23" t="str" cm="1">
        <f t="array" ref="AH145">_xlfn.IFS(E145&gt;49,"50+",E145&gt;39,"40-49",E145&gt;29,"30-39",E145&gt;19,"20-29")</f>
        <v>40-49</v>
      </c>
      <c r="AI145" s="24" t="str" cm="1">
        <f t="array" aca="1" ref="AI145" ca="1">_xlfn.IFS(AG145&gt;10,"10+",AG145&gt;4,"5-10 YIL",AG145&gt;2,"3-5 YIL",AG145&gt;0.9,"1-3 YIL",AG145&lt;1,"0-1 YIL")</f>
        <v>5-10 YIL</v>
      </c>
      <c r="AJ145">
        <f t="shared" si="7"/>
        <v>2016</v>
      </c>
      <c r="AK145" t="e">
        <f t="shared" si="8"/>
        <v>#VALUE!</v>
      </c>
    </row>
    <row r="146" spans="1:37" x14ac:dyDescent="0.3">
      <c r="A146" s="2" t="s">
        <v>350</v>
      </c>
      <c r="B146" s="3" t="s">
        <v>351</v>
      </c>
      <c r="C146" s="2" t="s">
        <v>33</v>
      </c>
      <c r="D146" s="13">
        <v>30541</v>
      </c>
      <c r="E146" s="4">
        <v>43</v>
      </c>
      <c r="F146" s="2" t="s">
        <v>34</v>
      </c>
      <c r="G146" s="4">
        <v>0</v>
      </c>
      <c r="H146" s="2" t="s">
        <v>35</v>
      </c>
      <c r="I146" s="3" t="s">
        <v>139</v>
      </c>
      <c r="J146" s="3" t="s">
        <v>161</v>
      </c>
      <c r="K146" s="2" t="s">
        <v>51</v>
      </c>
      <c r="L146" s="2" t="s">
        <v>63</v>
      </c>
      <c r="M146" s="3" t="s">
        <v>162</v>
      </c>
      <c r="N146" s="2" t="s">
        <v>52</v>
      </c>
      <c r="O146" s="13">
        <v>43012</v>
      </c>
      <c r="P146" s="2" t="s">
        <v>44</v>
      </c>
      <c r="Q146" s="3" t="s">
        <v>44</v>
      </c>
      <c r="R146" s="2" t="s">
        <v>44</v>
      </c>
      <c r="S146" s="2" t="s">
        <v>56</v>
      </c>
      <c r="T146" s="5">
        <v>79500</v>
      </c>
      <c r="U146" s="5">
        <v>0</v>
      </c>
      <c r="V146" s="4">
        <v>9</v>
      </c>
      <c r="W146" s="4">
        <v>28</v>
      </c>
      <c r="X146" s="2" t="s">
        <v>57</v>
      </c>
      <c r="Y146" s="4">
        <v>2</v>
      </c>
      <c r="Z146" s="4">
        <v>11</v>
      </c>
      <c r="AA146" s="4">
        <v>0</v>
      </c>
      <c r="AB146" s="4">
        <v>0</v>
      </c>
      <c r="AC146" s="4">
        <v>3</v>
      </c>
      <c r="AD146" s="4">
        <v>6</v>
      </c>
      <c r="AE146" s="3" t="s">
        <v>45</v>
      </c>
      <c r="AG146">
        <f t="shared" ca="1" si="6"/>
        <v>8</v>
      </c>
      <c r="AH146" s="23" t="str" cm="1">
        <f t="array" ref="AH146">_xlfn.IFS(E146&gt;49,"50+",E146&gt;39,"40-49",E146&gt;29,"30-39",E146&gt;19,"20-29")</f>
        <v>40-49</v>
      </c>
      <c r="AI146" s="24" t="str" cm="1">
        <f t="array" aca="1" ref="AI146" ca="1">_xlfn.IFS(AG146&gt;10,"10+",AG146&gt;4,"5-10 YIL",AG146&gt;2,"3-5 YIL",AG146&gt;0.9,"1-3 YIL",AG146&lt;1,"0-1 YIL")</f>
        <v>5-10 YIL</v>
      </c>
      <c r="AJ146">
        <f t="shared" si="7"/>
        <v>2017</v>
      </c>
      <c r="AK146" t="e">
        <f t="shared" si="8"/>
        <v>#VALUE!</v>
      </c>
    </row>
    <row r="147" spans="1:37" x14ac:dyDescent="0.3">
      <c r="A147" s="6" t="s">
        <v>352</v>
      </c>
      <c r="B147" s="7" t="s">
        <v>353</v>
      </c>
      <c r="C147" s="6" t="s">
        <v>33</v>
      </c>
      <c r="D147" s="14">
        <v>38342</v>
      </c>
      <c r="E147" s="8">
        <v>22</v>
      </c>
      <c r="F147" s="6" t="s">
        <v>34</v>
      </c>
      <c r="G147" s="8">
        <v>0</v>
      </c>
      <c r="H147" s="6" t="s">
        <v>184</v>
      </c>
      <c r="I147" s="7" t="s">
        <v>36</v>
      </c>
      <c r="J147" s="7" t="s">
        <v>37</v>
      </c>
      <c r="K147" s="6" t="s">
        <v>38</v>
      </c>
      <c r="L147" s="6" t="s">
        <v>39</v>
      </c>
      <c r="M147" s="7" t="s">
        <v>40</v>
      </c>
      <c r="N147" s="6" t="s">
        <v>67</v>
      </c>
      <c r="O147" s="14">
        <v>45843</v>
      </c>
      <c r="P147" s="6" t="s">
        <v>44</v>
      </c>
      <c r="Q147" s="7" t="s">
        <v>44</v>
      </c>
      <c r="R147" s="6" t="s">
        <v>44</v>
      </c>
      <c r="S147" s="6" t="s">
        <v>56</v>
      </c>
      <c r="T147" s="9">
        <v>28400</v>
      </c>
      <c r="U147" s="9">
        <v>0</v>
      </c>
      <c r="V147" s="8">
        <v>14</v>
      </c>
      <c r="W147" s="8">
        <v>29</v>
      </c>
      <c r="X147" s="6" t="s">
        <v>57</v>
      </c>
      <c r="Y147" s="8">
        <v>1</v>
      </c>
      <c r="Z147" s="8">
        <v>0</v>
      </c>
      <c r="AA147" s="8">
        <v>0</v>
      </c>
      <c r="AB147" s="8">
        <v>0</v>
      </c>
      <c r="AC147" s="8">
        <v>4</v>
      </c>
      <c r="AD147" s="8">
        <v>29</v>
      </c>
      <c r="AE147" s="7" t="s">
        <v>58</v>
      </c>
      <c r="AG147">
        <f t="shared" ca="1" si="6"/>
        <v>0</v>
      </c>
      <c r="AH147" s="23" t="str" cm="1">
        <f t="array" ref="AH147">_xlfn.IFS(E147&gt;49,"50+",E147&gt;39,"40-49",E147&gt;29,"30-39",E147&gt;19,"20-29")</f>
        <v>20-29</v>
      </c>
      <c r="AI147" s="24" t="str" cm="1">
        <f t="array" aca="1" ref="AI147" ca="1">_xlfn.IFS(AG147&gt;10,"10+",AG147&gt;4,"5-10 YIL",AG147&gt;2,"3-5 YIL",AG147&gt;0.9,"1-3 YIL",AG147&lt;1,"0-1 YIL")</f>
        <v>0-1 YIL</v>
      </c>
      <c r="AJ147">
        <f t="shared" si="7"/>
        <v>2025</v>
      </c>
      <c r="AK147" t="e">
        <f t="shared" si="8"/>
        <v>#VALUE!</v>
      </c>
    </row>
    <row r="148" spans="1:37" x14ac:dyDescent="0.3">
      <c r="A148" s="2" t="s">
        <v>354</v>
      </c>
      <c r="B148" s="3" t="s">
        <v>190</v>
      </c>
      <c r="C148" s="2" t="s">
        <v>48</v>
      </c>
      <c r="D148" s="13">
        <v>31128</v>
      </c>
      <c r="E148" s="4">
        <v>41</v>
      </c>
      <c r="F148" s="2" t="s">
        <v>49</v>
      </c>
      <c r="G148" s="4">
        <v>1</v>
      </c>
      <c r="H148" s="2" t="s">
        <v>85</v>
      </c>
      <c r="I148" s="3" t="s">
        <v>61</v>
      </c>
      <c r="J148" s="3" t="s">
        <v>107</v>
      </c>
      <c r="K148" s="2" t="s">
        <v>51</v>
      </c>
      <c r="L148" s="2" t="s">
        <v>63</v>
      </c>
      <c r="M148" s="3" t="s">
        <v>64</v>
      </c>
      <c r="N148" s="2" t="s">
        <v>67</v>
      </c>
      <c r="O148" s="13">
        <v>42639</v>
      </c>
      <c r="P148" s="13">
        <v>44484</v>
      </c>
      <c r="Q148" s="3" t="s">
        <v>53</v>
      </c>
      <c r="R148" s="2">
        <v>4</v>
      </c>
      <c r="S148" s="2" t="s">
        <v>43</v>
      </c>
      <c r="T148" s="5">
        <v>57000</v>
      </c>
      <c r="U148" s="5">
        <v>0</v>
      </c>
      <c r="V148" s="4">
        <v>4</v>
      </c>
      <c r="W148" s="4">
        <v>25</v>
      </c>
      <c r="X148" s="2" t="s">
        <v>57</v>
      </c>
      <c r="Y148" s="4">
        <v>5</v>
      </c>
      <c r="Z148" s="4">
        <v>9</v>
      </c>
      <c r="AA148" s="4">
        <v>0</v>
      </c>
      <c r="AB148" s="4">
        <v>0</v>
      </c>
      <c r="AC148" s="4">
        <v>2</v>
      </c>
      <c r="AD148" s="4">
        <v>10</v>
      </c>
      <c r="AE148" s="3" t="s">
        <v>58</v>
      </c>
      <c r="AG148">
        <f t="shared" ca="1" si="6"/>
        <v>9</v>
      </c>
      <c r="AH148" s="23" t="str" cm="1">
        <f t="array" ref="AH148">_xlfn.IFS(E148&gt;49,"50+",E148&gt;39,"40-49",E148&gt;29,"30-39",E148&gt;19,"20-29")</f>
        <v>40-49</v>
      </c>
      <c r="AI148" s="24" t="str" cm="1">
        <f t="array" aca="1" ref="AI148" ca="1">_xlfn.IFS(AG148&gt;10,"10+",AG148&gt;4,"5-10 YIL",AG148&gt;2,"3-5 YIL",AG148&gt;0.9,"1-3 YIL",AG148&lt;1,"0-1 YIL")</f>
        <v>5-10 YIL</v>
      </c>
      <c r="AJ148">
        <f t="shared" si="7"/>
        <v>2016</v>
      </c>
      <c r="AK148">
        <f t="shared" si="8"/>
        <v>2021</v>
      </c>
    </row>
    <row r="149" spans="1:37" x14ac:dyDescent="0.3">
      <c r="A149" s="6" t="s">
        <v>355</v>
      </c>
      <c r="B149" s="7" t="s">
        <v>356</v>
      </c>
      <c r="C149" s="6" t="s">
        <v>48</v>
      </c>
      <c r="D149" s="14">
        <v>37170</v>
      </c>
      <c r="E149" s="8">
        <v>25</v>
      </c>
      <c r="F149" s="6" t="s">
        <v>49</v>
      </c>
      <c r="G149" s="8">
        <v>1</v>
      </c>
      <c r="H149" s="6" t="s">
        <v>35</v>
      </c>
      <c r="I149" s="7" t="s">
        <v>36</v>
      </c>
      <c r="J149" s="7" t="s">
        <v>37</v>
      </c>
      <c r="K149" s="6" t="s">
        <v>38</v>
      </c>
      <c r="L149" s="6" t="s">
        <v>39</v>
      </c>
      <c r="M149" s="7" t="s">
        <v>40</v>
      </c>
      <c r="N149" s="6" t="s">
        <v>41</v>
      </c>
      <c r="O149" s="14">
        <v>45057</v>
      </c>
      <c r="P149" s="6" t="s">
        <v>44</v>
      </c>
      <c r="Q149" s="7" t="s">
        <v>44</v>
      </c>
      <c r="R149" s="6" t="s">
        <v>44</v>
      </c>
      <c r="S149" s="6" t="s">
        <v>56</v>
      </c>
      <c r="T149" s="9">
        <v>26700</v>
      </c>
      <c r="U149" s="9">
        <v>0</v>
      </c>
      <c r="V149" s="8">
        <v>36</v>
      </c>
      <c r="W149" s="8">
        <v>29</v>
      </c>
      <c r="X149" s="6" t="s">
        <v>81</v>
      </c>
      <c r="Y149" s="8">
        <v>0</v>
      </c>
      <c r="Z149" s="8">
        <v>10</v>
      </c>
      <c r="AA149" s="8">
        <v>1</v>
      </c>
      <c r="AB149" s="8">
        <v>0</v>
      </c>
      <c r="AC149" s="8">
        <v>3</v>
      </c>
      <c r="AD149" s="8">
        <v>4</v>
      </c>
      <c r="AE149" s="7" t="s">
        <v>58</v>
      </c>
      <c r="AG149">
        <f t="shared" ca="1" si="6"/>
        <v>3</v>
      </c>
      <c r="AH149" s="23" t="str" cm="1">
        <f t="array" ref="AH149">_xlfn.IFS(E149&gt;49,"50+",E149&gt;39,"40-49",E149&gt;29,"30-39",E149&gt;19,"20-29")</f>
        <v>20-29</v>
      </c>
      <c r="AI149" s="24" t="str" cm="1">
        <f t="array" aca="1" ref="AI149" ca="1">_xlfn.IFS(AG149&gt;10,"10+",AG149&gt;4,"5-10 YIL",AG149&gt;2,"3-5 YIL",AG149&gt;0.9,"1-3 YIL",AG149&lt;1,"0-1 YIL")</f>
        <v>3-5 YIL</v>
      </c>
      <c r="AJ149">
        <f t="shared" si="7"/>
        <v>2023</v>
      </c>
      <c r="AK149" t="e">
        <f t="shared" si="8"/>
        <v>#VALUE!</v>
      </c>
    </row>
    <row r="150" spans="1:37" x14ac:dyDescent="0.3">
      <c r="A150" s="2" t="s">
        <v>357</v>
      </c>
      <c r="B150" s="3" t="s">
        <v>358</v>
      </c>
      <c r="C150" s="2" t="s">
        <v>33</v>
      </c>
      <c r="D150" s="13">
        <v>33179</v>
      </c>
      <c r="E150" s="4">
        <v>36</v>
      </c>
      <c r="F150" s="2" t="s">
        <v>34</v>
      </c>
      <c r="G150" s="4">
        <v>0</v>
      </c>
      <c r="H150" s="2" t="s">
        <v>35</v>
      </c>
      <c r="I150" s="3" t="s">
        <v>61</v>
      </c>
      <c r="J150" s="3" t="s">
        <v>107</v>
      </c>
      <c r="K150" s="2" t="s">
        <v>51</v>
      </c>
      <c r="L150" s="2" t="s">
        <v>63</v>
      </c>
      <c r="M150" s="3" t="s">
        <v>64</v>
      </c>
      <c r="N150" s="2" t="s">
        <v>67</v>
      </c>
      <c r="O150" s="13">
        <v>43918</v>
      </c>
      <c r="P150" s="2" t="s">
        <v>44</v>
      </c>
      <c r="Q150" s="3" t="s">
        <v>44</v>
      </c>
      <c r="R150" s="2" t="s">
        <v>44</v>
      </c>
      <c r="S150" s="2" t="s">
        <v>56</v>
      </c>
      <c r="T150" s="5">
        <v>57200</v>
      </c>
      <c r="U150" s="5">
        <v>14500</v>
      </c>
      <c r="V150" s="4">
        <v>2</v>
      </c>
      <c r="W150" s="4">
        <v>28</v>
      </c>
      <c r="X150" s="2" t="s">
        <v>57</v>
      </c>
      <c r="Y150" s="4">
        <v>2</v>
      </c>
      <c r="Z150" s="4">
        <v>5</v>
      </c>
      <c r="AA150" s="4">
        <v>0</v>
      </c>
      <c r="AB150" s="4">
        <v>0</v>
      </c>
      <c r="AC150" s="4">
        <v>3</v>
      </c>
      <c r="AD150" s="4">
        <v>14</v>
      </c>
      <c r="AE150" s="3" t="s">
        <v>58</v>
      </c>
      <c r="AG150">
        <f t="shared" ca="1" si="6"/>
        <v>6</v>
      </c>
      <c r="AH150" s="23" t="str" cm="1">
        <f t="array" ref="AH150">_xlfn.IFS(E150&gt;49,"50+",E150&gt;39,"40-49",E150&gt;29,"30-39",E150&gt;19,"20-29")</f>
        <v>30-39</v>
      </c>
      <c r="AI150" s="24" t="str" cm="1">
        <f t="array" aca="1" ref="AI150" ca="1">_xlfn.IFS(AG150&gt;10,"10+",AG150&gt;4,"5-10 YIL",AG150&gt;2,"3-5 YIL",AG150&gt;0.9,"1-3 YIL",AG150&lt;1,"0-1 YIL")</f>
        <v>5-10 YIL</v>
      </c>
      <c r="AJ150">
        <f t="shared" si="7"/>
        <v>2020</v>
      </c>
      <c r="AK150" t="e">
        <f t="shared" si="8"/>
        <v>#VALUE!</v>
      </c>
    </row>
    <row r="151" spans="1:37" x14ac:dyDescent="0.3">
      <c r="A151" s="6" t="s">
        <v>359</v>
      </c>
      <c r="B151" s="7" t="s">
        <v>360</v>
      </c>
      <c r="C151" s="6" t="s">
        <v>33</v>
      </c>
      <c r="D151" s="14">
        <v>35598</v>
      </c>
      <c r="E151" s="8">
        <v>29</v>
      </c>
      <c r="F151" s="6" t="s">
        <v>49</v>
      </c>
      <c r="G151" s="8">
        <v>1</v>
      </c>
      <c r="H151" s="6" t="s">
        <v>85</v>
      </c>
      <c r="I151" s="7" t="s">
        <v>148</v>
      </c>
      <c r="J151" s="7" t="s">
        <v>252</v>
      </c>
      <c r="K151" s="6" t="s">
        <v>38</v>
      </c>
      <c r="L151" s="6" t="s">
        <v>63</v>
      </c>
      <c r="M151" s="7" t="s">
        <v>150</v>
      </c>
      <c r="N151" s="6" t="s">
        <v>41</v>
      </c>
      <c r="O151" s="14">
        <v>45479</v>
      </c>
      <c r="P151" s="6" t="s">
        <v>44</v>
      </c>
      <c r="Q151" s="7" t="s">
        <v>44</v>
      </c>
      <c r="R151" s="6" t="s">
        <v>44</v>
      </c>
      <c r="S151" s="6" t="s">
        <v>56</v>
      </c>
      <c r="T151" s="9">
        <v>34200</v>
      </c>
      <c r="U151" s="9">
        <v>0</v>
      </c>
      <c r="V151" s="8">
        <v>8</v>
      </c>
      <c r="W151" s="8">
        <v>30</v>
      </c>
      <c r="X151" s="6" t="s">
        <v>44</v>
      </c>
      <c r="Y151" s="8">
        <v>0</v>
      </c>
      <c r="Z151" s="8">
        <v>12</v>
      </c>
      <c r="AA151" s="8">
        <v>0</v>
      </c>
      <c r="AB151" s="8">
        <v>0</v>
      </c>
      <c r="AC151" s="8">
        <v>3</v>
      </c>
      <c r="AD151" s="8">
        <v>18</v>
      </c>
      <c r="AE151" s="7" t="s">
        <v>58</v>
      </c>
      <c r="AG151">
        <f t="shared" ca="1" si="6"/>
        <v>1</v>
      </c>
      <c r="AH151" s="23" t="str" cm="1">
        <f t="array" ref="AH151">_xlfn.IFS(E151&gt;49,"50+",E151&gt;39,"40-49",E151&gt;29,"30-39",E151&gt;19,"20-29")</f>
        <v>20-29</v>
      </c>
      <c r="AI151" s="24" t="str" cm="1">
        <f t="array" aca="1" ref="AI151" ca="1">_xlfn.IFS(AG151&gt;10,"10+",AG151&gt;4,"5-10 YIL",AG151&gt;2,"3-5 YIL",AG151&gt;0.9,"1-3 YIL",AG151&lt;1,"0-1 YIL")</f>
        <v>1-3 YIL</v>
      </c>
      <c r="AJ151">
        <f t="shared" si="7"/>
        <v>2024</v>
      </c>
      <c r="AK151" t="e">
        <f t="shared" si="8"/>
        <v>#VALUE!</v>
      </c>
    </row>
    <row r="152" spans="1:37" x14ac:dyDescent="0.3">
      <c r="A152" s="2" t="s">
        <v>361</v>
      </c>
      <c r="B152" s="3" t="s">
        <v>199</v>
      </c>
      <c r="C152" s="2" t="s">
        <v>48</v>
      </c>
      <c r="D152" s="13">
        <v>38118</v>
      </c>
      <c r="E152" s="4">
        <v>22</v>
      </c>
      <c r="F152" s="2" t="s">
        <v>49</v>
      </c>
      <c r="G152" s="4">
        <v>1</v>
      </c>
      <c r="H152" s="2" t="s">
        <v>85</v>
      </c>
      <c r="I152" s="3" t="s">
        <v>70</v>
      </c>
      <c r="J152" s="3" t="s">
        <v>92</v>
      </c>
      <c r="K152" s="2" t="s">
        <v>38</v>
      </c>
      <c r="L152" s="2" t="s">
        <v>63</v>
      </c>
      <c r="M152" s="3" t="s">
        <v>72</v>
      </c>
      <c r="N152" s="2" t="s">
        <v>41</v>
      </c>
      <c r="O152" s="13">
        <v>45884</v>
      </c>
      <c r="P152" s="2" t="s">
        <v>44</v>
      </c>
      <c r="Q152" s="3" t="s">
        <v>44</v>
      </c>
      <c r="R152" s="2" t="s">
        <v>44</v>
      </c>
      <c r="S152" s="2" t="s">
        <v>56</v>
      </c>
      <c r="T152" s="5">
        <v>38400</v>
      </c>
      <c r="U152" s="5">
        <v>0</v>
      </c>
      <c r="V152" s="4">
        <v>1</v>
      </c>
      <c r="W152" s="4">
        <v>30</v>
      </c>
      <c r="X152" s="2" t="s">
        <v>44</v>
      </c>
      <c r="Y152" s="4">
        <v>0</v>
      </c>
      <c r="Z152" s="4">
        <v>0</v>
      </c>
      <c r="AA152" s="4">
        <v>0</v>
      </c>
      <c r="AB152" s="4">
        <v>0</v>
      </c>
      <c r="AC152" s="4">
        <v>4</v>
      </c>
      <c r="AD152" s="4">
        <v>30</v>
      </c>
      <c r="AE152" s="3" t="s">
        <v>58</v>
      </c>
      <c r="AG152">
        <f t="shared" ca="1" si="6"/>
        <v>0</v>
      </c>
      <c r="AH152" s="23" t="str" cm="1">
        <f t="array" ref="AH152">_xlfn.IFS(E152&gt;49,"50+",E152&gt;39,"40-49",E152&gt;29,"30-39",E152&gt;19,"20-29")</f>
        <v>20-29</v>
      </c>
      <c r="AI152" s="24" t="str" cm="1">
        <f t="array" aca="1" ref="AI152" ca="1">_xlfn.IFS(AG152&gt;10,"10+",AG152&gt;4,"5-10 YIL",AG152&gt;2,"3-5 YIL",AG152&gt;0.9,"1-3 YIL",AG152&lt;1,"0-1 YIL")</f>
        <v>0-1 YIL</v>
      </c>
      <c r="AJ152">
        <f t="shared" si="7"/>
        <v>2025</v>
      </c>
      <c r="AK152" t="e">
        <f t="shared" si="8"/>
        <v>#VALUE!</v>
      </c>
    </row>
    <row r="153" spans="1:37" x14ac:dyDescent="0.3">
      <c r="A153" s="6" t="s">
        <v>362</v>
      </c>
      <c r="B153" s="7" t="s">
        <v>363</v>
      </c>
      <c r="C153" s="6" t="s">
        <v>33</v>
      </c>
      <c r="D153" s="14">
        <v>30113</v>
      </c>
      <c r="E153" s="8">
        <v>44</v>
      </c>
      <c r="F153" s="6" t="s">
        <v>49</v>
      </c>
      <c r="G153" s="8">
        <v>1</v>
      </c>
      <c r="H153" s="6" t="s">
        <v>35</v>
      </c>
      <c r="I153" s="7" t="s">
        <v>36</v>
      </c>
      <c r="J153" s="7" t="s">
        <v>50</v>
      </c>
      <c r="K153" s="6" t="s">
        <v>51</v>
      </c>
      <c r="L153" s="6" t="s">
        <v>39</v>
      </c>
      <c r="M153" s="7" t="s">
        <v>40</v>
      </c>
      <c r="N153" s="6" t="s">
        <v>52</v>
      </c>
      <c r="O153" s="14">
        <v>41812</v>
      </c>
      <c r="P153" s="6" t="s">
        <v>44</v>
      </c>
      <c r="Q153" s="7" t="s">
        <v>44</v>
      </c>
      <c r="R153" s="6" t="s">
        <v>44</v>
      </c>
      <c r="S153" s="6" t="s">
        <v>56</v>
      </c>
      <c r="T153" s="9">
        <v>44900</v>
      </c>
      <c r="U153" s="9">
        <v>0</v>
      </c>
      <c r="V153" s="8">
        <v>42</v>
      </c>
      <c r="W153" s="8">
        <v>28</v>
      </c>
      <c r="X153" s="6" t="s">
        <v>57</v>
      </c>
      <c r="Y153" s="8">
        <v>2</v>
      </c>
      <c r="Z153" s="8">
        <v>7</v>
      </c>
      <c r="AA153" s="8">
        <v>0</v>
      </c>
      <c r="AB153" s="8">
        <v>0</v>
      </c>
      <c r="AC153" s="8">
        <v>3</v>
      </c>
      <c r="AD153" s="8">
        <v>12</v>
      </c>
      <c r="AE153" s="7" t="s">
        <v>58</v>
      </c>
      <c r="AG153">
        <f t="shared" ca="1" si="6"/>
        <v>12</v>
      </c>
      <c r="AH153" s="23" t="str" cm="1">
        <f t="array" ref="AH153">_xlfn.IFS(E153&gt;49,"50+",E153&gt;39,"40-49",E153&gt;29,"30-39",E153&gt;19,"20-29")</f>
        <v>40-49</v>
      </c>
      <c r="AI153" s="24" t="str" cm="1">
        <f t="array" aca="1" ref="AI153" ca="1">_xlfn.IFS(AG153&gt;10,"10+",AG153&gt;4,"5-10 YIL",AG153&gt;2,"3-5 YIL",AG153&gt;0.9,"1-3 YIL",AG153&lt;1,"0-1 YIL")</f>
        <v>10+</v>
      </c>
      <c r="AJ153">
        <f t="shared" si="7"/>
        <v>2014</v>
      </c>
      <c r="AK153" t="e">
        <f t="shared" si="8"/>
        <v>#VALUE!</v>
      </c>
    </row>
    <row r="154" spans="1:37" x14ac:dyDescent="0.3">
      <c r="A154" s="2" t="s">
        <v>364</v>
      </c>
      <c r="B154" s="3" t="s">
        <v>344</v>
      </c>
      <c r="C154" s="2" t="s">
        <v>48</v>
      </c>
      <c r="D154" s="13">
        <v>31570</v>
      </c>
      <c r="E154" s="4">
        <v>40</v>
      </c>
      <c r="F154" s="2" t="s">
        <v>49</v>
      </c>
      <c r="G154" s="4">
        <v>0</v>
      </c>
      <c r="H154" s="2" t="s">
        <v>35</v>
      </c>
      <c r="I154" s="3" t="s">
        <v>36</v>
      </c>
      <c r="J154" s="3" t="s">
        <v>50</v>
      </c>
      <c r="K154" s="2" t="s">
        <v>51</v>
      </c>
      <c r="L154" s="2" t="s">
        <v>39</v>
      </c>
      <c r="M154" s="3" t="s">
        <v>40</v>
      </c>
      <c r="N154" s="2" t="s">
        <v>41</v>
      </c>
      <c r="O154" s="13">
        <v>43922</v>
      </c>
      <c r="P154" s="2" t="s">
        <v>44</v>
      </c>
      <c r="Q154" s="3" t="s">
        <v>44</v>
      </c>
      <c r="R154" s="2" t="s">
        <v>44</v>
      </c>
      <c r="S154" s="2" t="s">
        <v>56</v>
      </c>
      <c r="T154" s="5">
        <v>38200</v>
      </c>
      <c r="U154" s="5">
        <v>0</v>
      </c>
      <c r="V154" s="4">
        <v>37</v>
      </c>
      <c r="W154" s="4">
        <v>30</v>
      </c>
      <c r="X154" s="2" t="s">
        <v>44</v>
      </c>
      <c r="Y154" s="4">
        <v>0</v>
      </c>
      <c r="Z154" s="4">
        <v>13</v>
      </c>
      <c r="AA154" s="4">
        <v>0</v>
      </c>
      <c r="AB154" s="4">
        <v>0</v>
      </c>
      <c r="AC154" s="4">
        <v>3</v>
      </c>
      <c r="AD154" s="4">
        <v>7</v>
      </c>
      <c r="AE154" s="3" t="s">
        <v>45</v>
      </c>
      <c r="AG154">
        <f t="shared" ca="1" si="6"/>
        <v>6</v>
      </c>
      <c r="AH154" s="23" t="str" cm="1">
        <f t="array" ref="AH154">_xlfn.IFS(E154&gt;49,"50+",E154&gt;39,"40-49",E154&gt;29,"30-39",E154&gt;19,"20-29")</f>
        <v>40-49</v>
      </c>
      <c r="AI154" s="24" t="str" cm="1">
        <f t="array" aca="1" ref="AI154" ca="1">_xlfn.IFS(AG154&gt;10,"10+",AG154&gt;4,"5-10 YIL",AG154&gt;2,"3-5 YIL",AG154&gt;0.9,"1-3 YIL",AG154&lt;1,"0-1 YIL")</f>
        <v>5-10 YIL</v>
      </c>
      <c r="AJ154">
        <f t="shared" si="7"/>
        <v>2020</v>
      </c>
      <c r="AK154" t="e">
        <f t="shared" si="8"/>
        <v>#VALUE!</v>
      </c>
    </row>
    <row r="155" spans="1:37" x14ac:dyDescent="0.3">
      <c r="A155" s="6" t="s">
        <v>365</v>
      </c>
      <c r="B155" s="7" t="s">
        <v>366</v>
      </c>
      <c r="C155" s="6" t="s">
        <v>33</v>
      </c>
      <c r="D155" s="14">
        <v>36628</v>
      </c>
      <c r="E155" s="8">
        <v>26</v>
      </c>
      <c r="F155" s="6" t="s">
        <v>49</v>
      </c>
      <c r="G155" s="8">
        <v>1</v>
      </c>
      <c r="H155" s="6" t="s">
        <v>85</v>
      </c>
      <c r="I155" s="7" t="s">
        <v>61</v>
      </c>
      <c r="J155" s="7" t="s">
        <v>62</v>
      </c>
      <c r="K155" s="6" t="s">
        <v>38</v>
      </c>
      <c r="L155" s="6" t="s">
        <v>63</v>
      </c>
      <c r="M155" s="7" t="s">
        <v>64</v>
      </c>
      <c r="N155" s="6" t="s">
        <v>95</v>
      </c>
      <c r="O155" s="14">
        <v>45891</v>
      </c>
      <c r="P155" s="6" t="s">
        <v>44</v>
      </c>
      <c r="Q155" s="7" t="s">
        <v>44</v>
      </c>
      <c r="R155" s="6" t="s">
        <v>44</v>
      </c>
      <c r="S155" s="6" t="s">
        <v>56</v>
      </c>
      <c r="T155" s="9">
        <v>32700</v>
      </c>
      <c r="U155" s="9">
        <v>6200</v>
      </c>
      <c r="V155" s="8">
        <v>0</v>
      </c>
      <c r="W155" s="8">
        <v>28</v>
      </c>
      <c r="X155" s="6" t="s">
        <v>57</v>
      </c>
      <c r="Y155" s="8">
        <v>2</v>
      </c>
      <c r="Z155" s="8">
        <v>0</v>
      </c>
      <c r="AA155" s="8">
        <v>0</v>
      </c>
      <c r="AB155" s="8">
        <v>0</v>
      </c>
      <c r="AC155" s="8">
        <v>4</v>
      </c>
      <c r="AD155" s="8">
        <v>16</v>
      </c>
      <c r="AE155" s="7" t="s">
        <v>45</v>
      </c>
      <c r="AG155">
        <f t="shared" ca="1" si="6"/>
        <v>0</v>
      </c>
      <c r="AH155" s="23" t="str" cm="1">
        <f t="array" ref="AH155">_xlfn.IFS(E155&gt;49,"50+",E155&gt;39,"40-49",E155&gt;29,"30-39",E155&gt;19,"20-29")</f>
        <v>20-29</v>
      </c>
      <c r="AI155" s="24" t="str" cm="1">
        <f t="array" aca="1" ref="AI155" ca="1">_xlfn.IFS(AG155&gt;10,"10+",AG155&gt;4,"5-10 YIL",AG155&gt;2,"3-5 YIL",AG155&gt;0.9,"1-3 YIL",AG155&lt;1,"0-1 YIL")</f>
        <v>0-1 YIL</v>
      </c>
      <c r="AJ155">
        <f t="shared" si="7"/>
        <v>2025</v>
      </c>
      <c r="AK155" t="e">
        <f t="shared" si="8"/>
        <v>#VALUE!</v>
      </c>
    </row>
    <row r="156" spans="1:37" x14ac:dyDescent="0.3">
      <c r="A156" s="2" t="s">
        <v>367</v>
      </c>
      <c r="B156" s="3" t="s">
        <v>368</v>
      </c>
      <c r="C156" s="2" t="s">
        <v>33</v>
      </c>
      <c r="D156" s="13">
        <v>37416</v>
      </c>
      <c r="E156" s="4">
        <v>24</v>
      </c>
      <c r="F156" s="2" t="s">
        <v>34</v>
      </c>
      <c r="G156" s="4">
        <v>0</v>
      </c>
      <c r="H156" s="2" t="s">
        <v>85</v>
      </c>
      <c r="I156" s="3" t="s">
        <v>36</v>
      </c>
      <c r="J156" s="3" t="s">
        <v>37</v>
      </c>
      <c r="K156" s="2" t="s">
        <v>38</v>
      </c>
      <c r="L156" s="2" t="s">
        <v>39</v>
      </c>
      <c r="M156" s="3" t="s">
        <v>40</v>
      </c>
      <c r="N156" s="2" t="s">
        <v>41</v>
      </c>
      <c r="O156" s="13">
        <v>45326</v>
      </c>
      <c r="P156" s="2" t="s">
        <v>44</v>
      </c>
      <c r="Q156" s="3" t="s">
        <v>44</v>
      </c>
      <c r="R156" s="2" t="s">
        <v>44</v>
      </c>
      <c r="S156" s="2" t="s">
        <v>56</v>
      </c>
      <c r="T156" s="5">
        <v>28200</v>
      </c>
      <c r="U156" s="5">
        <v>0</v>
      </c>
      <c r="V156" s="4">
        <v>21</v>
      </c>
      <c r="W156" s="4">
        <v>28</v>
      </c>
      <c r="X156" s="2" t="s">
        <v>57</v>
      </c>
      <c r="Y156" s="4">
        <v>2</v>
      </c>
      <c r="Z156" s="4">
        <v>8</v>
      </c>
      <c r="AA156" s="4">
        <v>0</v>
      </c>
      <c r="AB156" s="4">
        <v>0</v>
      </c>
      <c r="AC156" s="4">
        <v>3</v>
      </c>
      <c r="AD156" s="4">
        <v>16</v>
      </c>
      <c r="AE156" s="3" t="s">
        <v>58</v>
      </c>
      <c r="AG156">
        <f t="shared" ca="1" si="6"/>
        <v>2</v>
      </c>
      <c r="AH156" s="23" t="str" cm="1">
        <f t="array" ref="AH156">_xlfn.IFS(E156&gt;49,"50+",E156&gt;39,"40-49",E156&gt;29,"30-39",E156&gt;19,"20-29")</f>
        <v>20-29</v>
      </c>
      <c r="AI156" s="24" t="str" cm="1">
        <f t="array" aca="1" ref="AI156" ca="1">_xlfn.IFS(AG156&gt;10,"10+",AG156&gt;4,"5-10 YIL",AG156&gt;2,"3-5 YIL",AG156&gt;0.9,"1-3 YIL",AG156&lt;1,"0-1 YIL")</f>
        <v>1-3 YIL</v>
      </c>
      <c r="AJ156">
        <f t="shared" si="7"/>
        <v>2024</v>
      </c>
      <c r="AK156" t="e">
        <f t="shared" si="8"/>
        <v>#VALUE!</v>
      </c>
    </row>
    <row r="157" spans="1:37" x14ac:dyDescent="0.3">
      <c r="A157" s="6" t="s">
        <v>369</v>
      </c>
      <c r="B157" s="7" t="s">
        <v>370</v>
      </c>
      <c r="C157" s="6" t="s">
        <v>33</v>
      </c>
      <c r="D157" s="14">
        <v>29738</v>
      </c>
      <c r="E157" s="8">
        <v>45</v>
      </c>
      <c r="F157" s="6" t="s">
        <v>49</v>
      </c>
      <c r="G157" s="8">
        <v>0</v>
      </c>
      <c r="H157" s="6" t="s">
        <v>35</v>
      </c>
      <c r="I157" s="7" t="s">
        <v>61</v>
      </c>
      <c r="J157" s="7" t="s">
        <v>107</v>
      </c>
      <c r="K157" s="6" t="s">
        <v>51</v>
      </c>
      <c r="L157" s="6" t="s">
        <v>63</v>
      </c>
      <c r="M157" s="7" t="s">
        <v>64</v>
      </c>
      <c r="N157" s="6" t="s">
        <v>41</v>
      </c>
      <c r="O157" s="14">
        <v>43043</v>
      </c>
      <c r="P157" s="6" t="s">
        <v>44</v>
      </c>
      <c r="Q157" s="7" t="s">
        <v>44</v>
      </c>
      <c r="R157" s="6" t="s">
        <v>44</v>
      </c>
      <c r="S157" s="6" t="s">
        <v>56</v>
      </c>
      <c r="T157" s="9">
        <v>60300</v>
      </c>
      <c r="U157" s="9">
        <v>0</v>
      </c>
      <c r="V157" s="8">
        <v>3</v>
      </c>
      <c r="W157" s="8">
        <v>30</v>
      </c>
      <c r="X157" s="6" t="s">
        <v>44</v>
      </c>
      <c r="Y157" s="8">
        <v>0</v>
      </c>
      <c r="Z157" s="8">
        <v>9</v>
      </c>
      <c r="AA157" s="8">
        <v>0</v>
      </c>
      <c r="AB157" s="8">
        <v>0</v>
      </c>
      <c r="AC157" s="8">
        <v>3</v>
      </c>
      <c r="AD157" s="8">
        <v>15</v>
      </c>
      <c r="AE157" s="7" t="s">
        <v>45</v>
      </c>
      <c r="AG157">
        <f t="shared" ca="1" si="6"/>
        <v>8</v>
      </c>
      <c r="AH157" s="23" t="str" cm="1">
        <f t="array" ref="AH157">_xlfn.IFS(E157&gt;49,"50+",E157&gt;39,"40-49",E157&gt;29,"30-39",E157&gt;19,"20-29")</f>
        <v>40-49</v>
      </c>
      <c r="AI157" s="24" t="str" cm="1">
        <f t="array" aca="1" ref="AI157" ca="1">_xlfn.IFS(AG157&gt;10,"10+",AG157&gt;4,"5-10 YIL",AG157&gt;2,"3-5 YIL",AG157&gt;0.9,"1-3 YIL",AG157&lt;1,"0-1 YIL")</f>
        <v>5-10 YIL</v>
      </c>
      <c r="AJ157">
        <f t="shared" si="7"/>
        <v>2017</v>
      </c>
      <c r="AK157" t="e">
        <f t="shared" si="8"/>
        <v>#VALUE!</v>
      </c>
    </row>
    <row r="158" spans="1:37" x14ac:dyDescent="0.3">
      <c r="A158" s="2" t="s">
        <v>371</v>
      </c>
      <c r="B158" s="3" t="s">
        <v>372</v>
      </c>
      <c r="C158" s="2" t="s">
        <v>33</v>
      </c>
      <c r="D158" s="13">
        <v>35864</v>
      </c>
      <c r="E158" s="4">
        <v>28</v>
      </c>
      <c r="F158" s="2" t="s">
        <v>49</v>
      </c>
      <c r="G158" s="4">
        <v>2</v>
      </c>
      <c r="H158" s="2" t="s">
        <v>35</v>
      </c>
      <c r="I158" s="3" t="s">
        <v>36</v>
      </c>
      <c r="J158" s="3" t="s">
        <v>50</v>
      </c>
      <c r="K158" s="2" t="s">
        <v>51</v>
      </c>
      <c r="L158" s="2" t="s">
        <v>39</v>
      </c>
      <c r="M158" s="3" t="s">
        <v>40</v>
      </c>
      <c r="N158" s="2" t="s">
        <v>52</v>
      </c>
      <c r="O158" s="13">
        <v>44173</v>
      </c>
      <c r="P158" s="2" t="s">
        <v>44</v>
      </c>
      <c r="Q158" s="3" t="s">
        <v>44</v>
      </c>
      <c r="R158" s="2" t="s">
        <v>44</v>
      </c>
      <c r="S158" s="2" t="s">
        <v>56</v>
      </c>
      <c r="T158" s="5">
        <v>39600</v>
      </c>
      <c r="U158" s="5">
        <v>0</v>
      </c>
      <c r="V158" s="4">
        <v>43</v>
      </c>
      <c r="W158" s="4">
        <v>30</v>
      </c>
      <c r="X158" s="2" t="s">
        <v>44</v>
      </c>
      <c r="Y158" s="4">
        <v>0</v>
      </c>
      <c r="Z158" s="4">
        <v>1</v>
      </c>
      <c r="AA158" s="4">
        <v>0</v>
      </c>
      <c r="AB158" s="4">
        <v>0</v>
      </c>
      <c r="AC158" s="4">
        <v>4</v>
      </c>
      <c r="AD158" s="4">
        <v>27</v>
      </c>
      <c r="AE158" s="3" t="s">
        <v>58</v>
      </c>
      <c r="AG158">
        <f t="shared" ca="1" si="6"/>
        <v>5</v>
      </c>
      <c r="AH158" s="23" t="str" cm="1">
        <f t="array" ref="AH158">_xlfn.IFS(E158&gt;49,"50+",E158&gt;39,"40-49",E158&gt;29,"30-39",E158&gt;19,"20-29")</f>
        <v>20-29</v>
      </c>
      <c r="AI158" s="24" t="str" cm="1">
        <f t="array" aca="1" ref="AI158" ca="1">_xlfn.IFS(AG158&gt;10,"10+",AG158&gt;4,"5-10 YIL",AG158&gt;2,"3-5 YIL",AG158&gt;0.9,"1-3 YIL",AG158&lt;1,"0-1 YIL")</f>
        <v>5-10 YIL</v>
      </c>
      <c r="AJ158">
        <f t="shared" si="7"/>
        <v>2020</v>
      </c>
      <c r="AK158" t="e">
        <f t="shared" si="8"/>
        <v>#VALUE!</v>
      </c>
    </row>
    <row r="159" spans="1:37" x14ac:dyDescent="0.3">
      <c r="A159" s="6" t="s">
        <v>373</v>
      </c>
      <c r="B159" s="7" t="s">
        <v>374</v>
      </c>
      <c r="C159" s="6" t="s">
        <v>33</v>
      </c>
      <c r="D159" s="14">
        <v>38108</v>
      </c>
      <c r="E159" s="8">
        <v>22</v>
      </c>
      <c r="F159" s="6" t="s">
        <v>49</v>
      </c>
      <c r="G159" s="8">
        <v>1</v>
      </c>
      <c r="H159" s="6" t="s">
        <v>35</v>
      </c>
      <c r="I159" s="7" t="s">
        <v>70</v>
      </c>
      <c r="J159" s="7" t="s">
        <v>92</v>
      </c>
      <c r="K159" s="6" t="s">
        <v>38</v>
      </c>
      <c r="L159" s="6" t="s">
        <v>63</v>
      </c>
      <c r="M159" s="7" t="s">
        <v>72</v>
      </c>
      <c r="N159" s="6" t="s">
        <v>41</v>
      </c>
      <c r="O159" s="14">
        <v>45203</v>
      </c>
      <c r="P159" s="6" t="s">
        <v>44</v>
      </c>
      <c r="Q159" s="7" t="s">
        <v>44</v>
      </c>
      <c r="R159" s="6" t="s">
        <v>44</v>
      </c>
      <c r="S159" s="6" t="s">
        <v>56</v>
      </c>
      <c r="T159" s="9">
        <v>39300</v>
      </c>
      <c r="U159" s="9">
        <v>0</v>
      </c>
      <c r="V159" s="8">
        <v>4</v>
      </c>
      <c r="W159" s="8">
        <v>30</v>
      </c>
      <c r="X159" s="6" t="s">
        <v>44</v>
      </c>
      <c r="Y159" s="8">
        <v>0</v>
      </c>
      <c r="Z159" s="8">
        <v>8</v>
      </c>
      <c r="AA159" s="8">
        <v>0</v>
      </c>
      <c r="AB159" s="8">
        <v>0</v>
      </c>
      <c r="AC159" s="8">
        <v>3</v>
      </c>
      <c r="AD159" s="8">
        <v>10</v>
      </c>
      <c r="AE159" s="7" t="s">
        <v>58</v>
      </c>
      <c r="AG159">
        <f t="shared" ca="1" si="6"/>
        <v>2</v>
      </c>
      <c r="AH159" s="23" t="str" cm="1">
        <f t="array" ref="AH159">_xlfn.IFS(E159&gt;49,"50+",E159&gt;39,"40-49",E159&gt;29,"30-39",E159&gt;19,"20-29")</f>
        <v>20-29</v>
      </c>
      <c r="AI159" s="24" t="str" cm="1">
        <f t="array" aca="1" ref="AI159" ca="1">_xlfn.IFS(AG159&gt;10,"10+",AG159&gt;4,"5-10 YIL",AG159&gt;2,"3-5 YIL",AG159&gt;0.9,"1-3 YIL",AG159&lt;1,"0-1 YIL")</f>
        <v>1-3 YIL</v>
      </c>
      <c r="AJ159">
        <f t="shared" si="7"/>
        <v>2023</v>
      </c>
      <c r="AK159" t="e">
        <f t="shared" si="8"/>
        <v>#VALUE!</v>
      </c>
    </row>
    <row r="160" spans="1:37" x14ac:dyDescent="0.3">
      <c r="A160" s="2" t="s">
        <v>375</v>
      </c>
      <c r="B160" s="3" t="s">
        <v>376</v>
      </c>
      <c r="C160" s="2" t="s">
        <v>48</v>
      </c>
      <c r="D160" s="13">
        <v>29260</v>
      </c>
      <c r="E160" s="4">
        <v>46</v>
      </c>
      <c r="F160" s="2" t="s">
        <v>34</v>
      </c>
      <c r="G160" s="4">
        <v>0</v>
      </c>
      <c r="H160" s="2" t="s">
        <v>35</v>
      </c>
      <c r="I160" s="3" t="s">
        <v>61</v>
      </c>
      <c r="J160" s="3" t="s">
        <v>107</v>
      </c>
      <c r="K160" s="2" t="s">
        <v>51</v>
      </c>
      <c r="L160" s="2" t="s">
        <v>63</v>
      </c>
      <c r="M160" s="3" t="s">
        <v>64</v>
      </c>
      <c r="N160" s="2" t="s">
        <v>41</v>
      </c>
      <c r="O160" s="13">
        <v>44077</v>
      </c>
      <c r="P160" s="2" t="s">
        <v>44</v>
      </c>
      <c r="Q160" s="3" t="s">
        <v>44</v>
      </c>
      <c r="R160" s="2" t="s">
        <v>44</v>
      </c>
      <c r="S160" s="2" t="s">
        <v>56</v>
      </c>
      <c r="T160" s="5">
        <v>53100</v>
      </c>
      <c r="U160" s="5">
        <v>10500</v>
      </c>
      <c r="V160" s="4">
        <v>2</v>
      </c>
      <c r="W160" s="4">
        <v>30</v>
      </c>
      <c r="X160" s="2" t="s">
        <v>44</v>
      </c>
      <c r="Y160" s="4">
        <v>0</v>
      </c>
      <c r="Z160" s="4">
        <v>7</v>
      </c>
      <c r="AA160" s="4">
        <v>0</v>
      </c>
      <c r="AB160" s="4">
        <v>0</v>
      </c>
      <c r="AC160" s="4">
        <v>4</v>
      </c>
      <c r="AD160" s="4">
        <v>23</v>
      </c>
      <c r="AE160" s="3" t="s">
        <v>45</v>
      </c>
      <c r="AG160">
        <f t="shared" ca="1" si="6"/>
        <v>5</v>
      </c>
      <c r="AH160" s="23" t="str" cm="1">
        <f t="array" ref="AH160">_xlfn.IFS(E160&gt;49,"50+",E160&gt;39,"40-49",E160&gt;29,"30-39",E160&gt;19,"20-29")</f>
        <v>40-49</v>
      </c>
      <c r="AI160" s="24" t="str" cm="1">
        <f t="array" aca="1" ref="AI160" ca="1">_xlfn.IFS(AG160&gt;10,"10+",AG160&gt;4,"5-10 YIL",AG160&gt;2,"3-5 YIL",AG160&gt;0.9,"1-3 YIL",AG160&lt;1,"0-1 YIL")</f>
        <v>5-10 YIL</v>
      </c>
      <c r="AJ160">
        <f t="shared" si="7"/>
        <v>2020</v>
      </c>
      <c r="AK160" t="e">
        <f t="shared" si="8"/>
        <v>#VALUE!</v>
      </c>
    </row>
    <row r="161" spans="1:37" x14ac:dyDescent="0.3">
      <c r="A161" s="6" t="s">
        <v>377</v>
      </c>
      <c r="B161" s="7" t="s">
        <v>181</v>
      </c>
      <c r="C161" s="6" t="s">
        <v>48</v>
      </c>
      <c r="D161" s="14">
        <v>36802</v>
      </c>
      <c r="E161" s="8">
        <v>26</v>
      </c>
      <c r="F161" s="6" t="s">
        <v>49</v>
      </c>
      <c r="G161" s="8">
        <v>3</v>
      </c>
      <c r="H161" s="6" t="s">
        <v>35</v>
      </c>
      <c r="I161" s="7" t="s">
        <v>70</v>
      </c>
      <c r="J161" s="7" t="s">
        <v>92</v>
      </c>
      <c r="K161" s="6" t="s">
        <v>38</v>
      </c>
      <c r="L161" s="6" t="s">
        <v>63</v>
      </c>
      <c r="M161" s="7" t="s">
        <v>72</v>
      </c>
      <c r="N161" s="6" t="s">
        <v>41</v>
      </c>
      <c r="O161" s="14">
        <v>45105</v>
      </c>
      <c r="P161" s="6" t="s">
        <v>44</v>
      </c>
      <c r="Q161" s="7" t="s">
        <v>44</v>
      </c>
      <c r="R161" s="6" t="s">
        <v>44</v>
      </c>
      <c r="S161" s="6" t="s">
        <v>56</v>
      </c>
      <c r="T161" s="9">
        <v>38400</v>
      </c>
      <c r="U161" s="9">
        <v>0</v>
      </c>
      <c r="V161" s="8">
        <v>3</v>
      </c>
      <c r="W161" s="8">
        <v>30</v>
      </c>
      <c r="X161" s="6" t="s">
        <v>44</v>
      </c>
      <c r="Y161" s="8">
        <v>0</v>
      </c>
      <c r="Z161" s="8">
        <v>9</v>
      </c>
      <c r="AA161" s="8">
        <v>0</v>
      </c>
      <c r="AB161" s="8">
        <v>0</v>
      </c>
      <c r="AC161" s="8">
        <v>3</v>
      </c>
      <c r="AD161" s="8">
        <v>12</v>
      </c>
      <c r="AE161" s="7" t="s">
        <v>82</v>
      </c>
      <c r="AG161">
        <f t="shared" ca="1" si="6"/>
        <v>3</v>
      </c>
      <c r="AH161" s="23" t="str" cm="1">
        <f t="array" ref="AH161">_xlfn.IFS(E161&gt;49,"50+",E161&gt;39,"40-49",E161&gt;29,"30-39",E161&gt;19,"20-29")</f>
        <v>20-29</v>
      </c>
      <c r="AI161" s="24" t="str" cm="1">
        <f t="array" aca="1" ref="AI161" ca="1">_xlfn.IFS(AG161&gt;10,"10+",AG161&gt;4,"5-10 YIL",AG161&gt;2,"3-5 YIL",AG161&gt;0.9,"1-3 YIL",AG161&lt;1,"0-1 YIL")</f>
        <v>3-5 YIL</v>
      </c>
      <c r="AJ161">
        <f t="shared" si="7"/>
        <v>2023</v>
      </c>
      <c r="AK161" t="e">
        <f t="shared" si="8"/>
        <v>#VALUE!</v>
      </c>
    </row>
    <row r="162" spans="1:37" x14ac:dyDescent="0.3">
      <c r="A162" s="2" t="s">
        <v>378</v>
      </c>
      <c r="B162" s="3" t="s">
        <v>379</v>
      </c>
      <c r="C162" s="2" t="s">
        <v>48</v>
      </c>
      <c r="D162" s="13">
        <v>33080</v>
      </c>
      <c r="E162" s="4">
        <v>36</v>
      </c>
      <c r="F162" s="2" t="s">
        <v>34</v>
      </c>
      <c r="G162" s="4">
        <v>0</v>
      </c>
      <c r="H162" s="2" t="s">
        <v>88</v>
      </c>
      <c r="I162" s="3" t="s">
        <v>139</v>
      </c>
      <c r="J162" s="3" t="s">
        <v>161</v>
      </c>
      <c r="K162" s="2" t="s">
        <v>51</v>
      </c>
      <c r="L162" s="2" t="s">
        <v>63</v>
      </c>
      <c r="M162" s="3" t="s">
        <v>162</v>
      </c>
      <c r="N162" s="2" t="s">
        <v>41</v>
      </c>
      <c r="O162" s="13">
        <v>43409</v>
      </c>
      <c r="P162" s="2" t="s">
        <v>44</v>
      </c>
      <c r="Q162" s="3" t="s">
        <v>44</v>
      </c>
      <c r="R162" s="2" t="s">
        <v>44</v>
      </c>
      <c r="S162" s="2" t="s">
        <v>56</v>
      </c>
      <c r="T162" s="5">
        <v>74400</v>
      </c>
      <c r="U162" s="5">
        <v>0</v>
      </c>
      <c r="V162" s="4">
        <v>8</v>
      </c>
      <c r="W162" s="4">
        <v>30</v>
      </c>
      <c r="X162" s="2" t="s">
        <v>44</v>
      </c>
      <c r="Y162" s="4">
        <v>0</v>
      </c>
      <c r="Z162" s="4">
        <v>9</v>
      </c>
      <c r="AA162" s="4">
        <v>0</v>
      </c>
      <c r="AB162" s="4">
        <v>0</v>
      </c>
      <c r="AC162" s="4">
        <v>4</v>
      </c>
      <c r="AD162" s="4">
        <v>34</v>
      </c>
      <c r="AE162" s="3" t="s">
        <v>58</v>
      </c>
      <c r="AG162">
        <f t="shared" ca="1" si="6"/>
        <v>7</v>
      </c>
      <c r="AH162" s="23" t="str" cm="1">
        <f t="array" ref="AH162">_xlfn.IFS(E162&gt;49,"50+",E162&gt;39,"40-49",E162&gt;29,"30-39",E162&gt;19,"20-29")</f>
        <v>30-39</v>
      </c>
      <c r="AI162" s="24" t="str" cm="1">
        <f t="array" aca="1" ref="AI162" ca="1">_xlfn.IFS(AG162&gt;10,"10+",AG162&gt;4,"5-10 YIL",AG162&gt;2,"3-5 YIL",AG162&gt;0.9,"1-3 YIL",AG162&lt;1,"0-1 YIL")</f>
        <v>5-10 YIL</v>
      </c>
      <c r="AJ162">
        <f t="shared" si="7"/>
        <v>2018</v>
      </c>
      <c r="AK162" t="e">
        <f t="shared" si="8"/>
        <v>#VALUE!</v>
      </c>
    </row>
    <row r="163" spans="1:37" x14ac:dyDescent="0.3">
      <c r="A163" s="6" t="s">
        <v>380</v>
      </c>
      <c r="B163" s="7" t="s">
        <v>154</v>
      </c>
      <c r="C163" s="6" t="s">
        <v>48</v>
      </c>
      <c r="D163" s="14">
        <v>37476</v>
      </c>
      <c r="E163" s="8">
        <v>24</v>
      </c>
      <c r="F163" s="6" t="s">
        <v>34</v>
      </c>
      <c r="G163" s="8">
        <v>0</v>
      </c>
      <c r="H163" s="6" t="s">
        <v>35</v>
      </c>
      <c r="I163" s="7" t="s">
        <v>36</v>
      </c>
      <c r="J163" s="7" t="s">
        <v>37</v>
      </c>
      <c r="K163" s="6" t="s">
        <v>38</v>
      </c>
      <c r="L163" s="6" t="s">
        <v>39</v>
      </c>
      <c r="M163" s="7" t="s">
        <v>40</v>
      </c>
      <c r="N163" s="6" t="s">
        <v>95</v>
      </c>
      <c r="O163" s="14">
        <v>45750</v>
      </c>
      <c r="P163" s="6" t="s">
        <v>44</v>
      </c>
      <c r="Q163" s="7" t="s">
        <v>44</v>
      </c>
      <c r="R163" s="6" t="s">
        <v>44</v>
      </c>
      <c r="S163" s="6" t="s">
        <v>56</v>
      </c>
      <c r="T163" s="9">
        <v>26700</v>
      </c>
      <c r="U163" s="9">
        <v>0</v>
      </c>
      <c r="V163" s="8">
        <v>11</v>
      </c>
      <c r="W163" s="8">
        <v>30</v>
      </c>
      <c r="X163" s="6" t="s">
        <v>44</v>
      </c>
      <c r="Y163" s="8">
        <v>0</v>
      </c>
      <c r="Z163" s="8">
        <v>11</v>
      </c>
      <c r="AA163" s="8">
        <v>0</v>
      </c>
      <c r="AB163" s="8">
        <v>0</v>
      </c>
      <c r="AC163" s="8">
        <v>3</v>
      </c>
      <c r="AD163" s="8">
        <v>3</v>
      </c>
      <c r="AE163" s="7" t="s">
        <v>45</v>
      </c>
      <c r="AG163">
        <f t="shared" ca="1" si="6"/>
        <v>1</v>
      </c>
      <c r="AH163" s="23" t="str" cm="1">
        <f t="array" ref="AH163">_xlfn.IFS(E163&gt;49,"50+",E163&gt;39,"40-49",E163&gt;29,"30-39",E163&gt;19,"20-29")</f>
        <v>20-29</v>
      </c>
      <c r="AI163" s="24" t="str" cm="1">
        <f t="array" aca="1" ref="AI163" ca="1">_xlfn.IFS(AG163&gt;10,"10+",AG163&gt;4,"5-10 YIL",AG163&gt;2,"3-5 YIL",AG163&gt;0.9,"1-3 YIL",AG163&lt;1,"0-1 YIL")</f>
        <v>1-3 YIL</v>
      </c>
      <c r="AJ163">
        <f t="shared" si="7"/>
        <v>2025</v>
      </c>
      <c r="AK163" t="e">
        <f t="shared" si="8"/>
        <v>#VALUE!</v>
      </c>
    </row>
    <row r="164" spans="1:37" x14ac:dyDescent="0.3">
      <c r="A164" s="2" t="s">
        <v>381</v>
      </c>
      <c r="B164" s="3" t="s">
        <v>382</v>
      </c>
      <c r="C164" s="2" t="s">
        <v>48</v>
      </c>
      <c r="D164" s="13">
        <v>37269</v>
      </c>
      <c r="E164" s="4">
        <v>24</v>
      </c>
      <c r="F164" s="2" t="s">
        <v>34</v>
      </c>
      <c r="G164" s="4">
        <v>0</v>
      </c>
      <c r="H164" s="2" t="s">
        <v>35</v>
      </c>
      <c r="I164" s="3" t="s">
        <v>36</v>
      </c>
      <c r="J164" s="3" t="s">
        <v>37</v>
      </c>
      <c r="K164" s="2" t="s">
        <v>38</v>
      </c>
      <c r="L164" s="2" t="s">
        <v>39</v>
      </c>
      <c r="M164" s="3" t="s">
        <v>40</v>
      </c>
      <c r="N164" s="2" t="s">
        <v>41</v>
      </c>
      <c r="O164" s="13">
        <v>45653</v>
      </c>
      <c r="P164" s="2" t="s">
        <v>44</v>
      </c>
      <c r="Q164" s="3" t="s">
        <v>44</v>
      </c>
      <c r="R164" s="2" t="s">
        <v>44</v>
      </c>
      <c r="S164" s="2" t="s">
        <v>56</v>
      </c>
      <c r="T164" s="5">
        <v>25100</v>
      </c>
      <c r="U164" s="5">
        <v>0</v>
      </c>
      <c r="V164" s="4">
        <v>36</v>
      </c>
      <c r="W164" s="4">
        <v>30</v>
      </c>
      <c r="X164" s="2" t="s">
        <v>44</v>
      </c>
      <c r="Y164" s="4">
        <v>0</v>
      </c>
      <c r="Z164" s="4">
        <v>6</v>
      </c>
      <c r="AA164" s="4">
        <v>0</v>
      </c>
      <c r="AB164" s="4">
        <v>0</v>
      </c>
      <c r="AC164" s="4">
        <v>4</v>
      </c>
      <c r="AD164" s="4">
        <v>34</v>
      </c>
      <c r="AE164" s="3" t="s">
        <v>96</v>
      </c>
      <c r="AG164">
        <f t="shared" ca="1" si="6"/>
        <v>1</v>
      </c>
      <c r="AH164" s="23" t="str" cm="1">
        <f t="array" ref="AH164">_xlfn.IFS(E164&gt;49,"50+",E164&gt;39,"40-49",E164&gt;29,"30-39",E164&gt;19,"20-29")</f>
        <v>20-29</v>
      </c>
      <c r="AI164" s="24" t="str" cm="1">
        <f t="array" aca="1" ref="AI164" ca="1">_xlfn.IFS(AG164&gt;10,"10+",AG164&gt;4,"5-10 YIL",AG164&gt;2,"3-5 YIL",AG164&gt;0.9,"1-3 YIL",AG164&lt;1,"0-1 YIL")</f>
        <v>1-3 YIL</v>
      </c>
      <c r="AJ164">
        <f t="shared" si="7"/>
        <v>2024</v>
      </c>
      <c r="AK164" t="e">
        <f t="shared" si="8"/>
        <v>#VALUE!</v>
      </c>
    </row>
    <row r="165" spans="1:37" x14ac:dyDescent="0.3">
      <c r="A165" s="6" t="s">
        <v>383</v>
      </c>
      <c r="B165" s="7" t="s">
        <v>384</v>
      </c>
      <c r="C165" s="6" t="s">
        <v>48</v>
      </c>
      <c r="D165" s="14">
        <v>36600</v>
      </c>
      <c r="E165" s="8">
        <v>26</v>
      </c>
      <c r="F165" s="6" t="s">
        <v>34</v>
      </c>
      <c r="G165" s="8">
        <v>0</v>
      </c>
      <c r="H165" s="6" t="s">
        <v>35</v>
      </c>
      <c r="I165" s="7" t="s">
        <v>36</v>
      </c>
      <c r="J165" s="7" t="s">
        <v>37</v>
      </c>
      <c r="K165" s="6" t="s">
        <v>38</v>
      </c>
      <c r="L165" s="6" t="s">
        <v>39</v>
      </c>
      <c r="M165" s="7" t="s">
        <v>40</v>
      </c>
      <c r="N165" s="6" t="s">
        <v>41</v>
      </c>
      <c r="O165" s="14">
        <v>46169</v>
      </c>
      <c r="P165" s="6" t="s">
        <v>44</v>
      </c>
      <c r="Q165" s="7" t="s">
        <v>44</v>
      </c>
      <c r="R165" s="6" t="s">
        <v>44</v>
      </c>
      <c r="S165" s="6" t="s">
        <v>56</v>
      </c>
      <c r="T165" s="9">
        <v>27700</v>
      </c>
      <c r="U165" s="9">
        <v>0</v>
      </c>
      <c r="V165" s="8">
        <v>34</v>
      </c>
      <c r="W165" s="8">
        <v>28</v>
      </c>
      <c r="X165" s="6" t="s">
        <v>57</v>
      </c>
      <c r="Y165" s="8">
        <v>2</v>
      </c>
      <c r="Z165" s="8">
        <v>0</v>
      </c>
      <c r="AA165" s="8">
        <v>0</v>
      </c>
      <c r="AB165" s="8">
        <v>0</v>
      </c>
      <c r="AC165" s="8">
        <v>4</v>
      </c>
      <c r="AD165" s="8">
        <v>19</v>
      </c>
      <c r="AE165" s="7" t="s">
        <v>58</v>
      </c>
      <c r="AG165">
        <f t="shared" ca="1" si="6"/>
        <v>0</v>
      </c>
      <c r="AH165" s="23" t="str" cm="1">
        <f t="array" ref="AH165">_xlfn.IFS(E165&gt;49,"50+",E165&gt;39,"40-49",E165&gt;29,"30-39",E165&gt;19,"20-29")</f>
        <v>20-29</v>
      </c>
      <c r="AI165" s="24" t="str" cm="1">
        <f t="array" aca="1" ref="AI165" ca="1">_xlfn.IFS(AG165&gt;10,"10+",AG165&gt;4,"5-10 YIL",AG165&gt;2,"3-5 YIL",AG165&gt;0.9,"1-3 YIL",AG165&lt;1,"0-1 YIL")</f>
        <v>0-1 YIL</v>
      </c>
      <c r="AJ165">
        <f t="shared" si="7"/>
        <v>2026</v>
      </c>
      <c r="AK165" t="e">
        <f t="shared" si="8"/>
        <v>#VALUE!</v>
      </c>
    </row>
    <row r="166" spans="1:37" x14ac:dyDescent="0.3">
      <c r="A166" s="2" t="s">
        <v>385</v>
      </c>
      <c r="B166" s="3" t="s">
        <v>386</v>
      </c>
      <c r="C166" s="2" t="s">
        <v>33</v>
      </c>
      <c r="D166" s="13">
        <v>30258</v>
      </c>
      <c r="E166" s="4">
        <v>44</v>
      </c>
      <c r="F166" s="2" t="s">
        <v>34</v>
      </c>
      <c r="G166" s="4">
        <v>0</v>
      </c>
      <c r="H166" s="2" t="s">
        <v>35</v>
      </c>
      <c r="I166" s="3" t="s">
        <v>148</v>
      </c>
      <c r="J166" s="3" t="s">
        <v>197</v>
      </c>
      <c r="K166" s="2" t="s">
        <v>79</v>
      </c>
      <c r="L166" s="2" t="s">
        <v>63</v>
      </c>
      <c r="M166" s="3" t="s">
        <v>80</v>
      </c>
      <c r="N166" s="2" t="s">
        <v>52</v>
      </c>
      <c r="O166" s="13">
        <v>43267</v>
      </c>
      <c r="P166" s="2" t="s">
        <v>44</v>
      </c>
      <c r="Q166" s="3" t="s">
        <v>44</v>
      </c>
      <c r="R166" s="2" t="s">
        <v>44</v>
      </c>
      <c r="S166" s="2" t="s">
        <v>56</v>
      </c>
      <c r="T166" s="5">
        <v>103200</v>
      </c>
      <c r="U166" s="5">
        <v>0</v>
      </c>
      <c r="V166" s="4">
        <v>4</v>
      </c>
      <c r="W166" s="4">
        <v>29</v>
      </c>
      <c r="X166" s="2" t="s">
        <v>57</v>
      </c>
      <c r="Y166" s="4">
        <v>1</v>
      </c>
      <c r="Z166" s="4">
        <v>14</v>
      </c>
      <c r="AA166" s="4">
        <v>0</v>
      </c>
      <c r="AB166" s="4">
        <v>0</v>
      </c>
      <c r="AC166" s="4">
        <v>2</v>
      </c>
      <c r="AD166" s="4">
        <v>4</v>
      </c>
      <c r="AE166" s="3" t="s">
        <v>45</v>
      </c>
      <c r="AG166">
        <f t="shared" ca="1" si="6"/>
        <v>8</v>
      </c>
      <c r="AH166" s="23" t="str" cm="1">
        <f t="array" ref="AH166">_xlfn.IFS(E166&gt;49,"50+",E166&gt;39,"40-49",E166&gt;29,"30-39",E166&gt;19,"20-29")</f>
        <v>40-49</v>
      </c>
      <c r="AI166" s="24" t="str" cm="1">
        <f t="array" aca="1" ref="AI166" ca="1">_xlfn.IFS(AG166&gt;10,"10+",AG166&gt;4,"5-10 YIL",AG166&gt;2,"3-5 YIL",AG166&gt;0.9,"1-3 YIL",AG166&lt;1,"0-1 YIL")</f>
        <v>5-10 YIL</v>
      </c>
      <c r="AJ166">
        <f t="shared" si="7"/>
        <v>2018</v>
      </c>
      <c r="AK166" t="e">
        <f t="shared" si="8"/>
        <v>#VALUE!</v>
      </c>
    </row>
    <row r="167" spans="1:37" x14ac:dyDescent="0.3">
      <c r="A167" s="6" t="s">
        <v>387</v>
      </c>
      <c r="B167" s="7" t="s">
        <v>388</v>
      </c>
      <c r="C167" s="6" t="s">
        <v>33</v>
      </c>
      <c r="D167" s="14">
        <v>37397</v>
      </c>
      <c r="E167" s="8">
        <v>24</v>
      </c>
      <c r="F167" s="6" t="s">
        <v>34</v>
      </c>
      <c r="G167" s="8">
        <v>0</v>
      </c>
      <c r="H167" s="6" t="s">
        <v>35</v>
      </c>
      <c r="I167" s="7" t="s">
        <v>36</v>
      </c>
      <c r="J167" s="7" t="s">
        <v>37</v>
      </c>
      <c r="K167" s="6" t="s">
        <v>38</v>
      </c>
      <c r="L167" s="6" t="s">
        <v>39</v>
      </c>
      <c r="M167" s="7" t="s">
        <v>40</v>
      </c>
      <c r="N167" s="6" t="s">
        <v>41</v>
      </c>
      <c r="O167" s="14">
        <v>44954</v>
      </c>
      <c r="P167" s="6" t="s">
        <v>44</v>
      </c>
      <c r="Q167" s="7" t="s">
        <v>44</v>
      </c>
      <c r="R167" s="6" t="s">
        <v>44</v>
      </c>
      <c r="S167" s="6" t="s">
        <v>56</v>
      </c>
      <c r="T167" s="9">
        <v>26700</v>
      </c>
      <c r="U167" s="9">
        <v>0</v>
      </c>
      <c r="V167" s="8">
        <v>38</v>
      </c>
      <c r="W167" s="8">
        <v>29</v>
      </c>
      <c r="X167" s="6" t="s">
        <v>57</v>
      </c>
      <c r="Y167" s="8">
        <v>1</v>
      </c>
      <c r="Z167" s="8">
        <v>9</v>
      </c>
      <c r="AA167" s="8">
        <v>0</v>
      </c>
      <c r="AB167" s="8">
        <v>0</v>
      </c>
      <c r="AC167" s="8">
        <v>3</v>
      </c>
      <c r="AD167" s="8">
        <v>17</v>
      </c>
      <c r="AE167" s="7" t="s">
        <v>58</v>
      </c>
      <c r="AG167">
        <f t="shared" ca="1" si="6"/>
        <v>3</v>
      </c>
      <c r="AH167" s="23" t="str" cm="1">
        <f t="array" ref="AH167">_xlfn.IFS(E167&gt;49,"50+",E167&gt;39,"40-49",E167&gt;29,"30-39",E167&gt;19,"20-29")</f>
        <v>20-29</v>
      </c>
      <c r="AI167" s="24" t="str" cm="1">
        <f t="array" aca="1" ref="AI167" ca="1">_xlfn.IFS(AG167&gt;10,"10+",AG167&gt;4,"5-10 YIL",AG167&gt;2,"3-5 YIL",AG167&gt;0.9,"1-3 YIL",AG167&lt;1,"0-1 YIL")</f>
        <v>3-5 YIL</v>
      </c>
      <c r="AJ167">
        <f t="shared" si="7"/>
        <v>2023</v>
      </c>
      <c r="AK167" t="e">
        <f t="shared" si="8"/>
        <v>#VALUE!</v>
      </c>
    </row>
    <row r="168" spans="1:37" x14ac:dyDescent="0.3">
      <c r="A168" s="2" t="s">
        <v>389</v>
      </c>
      <c r="B168" s="3" t="s">
        <v>209</v>
      </c>
      <c r="C168" s="2" t="s">
        <v>48</v>
      </c>
      <c r="D168" s="13">
        <v>30127</v>
      </c>
      <c r="E168" s="4">
        <v>44</v>
      </c>
      <c r="F168" s="2" t="s">
        <v>49</v>
      </c>
      <c r="G168" s="4">
        <v>1</v>
      </c>
      <c r="H168" s="2" t="s">
        <v>35</v>
      </c>
      <c r="I168" s="3" t="s">
        <v>70</v>
      </c>
      <c r="J168" s="3" t="s">
        <v>71</v>
      </c>
      <c r="K168" s="2" t="s">
        <v>51</v>
      </c>
      <c r="L168" s="2" t="s">
        <v>63</v>
      </c>
      <c r="M168" s="3" t="s">
        <v>72</v>
      </c>
      <c r="N168" s="2" t="s">
        <v>52</v>
      </c>
      <c r="O168" s="13">
        <v>43969</v>
      </c>
      <c r="P168" s="2" t="s">
        <v>44</v>
      </c>
      <c r="Q168" s="3" t="s">
        <v>44</v>
      </c>
      <c r="R168" s="2" t="s">
        <v>44</v>
      </c>
      <c r="S168" s="2" t="s">
        <v>56</v>
      </c>
      <c r="T168" s="5">
        <v>60400</v>
      </c>
      <c r="U168" s="5">
        <v>0</v>
      </c>
      <c r="V168" s="4">
        <v>1</v>
      </c>
      <c r="W168" s="4">
        <v>29</v>
      </c>
      <c r="X168" s="2" t="s">
        <v>81</v>
      </c>
      <c r="Y168" s="4">
        <v>0</v>
      </c>
      <c r="Z168" s="4">
        <v>11</v>
      </c>
      <c r="AA168" s="4">
        <v>1</v>
      </c>
      <c r="AB168" s="4">
        <v>0</v>
      </c>
      <c r="AC168" s="4">
        <v>3</v>
      </c>
      <c r="AD168" s="4">
        <v>10</v>
      </c>
      <c r="AE168" s="3" t="s">
        <v>58</v>
      </c>
      <c r="AG168">
        <f t="shared" ca="1" si="6"/>
        <v>6</v>
      </c>
      <c r="AH168" s="23" t="str" cm="1">
        <f t="array" ref="AH168">_xlfn.IFS(E168&gt;49,"50+",E168&gt;39,"40-49",E168&gt;29,"30-39",E168&gt;19,"20-29")</f>
        <v>40-49</v>
      </c>
      <c r="AI168" s="24" t="str" cm="1">
        <f t="array" aca="1" ref="AI168" ca="1">_xlfn.IFS(AG168&gt;10,"10+",AG168&gt;4,"5-10 YIL",AG168&gt;2,"3-5 YIL",AG168&gt;0.9,"1-3 YIL",AG168&lt;1,"0-1 YIL")</f>
        <v>5-10 YIL</v>
      </c>
      <c r="AJ168">
        <f t="shared" si="7"/>
        <v>2020</v>
      </c>
      <c r="AK168" t="e">
        <f t="shared" si="8"/>
        <v>#VALUE!</v>
      </c>
    </row>
    <row r="169" spans="1:37" x14ac:dyDescent="0.3">
      <c r="A169" s="6" t="s">
        <v>390</v>
      </c>
      <c r="B169" s="7" t="s">
        <v>164</v>
      </c>
      <c r="C169" s="6" t="s">
        <v>48</v>
      </c>
      <c r="D169" s="14">
        <v>37635</v>
      </c>
      <c r="E169" s="8">
        <v>23</v>
      </c>
      <c r="F169" s="6" t="s">
        <v>49</v>
      </c>
      <c r="G169" s="8">
        <v>2</v>
      </c>
      <c r="H169" s="6" t="s">
        <v>85</v>
      </c>
      <c r="I169" s="7" t="s">
        <v>36</v>
      </c>
      <c r="J169" s="7" t="s">
        <v>37</v>
      </c>
      <c r="K169" s="6" t="s">
        <v>38</v>
      </c>
      <c r="L169" s="6" t="s">
        <v>39</v>
      </c>
      <c r="M169" s="7" t="s">
        <v>40</v>
      </c>
      <c r="N169" s="6" t="s">
        <v>41</v>
      </c>
      <c r="O169" s="14">
        <v>45302</v>
      </c>
      <c r="P169" s="6" t="s">
        <v>44</v>
      </c>
      <c r="Q169" s="7" t="s">
        <v>44</v>
      </c>
      <c r="R169" s="6" t="s">
        <v>44</v>
      </c>
      <c r="S169" s="6" t="s">
        <v>56</v>
      </c>
      <c r="T169" s="9">
        <v>27200</v>
      </c>
      <c r="U169" s="9">
        <v>0</v>
      </c>
      <c r="V169" s="8">
        <v>42</v>
      </c>
      <c r="W169" s="8">
        <v>30</v>
      </c>
      <c r="X169" s="6" t="s">
        <v>44</v>
      </c>
      <c r="Y169" s="8">
        <v>0</v>
      </c>
      <c r="Z169" s="8">
        <v>11</v>
      </c>
      <c r="AA169" s="8">
        <v>0</v>
      </c>
      <c r="AB169" s="8">
        <v>0</v>
      </c>
      <c r="AC169" s="8">
        <v>3</v>
      </c>
      <c r="AD169" s="8">
        <v>7</v>
      </c>
      <c r="AE169" s="7" t="s">
        <v>58</v>
      </c>
      <c r="AG169">
        <f t="shared" ca="1" si="6"/>
        <v>2</v>
      </c>
      <c r="AH169" s="23" t="str" cm="1">
        <f t="array" ref="AH169">_xlfn.IFS(E169&gt;49,"50+",E169&gt;39,"40-49",E169&gt;29,"30-39",E169&gt;19,"20-29")</f>
        <v>20-29</v>
      </c>
      <c r="AI169" s="24" t="str" cm="1">
        <f t="array" aca="1" ref="AI169" ca="1">_xlfn.IFS(AG169&gt;10,"10+",AG169&gt;4,"5-10 YIL",AG169&gt;2,"3-5 YIL",AG169&gt;0.9,"1-3 YIL",AG169&lt;1,"0-1 YIL")</f>
        <v>1-3 YIL</v>
      </c>
      <c r="AJ169">
        <f t="shared" si="7"/>
        <v>2024</v>
      </c>
      <c r="AK169" t="e">
        <f t="shared" si="8"/>
        <v>#VALUE!</v>
      </c>
    </row>
    <row r="170" spans="1:37" x14ac:dyDescent="0.3">
      <c r="A170" s="2" t="s">
        <v>391</v>
      </c>
      <c r="B170" s="3" t="s">
        <v>392</v>
      </c>
      <c r="C170" s="2" t="s">
        <v>48</v>
      </c>
      <c r="D170" s="13">
        <v>35601</v>
      </c>
      <c r="E170" s="4">
        <v>29</v>
      </c>
      <c r="F170" s="2" t="s">
        <v>49</v>
      </c>
      <c r="G170" s="4">
        <v>1</v>
      </c>
      <c r="H170" s="2" t="s">
        <v>35</v>
      </c>
      <c r="I170" s="3" t="s">
        <v>36</v>
      </c>
      <c r="J170" s="3" t="s">
        <v>37</v>
      </c>
      <c r="K170" s="2" t="s">
        <v>38</v>
      </c>
      <c r="L170" s="2" t="s">
        <v>39</v>
      </c>
      <c r="M170" s="3" t="s">
        <v>40</v>
      </c>
      <c r="N170" s="2" t="s">
        <v>52</v>
      </c>
      <c r="O170" s="13">
        <v>45436</v>
      </c>
      <c r="P170" s="2" t="s">
        <v>44</v>
      </c>
      <c r="Q170" s="3" t="s">
        <v>44</v>
      </c>
      <c r="R170" s="2" t="s">
        <v>44</v>
      </c>
      <c r="S170" s="2" t="s">
        <v>56</v>
      </c>
      <c r="T170" s="5">
        <v>24900</v>
      </c>
      <c r="U170" s="5">
        <v>0</v>
      </c>
      <c r="V170" s="4">
        <v>26</v>
      </c>
      <c r="W170" s="4">
        <v>30</v>
      </c>
      <c r="X170" s="2" t="s">
        <v>44</v>
      </c>
      <c r="Y170" s="4">
        <v>0</v>
      </c>
      <c r="Z170" s="4">
        <v>13</v>
      </c>
      <c r="AA170" s="4">
        <v>0</v>
      </c>
      <c r="AB170" s="4">
        <v>0</v>
      </c>
      <c r="AC170" s="4">
        <v>3</v>
      </c>
      <c r="AD170" s="4">
        <v>14</v>
      </c>
      <c r="AE170" s="3" t="s">
        <v>96</v>
      </c>
      <c r="AG170">
        <f t="shared" ca="1" si="6"/>
        <v>2</v>
      </c>
      <c r="AH170" s="23" t="str" cm="1">
        <f t="array" ref="AH170">_xlfn.IFS(E170&gt;49,"50+",E170&gt;39,"40-49",E170&gt;29,"30-39",E170&gt;19,"20-29")</f>
        <v>20-29</v>
      </c>
      <c r="AI170" s="24" t="str" cm="1">
        <f t="array" aca="1" ref="AI170" ca="1">_xlfn.IFS(AG170&gt;10,"10+",AG170&gt;4,"5-10 YIL",AG170&gt;2,"3-5 YIL",AG170&gt;0.9,"1-3 YIL",AG170&lt;1,"0-1 YIL")</f>
        <v>1-3 YIL</v>
      </c>
      <c r="AJ170">
        <f t="shared" si="7"/>
        <v>2024</v>
      </c>
      <c r="AK170" t="e">
        <f t="shared" si="8"/>
        <v>#VALUE!</v>
      </c>
    </row>
    <row r="171" spans="1:37" x14ac:dyDescent="0.3">
      <c r="A171" s="6" t="s">
        <v>393</v>
      </c>
      <c r="B171" s="7" t="s">
        <v>394</v>
      </c>
      <c r="C171" s="6" t="s">
        <v>48</v>
      </c>
      <c r="D171" s="14">
        <v>38193</v>
      </c>
      <c r="E171" s="8">
        <v>22</v>
      </c>
      <c r="F171" s="6" t="s">
        <v>34</v>
      </c>
      <c r="G171" s="8">
        <v>0</v>
      </c>
      <c r="H171" s="6" t="s">
        <v>85</v>
      </c>
      <c r="I171" s="7" t="s">
        <v>36</v>
      </c>
      <c r="J171" s="7" t="s">
        <v>37</v>
      </c>
      <c r="K171" s="6" t="s">
        <v>38</v>
      </c>
      <c r="L171" s="6" t="s">
        <v>39</v>
      </c>
      <c r="M171" s="7" t="s">
        <v>40</v>
      </c>
      <c r="N171" s="6" t="s">
        <v>41</v>
      </c>
      <c r="O171" s="14">
        <v>45180</v>
      </c>
      <c r="P171" s="14">
        <v>46094</v>
      </c>
      <c r="Q171" s="7" t="s">
        <v>53</v>
      </c>
      <c r="R171" s="6">
        <v>4</v>
      </c>
      <c r="S171" s="6" t="s">
        <v>43</v>
      </c>
      <c r="T171" s="9">
        <v>25400</v>
      </c>
      <c r="U171" s="9">
        <v>0</v>
      </c>
      <c r="V171" s="8">
        <v>21</v>
      </c>
      <c r="W171" s="8">
        <v>28</v>
      </c>
      <c r="X171" s="6" t="s">
        <v>57</v>
      </c>
      <c r="Y171" s="8">
        <v>2</v>
      </c>
      <c r="Z171" s="8">
        <v>13</v>
      </c>
      <c r="AA171" s="8">
        <v>0</v>
      </c>
      <c r="AB171" s="8">
        <v>0</v>
      </c>
      <c r="AC171" s="8">
        <v>3</v>
      </c>
      <c r="AD171" s="8">
        <v>3</v>
      </c>
      <c r="AE171" s="7" t="s">
        <v>45</v>
      </c>
      <c r="AG171">
        <f t="shared" ca="1" si="6"/>
        <v>2</v>
      </c>
      <c r="AH171" s="23" t="str" cm="1">
        <f t="array" ref="AH171">_xlfn.IFS(E171&gt;49,"50+",E171&gt;39,"40-49",E171&gt;29,"30-39",E171&gt;19,"20-29")</f>
        <v>20-29</v>
      </c>
      <c r="AI171" s="24" t="str" cm="1">
        <f t="array" aca="1" ref="AI171" ca="1">_xlfn.IFS(AG171&gt;10,"10+",AG171&gt;4,"5-10 YIL",AG171&gt;2,"3-5 YIL",AG171&gt;0.9,"1-3 YIL",AG171&lt;1,"0-1 YIL")</f>
        <v>1-3 YIL</v>
      </c>
      <c r="AJ171">
        <f t="shared" si="7"/>
        <v>2023</v>
      </c>
      <c r="AK171">
        <f t="shared" si="8"/>
        <v>2026</v>
      </c>
    </row>
    <row r="172" spans="1:37" x14ac:dyDescent="0.3">
      <c r="A172" s="2" t="s">
        <v>395</v>
      </c>
      <c r="B172" s="3" t="s">
        <v>396</v>
      </c>
      <c r="C172" s="2" t="s">
        <v>33</v>
      </c>
      <c r="D172" s="13">
        <v>30906</v>
      </c>
      <c r="E172" s="4">
        <v>42</v>
      </c>
      <c r="F172" s="2" t="s">
        <v>49</v>
      </c>
      <c r="G172" s="4">
        <v>0</v>
      </c>
      <c r="H172" s="2" t="s">
        <v>88</v>
      </c>
      <c r="I172" s="3" t="s">
        <v>36</v>
      </c>
      <c r="J172" s="3" t="s">
        <v>78</v>
      </c>
      <c r="K172" s="2" t="s">
        <v>79</v>
      </c>
      <c r="L172" s="2" t="s">
        <v>63</v>
      </c>
      <c r="M172" s="3" t="s">
        <v>80</v>
      </c>
      <c r="N172" s="2" t="s">
        <v>41</v>
      </c>
      <c r="O172" s="13">
        <v>41735</v>
      </c>
      <c r="P172" s="2" t="s">
        <v>44</v>
      </c>
      <c r="Q172" s="3" t="s">
        <v>44</v>
      </c>
      <c r="R172" s="2" t="s">
        <v>44</v>
      </c>
      <c r="S172" s="2" t="s">
        <v>56</v>
      </c>
      <c r="T172" s="5">
        <v>94200</v>
      </c>
      <c r="U172" s="5">
        <v>0</v>
      </c>
      <c r="V172" s="4">
        <v>7</v>
      </c>
      <c r="W172" s="4">
        <v>30</v>
      </c>
      <c r="X172" s="2" t="s">
        <v>44</v>
      </c>
      <c r="Y172" s="4">
        <v>0</v>
      </c>
      <c r="Z172" s="4">
        <v>9</v>
      </c>
      <c r="AA172" s="4">
        <v>0</v>
      </c>
      <c r="AB172" s="4">
        <v>0</v>
      </c>
      <c r="AC172" s="4">
        <v>3</v>
      </c>
      <c r="AD172" s="4">
        <v>18</v>
      </c>
      <c r="AE172" s="3" t="s">
        <v>58</v>
      </c>
      <c r="AG172">
        <f t="shared" ca="1" si="6"/>
        <v>12</v>
      </c>
      <c r="AH172" s="23" t="str" cm="1">
        <f t="array" ref="AH172">_xlfn.IFS(E172&gt;49,"50+",E172&gt;39,"40-49",E172&gt;29,"30-39",E172&gt;19,"20-29")</f>
        <v>40-49</v>
      </c>
      <c r="AI172" s="24" t="str" cm="1">
        <f t="array" aca="1" ref="AI172" ca="1">_xlfn.IFS(AG172&gt;10,"10+",AG172&gt;4,"5-10 YIL",AG172&gt;2,"3-5 YIL",AG172&gt;0.9,"1-3 YIL",AG172&lt;1,"0-1 YIL")</f>
        <v>10+</v>
      </c>
      <c r="AJ172">
        <f t="shared" si="7"/>
        <v>2014</v>
      </c>
      <c r="AK172" t="e">
        <f t="shared" si="8"/>
        <v>#VALUE!</v>
      </c>
    </row>
    <row r="173" spans="1:37" x14ac:dyDescent="0.3">
      <c r="A173" s="6" t="s">
        <v>397</v>
      </c>
      <c r="B173" s="7" t="s">
        <v>305</v>
      </c>
      <c r="C173" s="6" t="s">
        <v>33</v>
      </c>
      <c r="D173" s="14">
        <v>36352</v>
      </c>
      <c r="E173" s="8">
        <v>27</v>
      </c>
      <c r="F173" s="6" t="s">
        <v>49</v>
      </c>
      <c r="G173" s="8">
        <v>2</v>
      </c>
      <c r="H173" s="6" t="s">
        <v>35</v>
      </c>
      <c r="I173" s="7" t="s">
        <v>70</v>
      </c>
      <c r="J173" s="7" t="s">
        <v>92</v>
      </c>
      <c r="K173" s="6" t="s">
        <v>38</v>
      </c>
      <c r="L173" s="6" t="s">
        <v>63</v>
      </c>
      <c r="M173" s="7" t="s">
        <v>72</v>
      </c>
      <c r="N173" s="6" t="s">
        <v>41</v>
      </c>
      <c r="O173" s="14">
        <v>45507</v>
      </c>
      <c r="P173" s="6" t="s">
        <v>44</v>
      </c>
      <c r="Q173" s="7" t="s">
        <v>44</v>
      </c>
      <c r="R173" s="6" t="s">
        <v>44</v>
      </c>
      <c r="S173" s="6" t="s">
        <v>56</v>
      </c>
      <c r="T173" s="9">
        <v>34200</v>
      </c>
      <c r="U173" s="9">
        <v>0</v>
      </c>
      <c r="V173" s="8">
        <v>7</v>
      </c>
      <c r="W173" s="8">
        <v>30</v>
      </c>
      <c r="X173" s="6" t="s">
        <v>44</v>
      </c>
      <c r="Y173" s="8">
        <v>0</v>
      </c>
      <c r="Z173" s="8">
        <v>13</v>
      </c>
      <c r="AA173" s="8">
        <v>0</v>
      </c>
      <c r="AB173" s="8">
        <v>0</v>
      </c>
      <c r="AC173" s="8">
        <v>4</v>
      </c>
      <c r="AD173" s="8">
        <v>12</v>
      </c>
      <c r="AE173" s="7" t="s">
        <v>58</v>
      </c>
      <c r="AG173">
        <f t="shared" ca="1" si="6"/>
        <v>1</v>
      </c>
      <c r="AH173" s="23" t="str" cm="1">
        <f t="array" ref="AH173">_xlfn.IFS(E173&gt;49,"50+",E173&gt;39,"40-49",E173&gt;29,"30-39",E173&gt;19,"20-29")</f>
        <v>20-29</v>
      </c>
      <c r="AI173" s="24" t="str" cm="1">
        <f t="array" aca="1" ref="AI173" ca="1">_xlfn.IFS(AG173&gt;10,"10+",AG173&gt;4,"5-10 YIL",AG173&gt;2,"3-5 YIL",AG173&gt;0.9,"1-3 YIL",AG173&lt;1,"0-1 YIL")</f>
        <v>1-3 YIL</v>
      </c>
      <c r="AJ173">
        <f t="shared" si="7"/>
        <v>2024</v>
      </c>
      <c r="AK173" t="e">
        <f t="shared" si="8"/>
        <v>#VALUE!</v>
      </c>
    </row>
    <row r="174" spans="1:37" x14ac:dyDescent="0.3">
      <c r="A174" s="2" t="s">
        <v>398</v>
      </c>
      <c r="B174" s="3" t="s">
        <v>168</v>
      </c>
      <c r="C174" s="2" t="s">
        <v>33</v>
      </c>
      <c r="D174" s="13">
        <v>35718</v>
      </c>
      <c r="E174" s="4">
        <v>29</v>
      </c>
      <c r="F174" s="2" t="s">
        <v>49</v>
      </c>
      <c r="G174" s="4">
        <v>1</v>
      </c>
      <c r="H174" s="2" t="s">
        <v>35</v>
      </c>
      <c r="I174" s="3" t="s">
        <v>36</v>
      </c>
      <c r="J174" s="3" t="s">
        <v>37</v>
      </c>
      <c r="K174" s="2" t="s">
        <v>38</v>
      </c>
      <c r="L174" s="2" t="s">
        <v>39</v>
      </c>
      <c r="M174" s="3" t="s">
        <v>40</v>
      </c>
      <c r="N174" s="2" t="s">
        <v>95</v>
      </c>
      <c r="O174" s="13">
        <v>45855</v>
      </c>
      <c r="P174" s="2" t="s">
        <v>44</v>
      </c>
      <c r="Q174" s="3" t="s">
        <v>44</v>
      </c>
      <c r="R174" s="2" t="s">
        <v>44</v>
      </c>
      <c r="S174" s="2" t="s">
        <v>56</v>
      </c>
      <c r="T174" s="5">
        <v>27600</v>
      </c>
      <c r="U174" s="5">
        <v>0</v>
      </c>
      <c r="V174" s="4">
        <v>29</v>
      </c>
      <c r="W174" s="4">
        <v>30</v>
      </c>
      <c r="X174" s="2" t="s">
        <v>44</v>
      </c>
      <c r="Y174" s="4">
        <v>0</v>
      </c>
      <c r="Z174" s="4">
        <v>0</v>
      </c>
      <c r="AA174" s="4">
        <v>0</v>
      </c>
      <c r="AB174" s="4">
        <v>0</v>
      </c>
      <c r="AC174" s="4">
        <v>3</v>
      </c>
      <c r="AD174" s="4">
        <v>13</v>
      </c>
      <c r="AE174" s="3" t="s">
        <v>58</v>
      </c>
      <c r="AG174">
        <f t="shared" ca="1" si="6"/>
        <v>0</v>
      </c>
      <c r="AH174" s="23" t="str" cm="1">
        <f t="array" ref="AH174">_xlfn.IFS(E174&gt;49,"50+",E174&gt;39,"40-49",E174&gt;29,"30-39",E174&gt;19,"20-29")</f>
        <v>20-29</v>
      </c>
      <c r="AI174" s="24" t="str" cm="1">
        <f t="array" aca="1" ref="AI174" ca="1">_xlfn.IFS(AG174&gt;10,"10+",AG174&gt;4,"5-10 YIL",AG174&gt;2,"3-5 YIL",AG174&gt;0.9,"1-3 YIL",AG174&lt;1,"0-1 YIL")</f>
        <v>0-1 YIL</v>
      </c>
      <c r="AJ174">
        <f t="shared" si="7"/>
        <v>2025</v>
      </c>
      <c r="AK174" t="e">
        <f t="shared" si="8"/>
        <v>#VALUE!</v>
      </c>
    </row>
    <row r="175" spans="1:37" x14ac:dyDescent="0.3">
      <c r="A175" s="6" t="s">
        <v>399</v>
      </c>
      <c r="B175" s="7" t="s">
        <v>300</v>
      </c>
      <c r="C175" s="6" t="s">
        <v>48</v>
      </c>
      <c r="D175" s="14">
        <v>33243</v>
      </c>
      <c r="E175" s="8">
        <v>35</v>
      </c>
      <c r="F175" s="6" t="s">
        <v>34</v>
      </c>
      <c r="G175" s="8">
        <v>0</v>
      </c>
      <c r="H175" s="6" t="s">
        <v>35</v>
      </c>
      <c r="I175" s="7" t="s">
        <v>36</v>
      </c>
      <c r="J175" s="7" t="s">
        <v>50</v>
      </c>
      <c r="K175" s="6" t="s">
        <v>51</v>
      </c>
      <c r="L175" s="6" t="s">
        <v>39</v>
      </c>
      <c r="M175" s="7" t="s">
        <v>40</v>
      </c>
      <c r="N175" s="6" t="s">
        <v>41</v>
      </c>
      <c r="O175" s="14">
        <v>45002</v>
      </c>
      <c r="P175" s="6" t="s">
        <v>44</v>
      </c>
      <c r="Q175" s="7" t="s">
        <v>44</v>
      </c>
      <c r="R175" s="6" t="s">
        <v>44</v>
      </c>
      <c r="S175" s="6" t="s">
        <v>56</v>
      </c>
      <c r="T175" s="9">
        <v>41900</v>
      </c>
      <c r="U175" s="9">
        <v>0</v>
      </c>
      <c r="V175" s="8">
        <v>40</v>
      </c>
      <c r="W175" s="8">
        <v>29</v>
      </c>
      <c r="X175" s="6" t="s">
        <v>81</v>
      </c>
      <c r="Y175" s="8">
        <v>0</v>
      </c>
      <c r="Z175" s="8">
        <v>7</v>
      </c>
      <c r="AA175" s="8">
        <v>1</v>
      </c>
      <c r="AB175" s="8">
        <v>0</v>
      </c>
      <c r="AC175" s="8">
        <v>3</v>
      </c>
      <c r="AD175" s="8">
        <v>7</v>
      </c>
      <c r="AE175" s="7" t="s">
        <v>45</v>
      </c>
      <c r="AG175">
        <f t="shared" ca="1" si="6"/>
        <v>3</v>
      </c>
      <c r="AH175" s="23" t="str" cm="1">
        <f t="array" ref="AH175">_xlfn.IFS(E175&gt;49,"50+",E175&gt;39,"40-49",E175&gt;29,"30-39",E175&gt;19,"20-29")</f>
        <v>30-39</v>
      </c>
      <c r="AI175" s="24" t="str" cm="1">
        <f t="array" aca="1" ref="AI175" ca="1">_xlfn.IFS(AG175&gt;10,"10+",AG175&gt;4,"5-10 YIL",AG175&gt;2,"3-5 YIL",AG175&gt;0.9,"1-3 YIL",AG175&lt;1,"0-1 YIL")</f>
        <v>3-5 YIL</v>
      </c>
      <c r="AJ175">
        <f t="shared" si="7"/>
        <v>2023</v>
      </c>
      <c r="AK175" t="e">
        <f t="shared" si="8"/>
        <v>#VALUE!</v>
      </c>
    </row>
    <row r="176" spans="1:37" x14ac:dyDescent="0.3">
      <c r="A176" s="2" t="s">
        <v>400</v>
      </c>
      <c r="B176" s="3" t="s">
        <v>401</v>
      </c>
      <c r="C176" s="2" t="s">
        <v>48</v>
      </c>
      <c r="D176" s="13">
        <v>34158</v>
      </c>
      <c r="E176" s="4">
        <v>33</v>
      </c>
      <c r="F176" s="2" t="s">
        <v>34</v>
      </c>
      <c r="G176" s="4">
        <v>0</v>
      </c>
      <c r="H176" s="2" t="s">
        <v>35</v>
      </c>
      <c r="I176" s="3" t="s">
        <v>70</v>
      </c>
      <c r="J176" s="3" t="s">
        <v>71</v>
      </c>
      <c r="K176" s="2" t="s">
        <v>51</v>
      </c>
      <c r="L176" s="2" t="s">
        <v>63</v>
      </c>
      <c r="M176" s="3" t="s">
        <v>72</v>
      </c>
      <c r="N176" s="2" t="s">
        <v>41</v>
      </c>
      <c r="O176" s="13">
        <v>42204</v>
      </c>
      <c r="P176" s="2" t="s">
        <v>44</v>
      </c>
      <c r="Q176" s="3" t="s">
        <v>44</v>
      </c>
      <c r="R176" s="2" t="s">
        <v>44</v>
      </c>
      <c r="S176" s="2" t="s">
        <v>56</v>
      </c>
      <c r="T176" s="5">
        <v>59400</v>
      </c>
      <c r="U176" s="5">
        <v>0</v>
      </c>
      <c r="V176" s="4">
        <v>0</v>
      </c>
      <c r="W176" s="4">
        <v>29</v>
      </c>
      <c r="X176" s="2" t="s">
        <v>57</v>
      </c>
      <c r="Y176" s="4">
        <v>1</v>
      </c>
      <c r="Z176" s="4">
        <v>4</v>
      </c>
      <c r="AA176" s="4">
        <v>0</v>
      </c>
      <c r="AB176" s="4">
        <v>0</v>
      </c>
      <c r="AC176" s="4">
        <v>2</v>
      </c>
      <c r="AD176" s="4">
        <v>10</v>
      </c>
      <c r="AE176" s="3" t="s">
        <v>45</v>
      </c>
      <c r="AG176">
        <f t="shared" ca="1" si="6"/>
        <v>10</v>
      </c>
      <c r="AH176" s="23" t="str" cm="1">
        <f t="array" ref="AH176">_xlfn.IFS(E176&gt;49,"50+",E176&gt;39,"40-49",E176&gt;29,"30-39",E176&gt;19,"20-29")</f>
        <v>30-39</v>
      </c>
      <c r="AI176" s="24" t="str" cm="1">
        <f t="array" aca="1" ref="AI176" ca="1">_xlfn.IFS(AG176&gt;10,"10+",AG176&gt;4,"5-10 YIL",AG176&gt;2,"3-5 YIL",AG176&gt;0.9,"1-3 YIL",AG176&lt;1,"0-1 YIL")</f>
        <v>5-10 YIL</v>
      </c>
      <c r="AJ176">
        <f t="shared" si="7"/>
        <v>2015</v>
      </c>
      <c r="AK176" t="e">
        <f t="shared" si="8"/>
        <v>#VALUE!</v>
      </c>
    </row>
    <row r="177" spans="1:37" x14ac:dyDescent="0.3">
      <c r="A177" s="6" t="s">
        <v>402</v>
      </c>
      <c r="B177" s="7" t="s">
        <v>403</v>
      </c>
      <c r="C177" s="6" t="s">
        <v>48</v>
      </c>
      <c r="D177" s="14">
        <v>30042</v>
      </c>
      <c r="E177" s="8">
        <v>44</v>
      </c>
      <c r="F177" s="6" t="s">
        <v>49</v>
      </c>
      <c r="G177" s="8">
        <v>2</v>
      </c>
      <c r="H177" s="6" t="s">
        <v>35</v>
      </c>
      <c r="I177" s="7" t="s">
        <v>139</v>
      </c>
      <c r="J177" s="7" t="s">
        <v>161</v>
      </c>
      <c r="K177" s="6" t="s">
        <v>51</v>
      </c>
      <c r="L177" s="6" t="s">
        <v>63</v>
      </c>
      <c r="M177" s="7" t="s">
        <v>162</v>
      </c>
      <c r="N177" s="6" t="s">
        <v>67</v>
      </c>
      <c r="O177" s="14">
        <v>42979</v>
      </c>
      <c r="P177" s="6" t="s">
        <v>44</v>
      </c>
      <c r="Q177" s="7" t="s">
        <v>44</v>
      </c>
      <c r="R177" s="6" t="s">
        <v>44</v>
      </c>
      <c r="S177" s="6" t="s">
        <v>56</v>
      </c>
      <c r="T177" s="9">
        <v>74800</v>
      </c>
      <c r="U177" s="9">
        <v>10800</v>
      </c>
      <c r="V177" s="8">
        <v>7</v>
      </c>
      <c r="W177" s="8">
        <v>30</v>
      </c>
      <c r="X177" s="6" t="s">
        <v>44</v>
      </c>
      <c r="Y177" s="8">
        <v>0</v>
      </c>
      <c r="Z177" s="8">
        <v>10</v>
      </c>
      <c r="AA177" s="8">
        <v>0</v>
      </c>
      <c r="AB177" s="8">
        <v>0</v>
      </c>
      <c r="AC177" s="8">
        <v>3</v>
      </c>
      <c r="AD177" s="8">
        <v>6</v>
      </c>
      <c r="AE177" s="7" t="s">
        <v>58</v>
      </c>
      <c r="AG177">
        <f t="shared" ca="1" si="6"/>
        <v>8</v>
      </c>
      <c r="AH177" s="23" t="str" cm="1">
        <f t="array" ref="AH177">_xlfn.IFS(E177&gt;49,"50+",E177&gt;39,"40-49",E177&gt;29,"30-39",E177&gt;19,"20-29")</f>
        <v>40-49</v>
      </c>
      <c r="AI177" s="24" t="str" cm="1">
        <f t="array" aca="1" ref="AI177" ca="1">_xlfn.IFS(AG177&gt;10,"10+",AG177&gt;4,"5-10 YIL",AG177&gt;2,"3-5 YIL",AG177&gt;0.9,"1-3 YIL",AG177&lt;1,"0-1 YIL")</f>
        <v>5-10 YIL</v>
      </c>
      <c r="AJ177">
        <f t="shared" si="7"/>
        <v>2017</v>
      </c>
      <c r="AK177" t="e">
        <f t="shared" si="8"/>
        <v>#VALUE!</v>
      </c>
    </row>
    <row r="178" spans="1:37" x14ac:dyDescent="0.3">
      <c r="A178" s="2" t="s">
        <v>404</v>
      </c>
      <c r="B178" s="3" t="s">
        <v>382</v>
      </c>
      <c r="C178" s="2" t="s">
        <v>48</v>
      </c>
      <c r="D178" s="13">
        <v>31372</v>
      </c>
      <c r="E178" s="4">
        <v>41</v>
      </c>
      <c r="F178" s="2" t="s">
        <v>34</v>
      </c>
      <c r="G178" s="4">
        <v>0</v>
      </c>
      <c r="H178" s="2" t="s">
        <v>35</v>
      </c>
      <c r="I178" s="3" t="s">
        <v>70</v>
      </c>
      <c r="J178" s="3" t="s">
        <v>71</v>
      </c>
      <c r="K178" s="2" t="s">
        <v>51</v>
      </c>
      <c r="L178" s="2" t="s">
        <v>63</v>
      </c>
      <c r="M178" s="3" t="s">
        <v>72</v>
      </c>
      <c r="N178" s="2" t="s">
        <v>95</v>
      </c>
      <c r="O178" s="13">
        <v>44619</v>
      </c>
      <c r="P178" s="2" t="s">
        <v>44</v>
      </c>
      <c r="Q178" s="3" t="s">
        <v>44</v>
      </c>
      <c r="R178" s="2" t="s">
        <v>44</v>
      </c>
      <c r="S178" s="2" t="s">
        <v>56</v>
      </c>
      <c r="T178" s="5">
        <v>59000</v>
      </c>
      <c r="U178" s="5">
        <v>0</v>
      </c>
      <c r="V178" s="4">
        <v>8</v>
      </c>
      <c r="W178" s="4">
        <v>30</v>
      </c>
      <c r="X178" s="2" t="s">
        <v>44</v>
      </c>
      <c r="Y178" s="4">
        <v>0</v>
      </c>
      <c r="Z178" s="4">
        <v>4</v>
      </c>
      <c r="AA178" s="4">
        <v>0</v>
      </c>
      <c r="AB178" s="4">
        <v>0</v>
      </c>
      <c r="AC178" s="4">
        <v>2</v>
      </c>
      <c r="AD178" s="4">
        <v>2</v>
      </c>
      <c r="AE178" s="3" t="s">
        <v>82</v>
      </c>
      <c r="AG178">
        <f t="shared" ca="1" si="6"/>
        <v>4</v>
      </c>
      <c r="AH178" s="23" t="str" cm="1">
        <f t="array" ref="AH178">_xlfn.IFS(E178&gt;49,"50+",E178&gt;39,"40-49",E178&gt;29,"30-39",E178&gt;19,"20-29")</f>
        <v>40-49</v>
      </c>
      <c r="AI178" s="24" t="str" cm="1">
        <f t="array" aca="1" ref="AI178" ca="1">_xlfn.IFS(AG178&gt;10,"10+",AG178&gt;4,"5-10 YIL",AG178&gt;2,"3-5 YIL",AG178&gt;0.9,"1-3 YIL",AG178&lt;1,"0-1 YIL")</f>
        <v>3-5 YIL</v>
      </c>
      <c r="AJ178">
        <f t="shared" si="7"/>
        <v>2022</v>
      </c>
      <c r="AK178" t="e">
        <f t="shared" si="8"/>
        <v>#VALUE!</v>
      </c>
    </row>
    <row r="179" spans="1:37" x14ac:dyDescent="0.3">
      <c r="A179" s="6" t="s">
        <v>405</v>
      </c>
      <c r="B179" s="7" t="s">
        <v>406</v>
      </c>
      <c r="C179" s="6" t="s">
        <v>48</v>
      </c>
      <c r="D179" s="14">
        <v>36794</v>
      </c>
      <c r="E179" s="8">
        <v>26</v>
      </c>
      <c r="F179" s="6" t="s">
        <v>34</v>
      </c>
      <c r="G179" s="8">
        <v>0</v>
      </c>
      <c r="H179" s="6" t="s">
        <v>35</v>
      </c>
      <c r="I179" s="7" t="s">
        <v>36</v>
      </c>
      <c r="J179" s="7" t="s">
        <v>37</v>
      </c>
      <c r="K179" s="6" t="s">
        <v>38</v>
      </c>
      <c r="L179" s="6" t="s">
        <v>39</v>
      </c>
      <c r="M179" s="7" t="s">
        <v>40</v>
      </c>
      <c r="N179" s="6" t="s">
        <v>41</v>
      </c>
      <c r="O179" s="14">
        <v>45737</v>
      </c>
      <c r="P179" s="14">
        <v>46034</v>
      </c>
      <c r="Q179" s="7" t="s">
        <v>53</v>
      </c>
      <c r="R179" s="6">
        <v>4</v>
      </c>
      <c r="S179" s="6" t="s">
        <v>43</v>
      </c>
      <c r="T179" s="9">
        <v>27800</v>
      </c>
      <c r="U179" s="9">
        <v>0</v>
      </c>
      <c r="V179" s="8">
        <v>20</v>
      </c>
      <c r="W179" s="8">
        <v>30</v>
      </c>
      <c r="X179" s="6" t="s">
        <v>44</v>
      </c>
      <c r="Y179" s="8">
        <v>0</v>
      </c>
      <c r="Z179" s="8">
        <v>0</v>
      </c>
      <c r="AA179" s="8">
        <v>0</v>
      </c>
      <c r="AB179" s="8">
        <v>0</v>
      </c>
      <c r="AC179" s="8">
        <v>3</v>
      </c>
      <c r="AD179" s="8">
        <v>9</v>
      </c>
      <c r="AE179" s="7" t="s">
        <v>73</v>
      </c>
      <c r="AG179">
        <f t="shared" ca="1" si="6"/>
        <v>1</v>
      </c>
      <c r="AH179" s="23" t="str" cm="1">
        <f t="array" ref="AH179">_xlfn.IFS(E179&gt;49,"50+",E179&gt;39,"40-49",E179&gt;29,"30-39",E179&gt;19,"20-29")</f>
        <v>20-29</v>
      </c>
      <c r="AI179" s="24" t="str" cm="1">
        <f t="array" aca="1" ref="AI179" ca="1">_xlfn.IFS(AG179&gt;10,"10+",AG179&gt;4,"5-10 YIL",AG179&gt;2,"3-5 YIL",AG179&gt;0.9,"1-3 YIL",AG179&lt;1,"0-1 YIL")</f>
        <v>1-3 YIL</v>
      </c>
      <c r="AJ179">
        <f t="shared" si="7"/>
        <v>2025</v>
      </c>
      <c r="AK179">
        <f t="shared" si="8"/>
        <v>2026</v>
      </c>
    </row>
    <row r="180" spans="1:37" x14ac:dyDescent="0.3">
      <c r="A180" s="2" t="s">
        <v>407</v>
      </c>
      <c r="B180" s="3" t="s">
        <v>358</v>
      </c>
      <c r="C180" s="2" t="s">
        <v>33</v>
      </c>
      <c r="D180" s="13">
        <v>38048</v>
      </c>
      <c r="E180" s="4">
        <v>22</v>
      </c>
      <c r="F180" s="2" t="s">
        <v>49</v>
      </c>
      <c r="G180" s="4">
        <v>2</v>
      </c>
      <c r="H180" s="2" t="s">
        <v>35</v>
      </c>
      <c r="I180" s="3" t="s">
        <v>36</v>
      </c>
      <c r="J180" s="3" t="s">
        <v>37</v>
      </c>
      <c r="K180" s="2" t="s">
        <v>38</v>
      </c>
      <c r="L180" s="2" t="s">
        <v>39</v>
      </c>
      <c r="M180" s="3" t="s">
        <v>40</v>
      </c>
      <c r="N180" s="2" t="s">
        <v>95</v>
      </c>
      <c r="O180" s="13">
        <v>46111</v>
      </c>
      <c r="P180" s="2" t="s">
        <v>44</v>
      </c>
      <c r="Q180" s="3" t="s">
        <v>44</v>
      </c>
      <c r="R180" s="2" t="s">
        <v>44</v>
      </c>
      <c r="S180" s="2" t="s">
        <v>56</v>
      </c>
      <c r="T180" s="5">
        <v>26700</v>
      </c>
      <c r="U180" s="5">
        <v>0</v>
      </c>
      <c r="V180" s="4">
        <v>15</v>
      </c>
      <c r="W180" s="4">
        <v>29</v>
      </c>
      <c r="X180" s="2" t="s">
        <v>57</v>
      </c>
      <c r="Y180" s="4">
        <v>1</v>
      </c>
      <c r="Z180" s="4">
        <v>0</v>
      </c>
      <c r="AA180" s="4">
        <v>0</v>
      </c>
      <c r="AB180" s="4">
        <v>0</v>
      </c>
      <c r="AC180" s="4">
        <v>4</v>
      </c>
      <c r="AD180" s="4">
        <v>30</v>
      </c>
      <c r="AE180" s="3" t="s">
        <v>58</v>
      </c>
      <c r="AG180">
        <f t="shared" ca="1" si="6"/>
        <v>0</v>
      </c>
      <c r="AH180" s="23" t="str" cm="1">
        <f t="array" ref="AH180">_xlfn.IFS(E180&gt;49,"50+",E180&gt;39,"40-49",E180&gt;29,"30-39",E180&gt;19,"20-29")</f>
        <v>20-29</v>
      </c>
      <c r="AI180" s="24" t="str" cm="1">
        <f t="array" aca="1" ref="AI180" ca="1">_xlfn.IFS(AG180&gt;10,"10+",AG180&gt;4,"5-10 YIL",AG180&gt;2,"3-5 YIL",AG180&gt;0.9,"1-3 YIL",AG180&lt;1,"0-1 YIL")</f>
        <v>0-1 YIL</v>
      </c>
      <c r="AJ180">
        <f t="shared" si="7"/>
        <v>2026</v>
      </c>
      <c r="AK180" t="e">
        <f t="shared" si="8"/>
        <v>#VALUE!</v>
      </c>
    </row>
    <row r="181" spans="1:37" x14ac:dyDescent="0.3">
      <c r="A181" s="6" t="s">
        <v>408</v>
      </c>
      <c r="B181" s="7" t="s">
        <v>409</v>
      </c>
      <c r="C181" s="6" t="s">
        <v>33</v>
      </c>
      <c r="D181" s="14">
        <v>37593</v>
      </c>
      <c r="E181" s="8">
        <v>24</v>
      </c>
      <c r="F181" s="6" t="s">
        <v>49</v>
      </c>
      <c r="G181" s="8">
        <v>1</v>
      </c>
      <c r="H181" s="6" t="s">
        <v>35</v>
      </c>
      <c r="I181" s="7" t="s">
        <v>36</v>
      </c>
      <c r="J181" s="7" t="s">
        <v>37</v>
      </c>
      <c r="K181" s="6" t="s">
        <v>38</v>
      </c>
      <c r="L181" s="6" t="s">
        <v>39</v>
      </c>
      <c r="M181" s="7" t="s">
        <v>40</v>
      </c>
      <c r="N181" s="6" t="s">
        <v>41</v>
      </c>
      <c r="O181" s="14">
        <v>45571</v>
      </c>
      <c r="P181" s="6" t="s">
        <v>44</v>
      </c>
      <c r="Q181" s="7" t="s">
        <v>44</v>
      </c>
      <c r="R181" s="6" t="s">
        <v>44</v>
      </c>
      <c r="S181" s="6" t="s">
        <v>56</v>
      </c>
      <c r="T181" s="9">
        <v>26000</v>
      </c>
      <c r="U181" s="9">
        <v>0</v>
      </c>
      <c r="V181" s="8">
        <v>10</v>
      </c>
      <c r="W181" s="8">
        <v>27</v>
      </c>
      <c r="X181" s="6" t="s">
        <v>81</v>
      </c>
      <c r="Y181" s="8">
        <v>0</v>
      </c>
      <c r="Z181" s="8">
        <v>0</v>
      </c>
      <c r="AA181" s="8">
        <v>3</v>
      </c>
      <c r="AB181" s="8">
        <v>0</v>
      </c>
      <c r="AC181" s="8">
        <v>2</v>
      </c>
      <c r="AD181" s="8">
        <v>17</v>
      </c>
      <c r="AE181" s="7" t="s">
        <v>58</v>
      </c>
      <c r="AG181">
        <f t="shared" ca="1" si="6"/>
        <v>1</v>
      </c>
      <c r="AH181" s="23" t="str" cm="1">
        <f t="array" ref="AH181">_xlfn.IFS(E181&gt;49,"50+",E181&gt;39,"40-49",E181&gt;29,"30-39",E181&gt;19,"20-29")</f>
        <v>20-29</v>
      </c>
      <c r="AI181" s="24" t="str" cm="1">
        <f t="array" aca="1" ref="AI181" ca="1">_xlfn.IFS(AG181&gt;10,"10+",AG181&gt;4,"5-10 YIL",AG181&gt;2,"3-5 YIL",AG181&gt;0.9,"1-3 YIL",AG181&lt;1,"0-1 YIL")</f>
        <v>1-3 YIL</v>
      </c>
      <c r="AJ181">
        <f t="shared" si="7"/>
        <v>2024</v>
      </c>
      <c r="AK181" t="e">
        <f t="shared" si="8"/>
        <v>#VALUE!</v>
      </c>
    </row>
    <row r="182" spans="1:37" x14ac:dyDescent="0.3">
      <c r="A182" s="2" t="s">
        <v>410</v>
      </c>
      <c r="B182" s="3" t="s">
        <v>411</v>
      </c>
      <c r="C182" s="2" t="s">
        <v>33</v>
      </c>
      <c r="D182" s="13">
        <v>35226</v>
      </c>
      <c r="E182" s="4">
        <v>30</v>
      </c>
      <c r="F182" s="2" t="s">
        <v>49</v>
      </c>
      <c r="G182" s="4">
        <v>2</v>
      </c>
      <c r="H182" s="2" t="s">
        <v>35</v>
      </c>
      <c r="I182" s="3" t="s">
        <v>36</v>
      </c>
      <c r="J182" s="3" t="s">
        <v>50</v>
      </c>
      <c r="K182" s="2" t="s">
        <v>51</v>
      </c>
      <c r="L182" s="2" t="s">
        <v>39</v>
      </c>
      <c r="M182" s="3" t="s">
        <v>40</v>
      </c>
      <c r="N182" s="2" t="s">
        <v>41</v>
      </c>
      <c r="O182" s="13">
        <v>42449</v>
      </c>
      <c r="P182" s="2" t="s">
        <v>44</v>
      </c>
      <c r="Q182" s="3" t="s">
        <v>44</v>
      </c>
      <c r="R182" s="2" t="s">
        <v>44</v>
      </c>
      <c r="S182" s="2" t="s">
        <v>56</v>
      </c>
      <c r="T182" s="5">
        <v>44000</v>
      </c>
      <c r="U182" s="5">
        <v>0</v>
      </c>
      <c r="V182" s="4">
        <v>19</v>
      </c>
      <c r="W182" s="4">
        <v>30</v>
      </c>
      <c r="X182" s="2" t="s">
        <v>44</v>
      </c>
      <c r="Y182" s="4">
        <v>0</v>
      </c>
      <c r="Z182" s="4">
        <v>2</v>
      </c>
      <c r="AA182" s="4">
        <v>0</v>
      </c>
      <c r="AB182" s="4">
        <v>0</v>
      </c>
      <c r="AC182" s="4">
        <v>2</v>
      </c>
      <c r="AD182" s="4">
        <v>16</v>
      </c>
      <c r="AE182" s="3" t="s">
        <v>58</v>
      </c>
      <c r="AG182">
        <f t="shared" ca="1" si="6"/>
        <v>10</v>
      </c>
      <c r="AH182" s="23" t="str" cm="1">
        <f t="array" ref="AH182">_xlfn.IFS(E182&gt;49,"50+",E182&gt;39,"40-49",E182&gt;29,"30-39",E182&gt;19,"20-29")</f>
        <v>30-39</v>
      </c>
      <c r="AI182" s="24" t="str" cm="1">
        <f t="array" aca="1" ref="AI182" ca="1">_xlfn.IFS(AG182&gt;10,"10+",AG182&gt;4,"5-10 YIL",AG182&gt;2,"3-5 YIL",AG182&gt;0.9,"1-3 YIL",AG182&lt;1,"0-1 YIL")</f>
        <v>5-10 YIL</v>
      </c>
      <c r="AJ182">
        <f t="shared" si="7"/>
        <v>2016</v>
      </c>
      <c r="AK182" t="e">
        <f t="shared" si="8"/>
        <v>#VALUE!</v>
      </c>
    </row>
    <row r="183" spans="1:37" x14ac:dyDescent="0.3">
      <c r="A183" s="6" t="s">
        <v>412</v>
      </c>
      <c r="B183" s="7" t="s">
        <v>413</v>
      </c>
      <c r="C183" s="6" t="s">
        <v>48</v>
      </c>
      <c r="D183" s="14">
        <v>35452</v>
      </c>
      <c r="E183" s="8">
        <v>29</v>
      </c>
      <c r="F183" s="6" t="s">
        <v>34</v>
      </c>
      <c r="G183" s="8">
        <v>0</v>
      </c>
      <c r="H183" s="6" t="s">
        <v>85</v>
      </c>
      <c r="I183" s="7" t="s">
        <v>61</v>
      </c>
      <c r="J183" s="7" t="s">
        <v>62</v>
      </c>
      <c r="K183" s="6" t="s">
        <v>38</v>
      </c>
      <c r="L183" s="6" t="s">
        <v>63</v>
      </c>
      <c r="M183" s="7" t="s">
        <v>64</v>
      </c>
      <c r="N183" s="6" t="s">
        <v>41</v>
      </c>
      <c r="O183" s="14">
        <v>45355</v>
      </c>
      <c r="P183" s="6" t="s">
        <v>44</v>
      </c>
      <c r="Q183" s="7" t="s">
        <v>44</v>
      </c>
      <c r="R183" s="6" t="s">
        <v>44</v>
      </c>
      <c r="S183" s="6" t="s">
        <v>56</v>
      </c>
      <c r="T183" s="9">
        <v>36400</v>
      </c>
      <c r="U183" s="9">
        <v>9100</v>
      </c>
      <c r="V183" s="8">
        <v>3</v>
      </c>
      <c r="W183" s="8">
        <v>30</v>
      </c>
      <c r="X183" s="6" t="s">
        <v>44</v>
      </c>
      <c r="Y183" s="8">
        <v>0</v>
      </c>
      <c r="Z183" s="8">
        <v>0</v>
      </c>
      <c r="AA183" s="8">
        <v>0</v>
      </c>
      <c r="AB183" s="8">
        <v>0</v>
      </c>
      <c r="AC183" s="8">
        <v>2</v>
      </c>
      <c r="AD183" s="8">
        <v>16</v>
      </c>
      <c r="AE183" s="7" t="s">
        <v>73</v>
      </c>
      <c r="AG183">
        <f t="shared" ca="1" si="6"/>
        <v>2</v>
      </c>
      <c r="AH183" s="23" t="str" cm="1">
        <f t="array" ref="AH183">_xlfn.IFS(E183&gt;49,"50+",E183&gt;39,"40-49",E183&gt;29,"30-39",E183&gt;19,"20-29")</f>
        <v>20-29</v>
      </c>
      <c r="AI183" s="24" t="str" cm="1">
        <f t="array" aca="1" ref="AI183" ca="1">_xlfn.IFS(AG183&gt;10,"10+",AG183&gt;4,"5-10 YIL",AG183&gt;2,"3-5 YIL",AG183&gt;0.9,"1-3 YIL",AG183&lt;1,"0-1 YIL")</f>
        <v>1-3 YIL</v>
      </c>
      <c r="AJ183">
        <f t="shared" si="7"/>
        <v>2024</v>
      </c>
      <c r="AK183" t="e">
        <f t="shared" si="8"/>
        <v>#VALUE!</v>
      </c>
    </row>
    <row r="184" spans="1:37" x14ac:dyDescent="0.3">
      <c r="A184" s="2" t="s">
        <v>414</v>
      </c>
      <c r="B184" s="3" t="s">
        <v>415</v>
      </c>
      <c r="C184" s="2" t="s">
        <v>33</v>
      </c>
      <c r="D184" s="13">
        <v>37076</v>
      </c>
      <c r="E184" s="4">
        <v>25</v>
      </c>
      <c r="F184" s="2" t="s">
        <v>34</v>
      </c>
      <c r="G184" s="4">
        <v>0</v>
      </c>
      <c r="H184" s="2" t="s">
        <v>35</v>
      </c>
      <c r="I184" s="3" t="s">
        <v>36</v>
      </c>
      <c r="J184" s="3" t="s">
        <v>37</v>
      </c>
      <c r="K184" s="2" t="s">
        <v>38</v>
      </c>
      <c r="L184" s="2" t="s">
        <v>39</v>
      </c>
      <c r="M184" s="3" t="s">
        <v>40</v>
      </c>
      <c r="N184" s="2" t="s">
        <v>41</v>
      </c>
      <c r="O184" s="13">
        <v>45353</v>
      </c>
      <c r="P184" s="13">
        <v>46121</v>
      </c>
      <c r="Q184" s="3" t="s">
        <v>53</v>
      </c>
      <c r="R184" s="2">
        <v>4</v>
      </c>
      <c r="S184" s="2" t="s">
        <v>43</v>
      </c>
      <c r="T184" s="5">
        <v>27000</v>
      </c>
      <c r="U184" s="5">
        <v>0</v>
      </c>
      <c r="V184" s="4">
        <v>12</v>
      </c>
      <c r="W184" s="4">
        <v>30</v>
      </c>
      <c r="X184" s="2" t="s">
        <v>44</v>
      </c>
      <c r="Y184" s="4">
        <v>0</v>
      </c>
      <c r="Z184" s="4">
        <v>3</v>
      </c>
      <c r="AA184" s="4">
        <v>0</v>
      </c>
      <c r="AB184" s="4">
        <v>0</v>
      </c>
      <c r="AC184" s="4">
        <v>4</v>
      </c>
      <c r="AD184" s="4">
        <v>16</v>
      </c>
      <c r="AE184" s="3" t="s">
        <v>45</v>
      </c>
      <c r="AG184">
        <f t="shared" ca="1" si="6"/>
        <v>2</v>
      </c>
      <c r="AH184" s="23" t="str" cm="1">
        <f t="array" ref="AH184">_xlfn.IFS(E184&gt;49,"50+",E184&gt;39,"40-49",E184&gt;29,"30-39",E184&gt;19,"20-29")</f>
        <v>20-29</v>
      </c>
      <c r="AI184" s="24" t="str" cm="1">
        <f t="array" aca="1" ref="AI184" ca="1">_xlfn.IFS(AG184&gt;10,"10+",AG184&gt;4,"5-10 YIL",AG184&gt;2,"3-5 YIL",AG184&gt;0.9,"1-3 YIL",AG184&lt;1,"0-1 YIL")</f>
        <v>1-3 YIL</v>
      </c>
      <c r="AJ184">
        <f t="shared" si="7"/>
        <v>2024</v>
      </c>
      <c r="AK184">
        <f t="shared" si="8"/>
        <v>2026</v>
      </c>
    </row>
    <row r="185" spans="1:37" x14ac:dyDescent="0.3">
      <c r="A185" s="6" t="s">
        <v>416</v>
      </c>
      <c r="B185" s="7" t="s">
        <v>60</v>
      </c>
      <c r="C185" s="6" t="s">
        <v>33</v>
      </c>
      <c r="D185" s="14">
        <v>29507</v>
      </c>
      <c r="E185" s="8">
        <v>46</v>
      </c>
      <c r="F185" s="6" t="s">
        <v>49</v>
      </c>
      <c r="G185" s="8">
        <v>1</v>
      </c>
      <c r="H185" s="6" t="s">
        <v>35</v>
      </c>
      <c r="I185" s="7" t="s">
        <v>61</v>
      </c>
      <c r="J185" s="7" t="s">
        <v>107</v>
      </c>
      <c r="K185" s="6" t="s">
        <v>51</v>
      </c>
      <c r="L185" s="6" t="s">
        <v>63</v>
      </c>
      <c r="M185" s="7" t="s">
        <v>64</v>
      </c>
      <c r="N185" s="6" t="s">
        <v>89</v>
      </c>
      <c r="O185" s="14">
        <v>42667</v>
      </c>
      <c r="P185" s="14">
        <v>45201</v>
      </c>
      <c r="Q185" s="7" t="s">
        <v>53</v>
      </c>
      <c r="R185" s="6">
        <v>4</v>
      </c>
      <c r="S185" s="6" t="s">
        <v>43</v>
      </c>
      <c r="T185" s="9">
        <v>60900</v>
      </c>
      <c r="U185" s="9">
        <v>0</v>
      </c>
      <c r="V185" s="8">
        <v>3</v>
      </c>
      <c r="W185" s="8">
        <v>30</v>
      </c>
      <c r="X185" s="6" t="s">
        <v>44</v>
      </c>
      <c r="Y185" s="8">
        <v>0</v>
      </c>
      <c r="Z185" s="8">
        <v>5</v>
      </c>
      <c r="AA185" s="8">
        <v>0</v>
      </c>
      <c r="AB185" s="8">
        <v>0</v>
      </c>
      <c r="AC185" s="8">
        <v>3</v>
      </c>
      <c r="AD185" s="8">
        <v>16</v>
      </c>
      <c r="AE185" s="7" t="s">
        <v>58</v>
      </c>
      <c r="AG185">
        <f t="shared" ca="1" si="6"/>
        <v>9</v>
      </c>
      <c r="AH185" s="23" t="str" cm="1">
        <f t="array" ref="AH185">_xlfn.IFS(E185&gt;49,"50+",E185&gt;39,"40-49",E185&gt;29,"30-39",E185&gt;19,"20-29")</f>
        <v>40-49</v>
      </c>
      <c r="AI185" s="24" t="str" cm="1">
        <f t="array" aca="1" ref="AI185" ca="1">_xlfn.IFS(AG185&gt;10,"10+",AG185&gt;4,"5-10 YIL",AG185&gt;2,"3-5 YIL",AG185&gt;0.9,"1-3 YIL",AG185&lt;1,"0-1 YIL")</f>
        <v>5-10 YIL</v>
      </c>
      <c r="AJ185">
        <f t="shared" si="7"/>
        <v>2016</v>
      </c>
      <c r="AK185">
        <f t="shared" si="8"/>
        <v>2023</v>
      </c>
    </row>
    <row r="186" spans="1:37" x14ac:dyDescent="0.3">
      <c r="A186" s="2" t="s">
        <v>417</v>
      </c>
      <c r="B186" s="3" t="s">
        <v>418</v>
      </c>
      <c r="C186" s="2" t="s">
        <v>33</v>
      </c>
      <c r="D186" s="13">
        <v>30703</v>
      </c>
      <c r="E186" s="4">
        <v>42</v>
      </c>
      <c r="F186" s="2" t="s">
        <v>34</v>
      </c>
      <c r="G186" s="4">
        <v>0</v>
      </c>
      <c r="H186" s="2" t="s">
        <v>35</v>
      </c>
      <c r="I186" s="3" t="s">
        <v>70</v>
      </c>
      <c r="J186" s="3" t="s">
        <v>71</v>
      </c>
      <c r="K186" s="2" t="s">
        <v>51</v>
      </c>
      <c r="L186" s="2" t="s">
        <v>63</v>
      </c>
      <c r="M186" s="3" t="s">
        <v>72</v>
      </c>
      <c r="N186" s="2" t="s">
        <v>41</v>
      </c>
      <c r="O186" s="13">
        <v>44989</v>
      </c>
      <c r="P186" s="2" t="s">
        <v>44</v>
      </c>
      <c r="Q186" s="3" t="s">
        <v>44</v>
      </c>
      <c r="R186" s="2" t="s">
        <v>44</v>
      </c>
      <c r="S186" s="2" t="s">
        <v>56</v>
      </c>
      <c r="T186" s="5">
        <v>64800</v>
      </c>
      <c r="U186" s="5">
        <v>5600</v>
      </c>
      <c r="V186" s="4">
        <v>2</v>
      </c>
      <c r="W186" s="4">
        <v>30</v>
      </c>
      <c r="X186" s="2" t="s">
        <v>44</v>
      </c>
      <c r="Y186" s="4">
        <v>0</v>
      </c>
      <c r="Z186" s="4">
        <v>12</v>
      </c>
      <c r="AA186" s="4">
        <v>0</v>
      </c>
      <c r="AB186" s="4">
        <v>0</v>
      </c>
      <c r="AC186" s="4">
        <v>3</v>
      </c>
      <c r="AD186" s="4">
        <v>14</v>
      </c>
      <c r="AE186" s="3" t="s">
        <v>58</v>
      </c>
      <c r="AG186">
        <f t="shared" ca="1" si="6"/>
        <v>3</v>
      </c>
      <c r="AH186" s="23" t="str" cm="1">
        <f t="array" ref="AH186">_xlfn.IFS(E186&gt;49,"50+",E186&gt;39,"40-49",E186&gt;29,"30-39",E186&gt;19,"20-29")</f>
        <v>40-49</v>
      </c>
      <c r="AI186" s="24" t="str" cm="1">
        <f t="array" aca="1" ref="AI186" ca="1">_xlfn.IFS(AG186&gt;10,"10+",AG186&gt;4,"5-10 YIL",AG186&gt;2,"3-5 YIL",AG186&gt;0.9,"1-3 YIL",AG186&lt;1,"0-1 YIL")</f>
        <v>3-5 YIL</v>
      </c>
      <c r="AJ186">
        <f t="shared" si="7"/>
        <v>2023</v>
      </c>
      <c r="AK186" t="e">
        <f t="shared" si="8"/>
        <v>#VALUE!</v>
      </c>
    </row>
    <row r="187" spans="1:37" x14ac:dyDescent="0.3">
      <c r="A187" s="6" t="s">
        <v>419</v>
      </c>
      <c r="B187" s="7" t="s">
        <v>234</v>
      </c>
      <c r="C187" s="6" t="s">
        <v>33</v>
      </c>
      <c r="D187" s="14">
        <v>29033</v>
      </c>
      <c r="E187" s="8">
        <v>47</v>
      </c>
      <c r="F187" s="6" t="s">
        <v>49</v>
      </c>
      <c r="G187" s="8">
        <v>3</v>
      </c>
      <c r="H187" s="6" t="s">
        <v>35</v>
      </c>
      <c r="I187" s="7" t="s">
        <v>139</v>
      </c>
      <c r="J187" s="7" t="s">
        <v>161</v>
      </c>
      <c r="K187" s="6" t="s">
        <v>51</v>
      </c>
      <c r="L187" s="6" t="s">
        <v>63</v>
      </c>
      <c r="M187" s="7" t="s">
        <v>162</v>
      </c>
      <c r="N187" s="6" t="s">
        <v>41</v>
      </c>
      <c r="O187" s="14">
        <v>43010</v>
      </c>
      <c r="P187" s="14">
        <v>45872</v>
      </c>
      <c r="Q187" s="7" t="s">
        <v>121</v>
      </c>
      <c r="R187" s="6">
        <v>17</v>
      </c>
      <c r="S187" s="6" t="s">
        <v>43</v>
      </c>
      <c r="T187" s="9">
        <v>83900</v>
      </c>
      <c r="U187" s="9">
        <v>0</v>
      </c>
      <c r="V187" s="8">
        <v>2</v>
      </c>
      <c r="W187" s="8">
        <v>29</v>
      </c>
      <c r="X187" s="6" t="s">
        <v>57</v>
      </c>
      <c r="Y187" s="8">
        <v>1</v>
      </c>
      <c r="Z187" s="8">
        <v>2</v>
      </c>
      <c r="AA187" s="8">
        <v>0</v>
      </c>
      <c r="AB187" s="8">
        <v>0</v>
      </c>
      <c r="AC187" s="8">
        <v>2</v>
      </c>
      <c r="AD187" s="8">
        <v>5</v>
      </c>
      <c r="AE187" s="7" t="s">
        <v>58</v>
      </c>
      <c r="AG187">
        <f t="shared" ca="1" si="6"/>
        <v>8</v>
      </c>
      <c r="AH187" s="23" t="str" cm="1">
        <f t="array" ref="AH187">_xlfn.IFS(E187&gt;49,"50+",E187&gt;39,"40-49",E187&gt;29,"30-39",E187&gt;19,"20-29")</f>
        <v>40-49</v>
      </c>
      <c r="AI187" s="24" t="str" cm="1">
        <f t="array" aca="1" ref="AI187" ca="1">_xlfn.IFS(AG187&gt;10,"10+",AG187&gt;4,"5-10 YIL",AG187&gt;2,"3-5 YIL",AG187&gt;0.9,"1-3 YIL",AG187&lt;1,"0-1 YIL")</f>
        <v>5-10 YIL</v>
      </c>
      <c r="AJ187">
        <f t="shared" si="7"/>
        <v>2017</v>
      </c>
      <c r="AK187">
        <f t="shared" si="8"/>
        <v>2025</v>
      </c>
    </row>
    <row r="188" spans="1:37" x14ac:dyDescent="0.3">
      <c r="A188" s="2" t="s">
        <v>420</v>
      </c>
      <c r="B188" s="3" t="s">
        <v>421</v>
      </c>
      <c r="C188" s="2" t="s">
        <v>48</v>
      </c>
      <c r="D188" s="13">
        <v>34067</v>
      </c>
      <c r="E188" s="4">
        <v>33</v>
      </c>
      <c r="F188" s="2" t="s">
        <v>49</v>
      </c>
      <c r="G188" s="4">
        <v>1</v>
      </c>
      <c r="H188" s="2" t="s">
        <v>85</v>
      </c>
      <c r="I188" s="3" t="s">
        <v>36</v>
      </c>
      <c r="J188" s="3" t="s">
        <v>50</v>
      </c>
      <c r="K188" s="2" t="s">
        <v>51</v>
      </c>
      <c r="L188" s="2" t="s">
        <v>39</v>
      </c>
      <c r="M188" s="3" t="s">
        <v>40</v>
      </c>
      <c r="N188" s="2" t="s">
        <v>52</v>
      </c>
      <c r="O188" s="13">
        <v>43431</v>
      </c>
      <c r="P188" s="2" t="s">
        <v>44</v>
      </c>
      <c r="Q188" s="3" t="s">
        <v>44</v>
      </c>
      <c r="R188" s="2" t="s">
        <v>44</v>
      </c>
      <c r="S188" s="2" t="s">
        <v>56</v>
      </c>
      <c r="T188" s="5">
        <v>45300</v>
      </c>
      <c r="U188" s="5">
        <v>0</v>
      </c>
      <c r="V188" s="4">
        <v>13</v>
      </c>
      <c r="W188" s="4">
        <v>30</v>
      </c>
      <c r="X188" s="2" t="s">
        <v>44</v>
      </c>
      <c r="Y188" s="4">
        <v>0</v>
      </c>
      <c r="Z188" s="4">
        <v>12</v>
      </c>
      <c r="AA188" s="4">
        <v>0</v>
      </c>
      <c r="AB188" s="4">
        <v>0</v>
      </c>
      <c r="AC188" s="4">
        <v>2</v>
      </c>
      <c r="AD188" s="4">
        <v>9</v>
      </c>
      <c r="AE188" s="3" t="s">
        <v>58</v>
      </c>
      <c r="AG188">
        <f t="shared" ca="1" si="6"/>
        <v>7</v>
      </c>
      <c r="AH188" s="23" t="str" cm="1">
        <f t="array" ref="AH188">_xlfn.IFS(E188&gt;49,"50+",E188&gt;39,"40-49",E188&gt;29,"30-39",E188&gt;19,"20-29")</f>
        <v>30-39</v>
      </c>
      <c r="AI188" s="24" t="str" cm="1">
        <f t="array" aca="1" ref="AI188" ca="1">_xlfn.IFS(AG188&gt;10,"10+",AG188&gt;4,"5-10 YIL",AG188&gt;2,"3-5 YIL",AG188&gt;0.9,"1-3 YIL",AG188&lt;1,"0-1 YIL")</f>
        <v>5-10 YIL</v>
      </c>
      <c r="AJ188">
        <f t="shared" si="7"/>
        <v>2018</v>
      </c>
      <c r="AK188" t="e">
        <f t="shared" si="8"/>
        <v>#VALUE!</v>
      </c>
    </row>
    <row r="189" spans="1:37" x14ac:dyDescent="0.3">
      <c r="A189" s="6" t="s">
        <v>422</v>
      </c>
      <c r="B189" s="7" t="s">
        <v>423</v>
      </c>
      <c r="C189" s="6" t="s">
        <v>48</v>
      </c>
      <c r="D189" s="14">
        <v>35113</v>
      </c>
      <c r="E189" s="8">
        <v>30</v>
      </c>
      <c r="F189" s="6" t="s">
        <v>49</v>
      </c>
      <c r="G189" s="8">
        <v>2</v>
      </c>
      <c r="H189" s="6" t="s">
        <v>85</v>
      </c>
      <c r="I189" s="7" t="s">
        <v>61</v>
      </c>
      <c r="J189" s="7" t="s">
        <v>107</v>
      </c>
      <c r="K189" s="6" t="s">
        <v>51</v>
      </c>
      <c r="L189" s="6" t="s">
        <v>63</v>
      </c>
      <c r="M189" s="7" t="s">
        <v>64</v>
      </c>
      <c r="N189" s="6" t="s">
        <v>89</v>
      </c>
      <c r="O189" s="14">
        <v>43055</v>
      </c>
      <c r="P189" s="6" t="s">
        <v>44</v>
      </c>
      <c r="Q189" s="7" t="s">
        <v>44</v>
      </c>
      <c r="R189" s="6" t="s">
        <v>44</v>
      </c>
      <c r="S189" s="6" t="s">
        <v>56</v>
      </c>
      <c r="T189" s="9">
        <v>56600</v>
      </c>
      <c r="U189" s="9">
        <v>11900</v>
      </c>
      <c r="V189" s="8">
        <v>4</v>
      </c>
      <c r="W189" s="8">
        <v>29</v>
      </c>
      <c r="X189" s="6" t="s">
        <v>81</v>
      </c>
      <c r="Y189" s="8">
        <v>0</v>
      </c>
      <c r="Z189" s="8">
        <v>12</v>
      </c>
      <c r="AA189" s="8">
        <v>1</v>
      </c>
      <c r="AB189" s="8">
        <v>0</v>
      </c>
      <c r="AC189" s="8">
        <v>3</v>
      </c>
      <c r="AD189" s="8">
        <v>5</v>
      </c>
      <c r="AE189" s="7" t="s">
        <v>82</v>
      </c>
      <c r="AG189">
        <f t="shared" ca="1" si="6"/>
        <v>8</v>
      </c>
      <c r="AH189" s="23" t="str" cm="1">
        <f t="array" ref="AH189">_xlfn.IFS(E189&gt;49,"50+",E189&gt;39,"40-49",E189&gt;29,"30-39",E189&gt;19,"20-29")</f>
        <v>30-39</v>
      </c>
      <c r="AI189" s="24" t="str" cm="1">
        <f t="array" aca="1" ref="AI189" ca="1">_xlfn.IFS(AG189&gt;10,"10+",AG189&gt;4,"5-10 YIL",AG189&gt;2,"3-5 YIL",AG189&gt;0.9,"1-3 YIL",AG189&lt;1,"0-1 YIL")</f>
        <v>5-10 YIL</v>
      </c>
      <c r="AJ189">
        <f t="shared" si="7"/>
        <v>2017</v>
      </c>
      <c r="AK189" t="e">
        <f t="shared" si="8"/>
        <v>#VALUE!</v>
      </c>
    </row>
    <row r="190" spans="1:37" x14ac:dyDescent="0.3">
      <c r="A190" s="2" t="s">
        <v>424</v>
      </c>
      <c r="B190" s="3" t="s">
        <v>425</v>
      </c>
      <c r="C190" s="2" t="s">
        <v>48</v>
      </c>
      <c r="D190" s="13">
        <v>35159</v>
      </c>
      <c r="E190" s="4">
        <v>30</v>
      </c>
      <c r="F190" s="2" t="s">
        <v>49</v>
      </c>
      <c r="G190" s="4">
        <v>1</v>
      </c>
      <c r="H190" s="2" t="s">
        <v>35</v>
      </c>
      <c r="I190" s="3" t="s">
        <v>36</v>
      </c>
      <c r="J190" s="3" t="s">
        <v>50</v>
      </c>
      <c r="K190" s="2" t="s">
        <v>51</v>
      </c>
      <c r="L190" s="2" t="s">
        <v>39</v>
      </c>
      <c r="M190" s="3" t="s">
        <v>40</v>
      </c>
      <c r="N190" s="2" t="s">
        <v>89</v>
      </c>
      <c r="O190" s="13">
        <v>44742</v>
      </c>
      <c r="P190" s="2" t="s">
        <v>44</v>
      </c>
      <c r="Q190" s="3" t="s">
        <v>44</v>
      </c>
      <c r="R190" s="2" t="s">
        <v>44</v>
      </c>
      <c r="S190" s="2" t="s">
        <v>56</v>
      </c>
      <c r="T190" s="5">
        <v>40800</v>
      </c>
      <c r="U190" s="5">
        <v>0</v>
      </c>
      <c r="V190" s="4">
        <v>31</v>
      </c>
      <c r="W190" s="4">
        <v>28</v>
      </c>
      <c r="X190" s="2" t="s">
        <v>57</v>
      </c>
      <c r="Y190" s="4">
        <v>2</v>
      </c>
      <c r="Z190" s="4">
        <v>0</v>
      </c>
      <c r="AA190" s="4">
        <v>0</v>
      </c>
      <c r="AB190" s="4">
        <v>0</v>
      </c>
      <c r="AC190" s="4">
        <v>4</v>
      </c>
      <c r="AD190" s="4">
        <v>22</v>
      </c>
      <c r="AE190" s="3" t="s">
        <v>58</v>
      </c>
      <c r="AG190">
        <f t="shared" ca="1" si="6"/>
        <v>4</v>
      </c>
      <c r="AH190" s="23" t="str" cm="1">
        <f t="array" ref="AH190">_xlfn.IFS(E190&gt;49,"50+",E190&gt;39,"40-49",E190&gt;29,"30-39",E190&gt;19,"20-29")</f>
        <v>30-39</v>
      </c>
      <c r="AI190" s="24" t="str" cm="1">
        <f t="array" aca="1" ref="AI190" ca="1">_xlfn.IFS(AG190&gt;10,"10+",AG190&gt;4,"5-10 YIL",AG190&gt;2,"3-5 YIL",AG190&gt;0.9,"1-3 YIL",AG190&lt;1,"0-1 YIL")</f>
        <v>3-5 YIL</v>
      </c>
      <c r="AJ190">
        <f t="shared" si="7"/>
        <v>2022</v>
      </c>
      <c r="AK190" t="e">
        <f t="shared" si="8"/>
        <v>#VALUE!</v>
      </c>
    </row>
    <row r="191" spans="1:37" x14ac:dyDescent="0.3">
      <c r="A191" s="6" t="s">
        <v>426</v>
      </c>
      <c r="B191" s="7" t="s">
        <v>379</v>
      </c>
      <c r="C191" s="6" t="s">
        <v>48</v>
      </c>
      <c r="D191" s="14">
        <v>36661</v>
      </c>
      <c r="E191" s="8">
        <v>26</v>
      </c>
      <c r="F191" s="6" t="s">
        <v>49</v>
      </c>
      <c r="G191" s="8">
        <v>1</v>
      </c>
      <c r="H191" s="6" t="s">
        <v>35</v>
      </c>
      <c r="I191" s="7" t="s">
        <v>36</v>
      </c>
      <c r="J191" s="7" t="s">
        <v>37</v>
      </c>
      <c r="K191" s="6" t="s">
        <v>38</v>
      </c>
      <c r="L191" s="6" t="s">
        <v>39</v>
      </c>
      <c r="M191" s="7" t="s">
        <v>40</v>
      </c>
      <c r="N191" s="6" t="s">
        <v>41</v>
      </c>
      <c r="O191" s="14">
        <v>45188</v>
      </c>
      <c r="P191" s="14">
        <v>45498</v>
      </c>
      <c r="Q191" s="7" t="s">
        <v>53</v>
      </c>
      <c r="R191" s="6">
        <v>4</v>
      </c>
      <c r="S191" s="6" t="s">
        <v>43</v>
      </c>
      <c r="T191" s="9">
        <v>24600</v>
      </c>
      <c r="U191" s="9">
        <v>0</v>
      </c>
      <c r="V191" s="8">
        <v>34</v>
      </c>
      <c r="W191" s="8">
        <v>29</v>
      </c>
      <c r="X191" s="6" t="s">
        <v>57</v>
      </c>
      <c r="Y191" s="8">
        <v>1</v>
      </c>
      <c r="Z191" s="8">
        <v>13</v>
      </c>
      <c r="AA191" s="8">
        <v>0</v>
      </c>
      <c r="AB191" s="8">
        <v>0</v>
      </c>
      <c r="AC191" s="8">
        <v>2</v>
      </c>
      <c r="AD191" s="8">
        <v>10</v>
      </c>
      <c r="AE191" s="7" t="s">
        <v>45</v>
      </c>
      <c r="AG191">
        <f t="shared" ca="1" si="6"/>
        <v>2</v>
      </c>
      <c r="AH191" s="23" t="str" cm="1">
        <f t="array" ref="AH191">_xlfn.IFS(E191&gt;49,"50+",E191&gt;39,"40-49",E191&gt;29,"30-39",E191&gt;19,"20-29")</f>
        <v>20-29</v>
      </c>
      <c r="AI191" s="24" t="str" cm="1">
        <f t="array" aca="1" ref="AI191" ca="1">_xlfn.IFS(AG191&gt;10,"10+",AG191&gt;4,"5-10 YIL",AG191&gt;2,"3-5 YIL",AG191&gt;0.9,"1-3 YIL",AG191&lt;1,"0-1 YIL")</f>
        <v>1-3 YIL</v>
      </c>
      <c r="AJ191">
        <f t="shared" si="7"/>
        <v>2023</v>
      </c>
      <c r="AK191">
        <f t="shared" si="8"/>
        <v>2024</v>
      </c>
    </row>
    <row r="192" spans="1:37" x14ac:dyDescent="0.3">
      <c r="A192" s="2" t="s">
        <v>427</v>
      </c>
      <c r="B192" s="3" t="s">
        <v>317</v>
      </c>
      <c r="C192" s="2" t="s">
        <v>33</v>
      </c>
      <c r="D192" s="13">
        <v>35789</v>
      </c>
      <c r="E192" s="4">
        <v>29</v>
      </c>
      <c r="F192" s="2" t="s">
        <v>49</v>
      </c>
      <c r="G192" s="4">
        <v>0</v>
      </c>
      <c r="H192" s="2" t="s">
        <v>85</v>
      </c>
      <c r="I192" s="3" t="s">
        <v>36</v>
      </c>
      <c r="J192" s="3" t="s">
        <v>37</v>
      </c>
      <c r="K192" s="2" t="s">
        <v>38</v>
      </c>
      <c r="L192" s="2" t="s">
        <v>39</v>
      </c>
      <c r="M192" s="3" t="s">
        <v>40</v>
      </c>
      <c r="N192" s="2" t="s">
        <v>52</v>
      </c>
      <c r="O192" s="13">
        <v>45511</v>
      </c>
      <c r="P192" s="13">
        <v>45871</v>
      </c>
      <c r="Q192" s="3" t="s">
        <v>53</v>
      </c>
      <c r="R192" s="2">
        <v>4</v>
      </c>
      <c r="S192" s="2" t="s">
        <v>43</v>
      </c>
      <c r="T192" s="5">
        <v>23800</v>
      </c>
      <c r="U192" s="5">
        <v>0</v>
      </c>
      <c r="V192" s="4">
        <v>44</v>
      </c>
      <c r="W192" s="4">
        <v>30</v>
      </c>
      <c r="X192" s="2" t="s">
        <v>44</v>
      </c>
      <c r="Y192" s="4">
        <v>0</v>
      </c>
      <c r="Z192" s="4">
        <v>5</v>
      </c>
      <c r="AA192" s="4">
        <v>0</v>
      </c>
      <c r="AB192" s="4">
        <v>0</v>
      </c>
      <c r="AC192" s="4">
        <v>3</v>
      </c>
      <c r="AD192" s="4">
        <v>16</v>
      </c>
      <c r="AE192" s="3" t="s">
        <v>45</v>
      </c>
      <c r="AG192">
        <f t="shared" ca="1" si="6"/>
        <v>1</v>
      </c>
      <c r="AH192" s="23" t="str" cm="1">
        <f t="array" ref="AH192">_xlfn.IFS(E192&gt;49,"50+",E192&gt;39,"40-49",E192&gt;29,"30-39",E192&gt;19,"20-29")</f>
        <v>20-29</v>
      </c>
      <c r="AI192" s="24" t="str" cm="1">
        <f t="array" aca="1" ref="AI192" ca="1">_xlfn.IFS(AG192&gt;10,"10+",AG192&gt;4,"5-10 YIL",AG192&gt;2,"3-5 YIL",AG192&gt;0.9,"1-3 YIL",AG192&lt;1,"0-1 YIL")</f>
        <v>1-3 YIL</v>
      </c>
      <c r="AJ192">
        <f t="shared" si="7"/>
        <v>2024</v>
      </c>
      <c r="AK192">
        <f t="shared" si="8"/>
        <v>2025</v>
      </c>
    </row>
    <row r="193" spans="1:37" x14ac:dyDescent="0.3">
      <c r="A193" s="6" t="s">
        <v>428</v>
      </c>
      <c r="B193" s="7" t="s">
        <v>429</v>
      </c>
      <c r="C193" s="6" t="s">
        <v>48</v>
      </c>
      <c r="D193" s="14">
        <v>35990</v>
      </c>
      <c r="E193" s="8">
        <v>28</v>
      </c>
      <c r="F193" s="6" t="s">
        <v>34</v>
      </c>
      <c r="G193" s="8">
        <v>0</v>
      </c>
      <c r="H193" s="6" t="s">
        <v>35</v>
      </c>
      <c r="I193" s="7" t="s">
        <v>61</v>
      </c>
      <c r="J193" s="7" t="s">
        <v>62</v>
      </c>
      <c r="K193" s="6" t="s">
        <v>38</v>
      </c>
      <c r="L193" s="6" t="s">
        <v>63</v>
      </c>
      <c r="M193" s="7" t="s">
        <v>64</v>
      </c>
      <c r="N193" s="6" t="s">
        <v>41</v>
      </c>
      <c r="O193" s="14">
        <v>45381</v>
      </c>
      <c r="P193" s="6" t="s">
        <v>44</v>
      </c>
      <c r="Q193" s="7" t="s">
        <v>44</v>
      </c>
      <c r="R193" s="6" t="s">
        <v>44</v>
      </c>
      <c r="S193" s="6" t="s">
        <v>56</v>
      </c>
      <c r="T193" s="9">
        <v>33100</v>
      </c>
      <c r="U193" s="9">
        <v>10200</v>
      </c>
      <c r="V193" s="8">
        <v>4</v>
      </c>
      <c r="W193" s="8">
        <v>30</v>
      </c>
      <c r="X193" s="6" t="s">
        <v>44</v>
      </c>
      <c r="Y193" s="8">
        <v>0</v>
      </c>
      <c r="Z193" s="8">
        <v>7</v>
      </c>
      <c r="AA193" s="8">
        <v>0</v>
      </c>
      <c r="AB193" s="8">
        <v>0</v>
      </c>
      <c r="AC193" s="8">
        <v>4</v>
      </c>
      <c r="AD193" s="8">
        <v>27</v>
      </c>
      <c r="AE193" s="7" t="s">
        <v>45</v>
      </c>
      <c r="AG193">
        <f t="shared" ca="1" si="6"/>
        <v>2</v>
      </c>
      <c r="AH193" s="23" t="str" cm="1">
        <f t="array" ref="AH193">_xlfn.IFS(E193&gt;49,"50+",E193&gt;39,"40-49",E193&gt;29,"30-39",E193&gt;19,"20-29")</f>
        <v>20-29</v>
      </c>
      <c r="AI193" s="24" t="str" cm="1">
        <f t="array" aca="1" ref="AI193" ca="1">_xlfn.IFS(AG193&gt;10,"10+",AG193&gt;4,"5-10 YIL",AG193&gt;2,"3-5 YIL",AG193&gt;0.9,"1-3 YIL",AG193&lt;1,"0-1 YIL")</f>
        <v>1-3 YIL</v>
      </c>
      <c r="AJ193">
        <f t="shared" si="7"/>
        <v>2024</v>
      </c>
      <c r="AK193" t="e">
        <f t="shared" si="8"/>
        <v>#VALUE!</v>
      </c>
    </row>
    <row r="194" spans="1:37" x14ac:dyDescent="0.3">
      <c r="A194" s="2" t="s">
        <v>430</v>
      </c>
      <c r="B194" s="3" t="s">
        <v>431</v>
      </c>
      <c r="C194" s="2" t="s">
        <v>33</v>
      </c>
      <c r="D194" s="13">
        <v>35174</v>
      </c>
      <c r="E194" s="4">
        <v>30</v>
      </c>
      <c r="F194" s="2" t="s">
        <v>49</v>
      </c>
      <c r="G194" s="4">
        <v>0</v>
      </c>
      <c r="H194" s="2" t="s">
        <v>35</v>
      </c>
      <c r="I194" s="3" t="s">
        <v>148</v>
      </c>
      <c r="J194" s="3" t="s">
        <v>149</v>
      </c>
      <c r="K194" s="2" t="s">
        <v>51</v>
      </c>
      <c r="L194" s="2" t="s">
        <v>63</v>
      </c>
      <c r="M194" s="3" t="s">
        <v>150</v>
      </c>
      <c r="N194" s="2" t="s">
        <v>67</v>
      </c>
      <c r="O194" s="13">
        <v>43877</v>
      </c>
      <c r="P194" s="2" t="s">
        <v>44</v>
      </c>
      <c r="Q194" s="3" t="s">
        <v>44</v>
      </c>
      <c r="R194" s="2" t="s">
        <v>44</v>
      </c>
      <c r="S194" s="2" t="s">
        <v>56</v>
      </c>
      <c r="T194" s="5">
        <v>52500</v>
      </c>
      <c r="U194" s="5">
        <v>0</v>
      </c>
      <c r="V194" s="4">
        <v>8</v>
      </c>
      <c r="W194" s="4">
        <v>30</v>
      </c>
      <c r="X194" s="2" t="s">
        <v>44</v>
      </c>
      <c r="Y194" s="4">
        <v>0</v>
      </c>
      <c r="Z194" s="4">
        <v>5</v>
      </c>
      <c r="AA194" s="4">
        <v>0</v>
      </c>
      <c r="AB194" s="4">
        <v>0</v>
      </c>
      <c r="AC194" s="4">
        <v>2</v>
      </c>
      <c r="AD194" s="4">
        <v>19</v>
      </c>
      <c r="AE194" s="3" t="s">
        <v>45</v>
      </c>
      <c r="AG194">
        <f t="shared" ca="1" si="6"/>
        <v>6</v>
      </c>
      <c r="AH194" s="23" t="str" cm="1">
        <f t="array" ref="AH194">_xlfn.IFS(E194&gt;49,"50+",E194&gt;39,"40-49",E194&gt;29,"30-39",E194&gt;19,"20-29")</f>
        <v>30-39</v>
      </c>
      <c r="AI194" s="24" t="str" cm="1">
        <f t="array" aca="1" ref="AI194" ca="1">_xlfn.IFS(AG194&gt;10,"10+",AG194&gt;4,"5-10 YIL",AG194&gt;2,"3-5 YIL",AG194&gt;0.9,"1-3 YIL",AG194&lt;1,"0-1 YIL")</f>
        <v>5-10 YIL</v>
      </c>
      <c r="AJ194">
        <f t="shared" si="7"/>
        <v>2020</v>
      </c>
      <c r="AK194" t="e">
        <f t="shared" si="8"/>
        <v>#VALUE!</v>
      </c>
    </row>
    <row r="195" spans="1:37" x14ac:dyDescent="0.3">
      <c r="A195" s="6" t="s">
        <v>432</v>
      </c>
      <c r="B195" s="7" t="s">
        <v>433</v>
      </c>
      <c r="C195" s="6" t="s">
        <v>33</v>
      </c>
      <c r="D195" s="14">
        <v>29105</v>
      </c>
      <c r="E195" s="8">
        <v>47</v>
      </c>
      <c r="F195" s="6" t="s">
        <v>34</v>
      </c>
      <c r="G195" s="8">
        <v>0</v>
      </c>
      <c r="H195" s="6" t="s">
        <v>35</v>
      </c>
      <c r="I195" s="7" t="s">
        <v>36</v>
      </c>
      <c r="J195" s="7" t="s">
        <v>50</v>
      </c>
      <c r="K195" s="6" t="s">
        <v>51</v>
      </c>
      <c r="L195" s="6" t="s">
        <v>39</v>
      </c>
      <c r="M195" s="7" t="s">
        <v>40</v>
      </c>
      <c r="N195" s="6" t="s">
        <v>67</v>
      </c>
      <c r="O195" s="14">
        <v>43945</v>
      </c>
      <c r="P195" s="6" t="s">
        <v>44</v>
      </c>
      <c r="Q195" s="7" t="s">
        <v>44</v>
      </c>
      <c r="R195" s="6" t="s">
        <v>44</v>
      </c>
      <c r="S195" s="6" t="s">
        <v>56</v>
      </c>
      <c r="T195" s="9">
        <v>43400</v>
      </c>
      <c r="U195" s="9">
        <v>0</v>
      </c>
      <c r="V195" s="8">
        <v>29</v>
      </c>
      <c r="W195" s="8">
        <v>29</v>
      </c>
      <c r="X195" s="6" t="s">
        <v>57</v>
      </c>
      <c r="Y195" s="8">
        <v>1</v>
      </c>
      <c r="Z195" s="8">
        <v>1</v>
      </c>
      <c r="AA195" s="8">
        <v>0</v>
      </c>
      <c r="AB195" s="8">
        <v>0</v>
      </c>
      <c r="AC195" s="8">
        <v>3</v>
      </c>
      <c r="AD195" s="8">
        <v>12</v>
      </c>
      <c r="AE195" s="7" t="s">
        <v>58</v>
      </c>
      <c r="AG195">
        <f t="shared" ref="AG195:AG258" ca="1" si="9">DATEDIF(O195,TODAY(),"Y")</f>
        <v>6</v>
      </c>
      <c r="AH195" s="23" t="str" cm="1">
        <f t="array" ref="AH195">_xlfn.IFS(E195&gt;49,"50+",E195&gt;39,"40-49",E195&gt;29,"30-39",E195&gt;19,"20-29")</f>
        <v>40-49</v>
      </c>
      <c r="AI195" s="24" t="str" cm="1">
        <f t="array" aca="1" ref="AI195" ca="1">_xlfn.IFS(AG195&gt;10,"10+",AG195&gt;4,"5-10 YIL",AG195&gt;2,"3-5 YIL",AG195&gt;0.9,"1-3 YIL",AG195&lt;1,"0-1 YIL")</f>
        <v>5-10 YIL</v>
      </c>
      <c r="AJ195">
        <f t="shared" ref="AJ195:AJ258" si="10">YEAR(O195)</f>
        <v>2020</v>
      </c>
      <c r="AK195" t="e">
        <f t="shared" ref="AK195:AK258" si="11">YEAR(P195)</f>
        <v>#VALUE!</v>
      </c>
    </row>
    <row r="196" spans="1:37" x14ac:dyDescent="0.3">
      <c r="A196" s="2" t="s">
        <v>434</v>
      </c>
      <c r="B196" s="3" t="s">
        <v>435</v>
      </c>
      <c r="C196" s="2" t="s">
        <v>48</v>
      </c>
      <c r="D196" s="13">
        <v>35204</v>
      </c>
      <c r="E196" s="4">
        <v>30</v>
      </c>
      <c r="F196" s="2" t="s">
        <v>49</v>
      </c>
      <c r="G196" s="4">
        <v>3</v>
      </c>
      <c r="H196" s="2" t="s">
        <v>35</v>
      </c>
      <c r="I196" s="3" t="s">
        <v>70</v>
      </c>
      <c r="J196" s="3" t="s">
        <v>71</v>
      </c>
      <c r="K196" s="2" t="s">
        <v>51</v>
      </c>
      <c r="L196" s="2" t="s">
        <v>63</v>
      </c>
      <c r="M196" s="3" t="s">
        <v>72</v>
      </c>
      <c r="N196" s="2" t="s">
        <v>52</v>
      </c>
      <c r="O196" s="13">
        <v>42062</v>
      </c>
      <c r="P196" s="2" t="s">
        <v>44</v>
      </c>
      <c r="Q196" s="3" t="s">
        <v>44</v>
      </c>
      <c r="R196" s="2" t="s">
        <v>44</v>
      </c>
      <c r="S196" s="2" t="s">
        <v>56</v>
      </c>
      <c r="T196" s="5">
        <v>62300</v>
      </c>
      <c r="U196" s="5">
        <v>0</v>
      </c>
      <c r="V196" s="4">
        <v>7</v>
      </c>
      <c r="W196" s="4">
        <v>30</v>
      </c>
      <c r="X196" s="2" t="s">
        <v>44</v>
      </c>
      <c r="Y196" s="4">
        <v>0</v>
      </c>
      <c r="Z196" s="4">
        <v>13</v>
      </c>
      <c r="AA196" s="4">
        <v>0</v>
      </c>
      <c r="AB196" s="4">
        <v>0</v>
      </c>
      <c r="AC196" s="4">
        <v>1</v>
      </c>
      <c r="AD196" s="4">
        <v>12</v>
      </c>
      <c r="AE196" s="3" t="s">
        <v>45</v>
      </c>
      <c r="AG196">
        <f t="shared" ca="1" si="9"/>
        <v>11</v>
      </c>
      <c r="AH196" s="23" t="str" cm="1">
        <f t="array" ref="AH196">_xlfn.IFS(E196&gt;49,"50+",E196&gt;39,"40-49",E196&gt;29,"30-39",E196&gt;19,"20-29")</f>
        <v>30-39</v>
      </c>
      <c r="AI196" s="24" t="str" cm="1">
        <f t="array" aca="1" ref="AI196" ca="1">_xlfn.IFS(AG196&gt;10,"10+",AG196&gt;4,"5-10 YIL",AG196&gt;2,"3-5 YIL",AG196&gt;0.9,"1-3 YIL",AG196&lt;1,"0-1 YIL")</f>
        <v>10+</v>
      </c>
      <c r="AJ196">
        <f t="shared" si="10"/>
        <v>2015</v>
      </c>
      <c r="AK196" t="e">
        <f t="shared" si="11"/>
        <v>#VALUE!</v>
      </c>
    </row>
    <row r="197" spans="1:37" x14ac:dyDescent="0.3">
      <c r="A197" s="6" t="s">
        <v>436</v>
      </c>
      <c r="B197" s="7" t="s">
        <v>437</v>
      </c>
      <c r="C197" s="6" t="s">
        <v>33</v>
      </c>
      <c r="D197" s="14">
        <v>35785</v>
      </c>
      <c r="E197" s="8">
        <v>29</v>
      </c>
      <c r="F197" s="6" t="s">
        <v>34</v>
      </c>
      <c r="G197" s="8">
        <v>0</v>
      </c>
      <c r="H197" s="6" t="s">
        <v>35</v>
      </c>
      <c r="I197" s="7" t="s">
        <v>36</v>
      </c>
      <c r="J197" s="7" t="s">
        <v>37</v>
      </c>
      <c r="K197" s="6" t="s">
        <v>38</v>
      </c>
      <c r="L197" s="6" t="s">
        <v>39</v>
      </c>
      <c r="M197" s="7" t="s">
        <v>40</v>
      </c>
      <c r="N197" s="6" t="s">
        <v>41</v>
      </c>
      <c r="O197" s="14">
        <v>46068</v>
      </c>
      <c r="P197" s="6" t="s">
        <v>44</v>
      </c>
      <c r="Q197" s="7" t="s">
        <v>44</v>
      </c>
      <c r="R197" s="6" t="s">
        <v>44</v>
      </c>
      <c r="S197" s="6" t="s">
        <v>56</v>
      </c>
      <c r="T197" s="9">
        <v>26300</v>
      </c>
      <c r="U197" s="9">
        <v>0</v>
      </c>
      <c r="V197" s="8">
        <v>28</v>
      </c>
      <c r="W197" s="8">
        <v>29</v>
      </c>
      <c r="X197" s="6" t="s">
        <v>81</v>
      </c>
      <c r="Y197" s="8">
        <v>0</v>
      </c>
      <c r="Z197" s="8">
        <v>0</v>
      </c>
      <c r="AA197" s="8">
        <v>1</v>
      </c>
      <c r="AB197" s="8">
        <v>0</v>
      </c>
      <c r="AC197" s="8">
        <v>4</v>
      </c>
      <c r="AD197" s="8">
        <v>23</v>
      </c>
      <c r="AE197" s="7" t="s">
        <v>45</v>
      </c>
      <c r="AG197">
        <f t="shared" ca="1" si="9"/>
        <v>0</v>
      </c>
      <c r="AH197" s="23" t="str" cm="1">
        <f t="array" ref="AH197">_xlfn.IFS(E197&gt;49,"50+",E197&gt;39,"40-49",E197&gt;29,"30-39",E197&gt;19,"20-29")</f>
        <v>20-29</v>
      </c>
      <c r="AI197" s="24" t="str" cm="1">
        <f t="array" aca="1" ref="AI197" ca="1">_xlfn.IFS(AG197&gt;10,"10+",AG197&gt;4,"5-10 YIL",AG197&gt;2,"3-5 YIL",AG197&gt;0.9,"1-3 YIL",AG197&lt;1,"0-1 YIL")</f>
        <v>0-1 YIL</v>
      </c>
      <c r="AJ197">
        <f t="shared" si="10"/>
        <v>2026</v>
      </c>
      <c r="AK197" t="e">
        <f t="shared" si="11"/>
        <v>#VALUE!</v>
      </c>
    </row>
    <row r="198" spans="1:37" x14ac:dyDescent="0.3">
      <c r="A198" s="2" t="s">
        <v>438</v>
      </c>
      <c r="B198" s="3" t="s">
        <v>439</v>
      </c>
      <c r="C198" s="2" t="s">
        <v>48</v>
      </c>
      <c r="D198" s="13">
        <v>35713</v>
      </c>
      <c r="E198" s="4">
        <v>29</v>
      </c>
      <c r="F198" s="2" t="s">
        <v>34</v>
      </c>
      <c r="G198" s="4">
        <v>0</v>
      </c>
      <c r="H198" s="2" t="s">
        <v>88</v>
      </c>
      <c r="I198" s="3" t="s">
        <v>36</v>
      </c>
      <c r="J198" s="3" t="s">
        <v>37</v>
      </c>
      <c r="K198" s="2" t="s">
        <v>38</v>
      </c>
      <c r="L198" s="2" t="s">
        <v>39</v>
      </c>
      <c r="M198" s="3" t="s">
        <v>40</v>
      </c>
      <c r="N198" s="2" t="s">
        <v>41</v>
      </c>
      <c r="O198" s="13">
        <v>45878</v>
      </c>
      <c r="P198" s="2" t="s">
        <v>44</v>
      </c>
      <c r="Q198" s="3" t="s">
        <v>44</v>
      </c>
      <c r="R198" s="2" t="s">
        <v>44</v>
      </c>
      <c r="S198" s="2" t="s">
        <v>56</v>
      </c>
      <c r="T198" s="5">
        <v>27000</v>
      </c>
      <c r="U198" s="5">
        <v>0</v>
      </c>
      <c r="V198" s="4">
        <v>25</v>
      </c>
      <c r="W198" s="4">
        <v>30</v>
      </c>
      <c r="X198" s="2" t="s">
        <v>44</v>
      </c>
      <c r="Y198" s="4">
        <v>0</v>
      </c>
      <c r="Z198" s="4">
        <v>0</v>
      </c>
      <c r="AA198" s="4">
        <v>0</v>
      </c>
      <c r="AB198" s="4">
        <v>0</v>
      </c>
      <c r="AC198" s="4">
        <v>2</v>
      </c>
      <c r="AD198" s="4">
        <v>17</v>
      </c>
      <c r="AE198" s="3" t="s">
        <v>45</v>
      </c>
      <c r="AG198">
        <f t="shared" ca="1" si="9"/>
        <v>0</v>
      </c>
      <c r="AH198" s="23" t="str" cm="1">
        <f t="array" ref="AH198">_xlfn.IFS(E198&gt;49,"50+",E198&gt;39,"40-49",E198&gt;29,"30-39",E198&gt;19,"20-29")</f>
        <v>20-29</v>
      </c>
      <c r="AI198" s="24" t="str" cm="1">
        <f t="array" aca="1" ref="AI198" ca="1">_xlfn.IFS(AG198&gt;10,"10+",AG198&gt;4,"5-10 YIL",AG198&gt;2,"3-5 YIL",AG198&gt;0.9,"1-3 YIL",AG198&lt;1,"0-1 YIL")</f>
        <v>0-1 YIL</v>
      </c>
      <c r="AJ198">
        <f t="shared" si="10"/>
        <v>2025</v>
      </c>
      <c r="AK198" t="e">
        <f t="shared" si="11"/>
        <v>#VALUE!</v>
      </c>
    </row>
    <row r="199" spans="1:37" x14ac:dyDescent="0.3">
      <c r="A199" s="6" t="s">
        <v>440</v>
      </c>
      <c r="B199" s="7" t="s">
        <v>441</v>
      </c>
      <c r="C199" s="6" t="s">
        <v>48</v>
      </c>
      <c r="D199" s="14">
        <v>36910</v>
      </c>
      <c r="E199" s="8">
        <v>25</v>
      </c>
      <c r="F199" s="6" t="s">
        <v>49</v>
      </c>
      <c r="G199" s="8">
        <v>1</v>
      </c>
      <c r="H199" s="6" t="s">
        <v>88</v>
      </c>
      <c r="I199" s="7" t="s">
        <v>36</v>
      </c>
      <c r="J199" s="7" t="s">
        <v>37</v>
      </c>
      <c r="K199" s="6" t="s">
        <v>38</v>
      </c>
      <c r="L199" s="6" t="s">
        <v>39</v>
      </c>
      <c r="M199" s="7" t="s">
        <v>40</v>
      </c>
      <c r="N199" s="6" t="s">
        <v>41</v>
      </c>
      <c r="O199" s="14">
        <v>45685</v>
      </c>
      <c r="P199" s="6" t="s">
        <v>44</v>
      </c>
      <c r="Q199" s="7" t="s">
        <v>44</v>
      </c>
      <c r="R199" s="6" t="s">
        <v>44</v>
      </c>
      <c r="S199" s="6" t="s">
        <v>56</v>
      </c>
      <c r="T199" s="9">
        <v>26200</v>
      </c>
      <c r="U199" s="9">
        <v>0</v>
      </c>
      <c r="V199" s="8">
        <v>11</v>
      </c>
      <c r="W199" s="8">
        <v>28</v>
      </c>
      <c r="X199" s="6" t="s">
        <v>57</v>
      </c>
      <c r="Y199" s="8">
        <v>1</v>
      </c>
      <c r="Z199" s="8">
        <v>12</v>
      </c>
      <c r="AA199" s="8">
        <v>1</v>
      </c>
      <c r="AB199" s="8">
        <v>0</v>
      </c>
      <c r="AC199" s="8">
        <v>3</v>
      </c>
      <c r="AD199" s="8">
        <v>8</v>
      </c>
      <c r="AE199" s="7" t="s">
        <v>58</v>
      </c>
      <c r="AG199">
        <f t="shared" ca="1" si="9"/>
        <v>1</v>
      </c>
      <c r="AH199" s="23" t="str" cm="1">
        <f t="array" ref="AH199">_xlfn.IFS(E199&gt;49,"50+",E199&gt;39,"40-49",E199&gt;29,"30-39",E199&gt;19,"20-29")</f>
        <v>20-29</v>
      </c>
      <c r="AI199" s="24" t="str" cm="1">
        <f t="array" aca="1" ref="AI199" ca="1">_xlfn.IFS(AG199&gt;10,"10+",AG199&gt;4,"5-10 YIL",AG199&gt;2,"3-5 YIL",AG199&gt;0.9,"1-3 YIL",AG199&lt;1,"0-1 YIL")</f>
        <v>1-3 YIL</v>
      </c>
      <c r="AJ199">
        <f t="shared" si="10"/>
        <v>2025</v>
      </c>
      <c r="AK199" t="e">
        <f t="shared" si="11"/>
        <v>#VALUE!</v>
      </c>
    </row>
    <row r="200" spans="1:37" x14ac:dyDescent="0.3">
      <c r="A200" s="2" t="s">
        <v>442</v>
      </c>
      <c r="B200" s="3" t="s">
        <v>443</v>
      </c>
      <c r="C200" s="2" t="s">
        <v>33</v>
      </c>
      <c r="D200" s="13">
        <v>37003</v>
      </c>
      <c r="E200" s="4">
        <v>25</v>
      </c>
      <c r="F200" s="2" t="s">
        <v>34</v>
      </c>
      <c r="G200" s="4">
        <v>0</v>
      </c>
      <c r="H200" s="2" t="s">
        <v>35</v>
      </c>
      <c r="I200" s="3" t="s">
        <v>36</v>
      </c>
      <c r="J200" s="3" t="s">
        <v>37</v>
      </c>
      <c r="K200" s="2" t="s">
        <v>38</v>
      </c>
      <c r="L200" s="2" t="s">
        <v>39</v>
      </c>
      <c r="M200" s="3" t="s">
        <v>40</v>
      </c>
      <c r="N200" s="2" t="s">
        <v>89</v>
      </c>
      <c r="O200" s="13">
        <v>45968</v>
      </c>
      <c r="P200" s="2" t="s">
        <v>44</v>
      </c>
      <c r="Q200" s="3" t="s">
        <v>44</v>
      </c>
      <c r="R200" s="2" t="s">
        <v>44</v>
      </c>
      <c r="S200" s="2" t="s">
        <v>56</v>
      </c>
      <c r="T200" s="5">
        <v>26800</v>
      </c>
      <c r="U200" s="5">
        <v>0</v>
      </c>
      <c r="V200" s="4">
        <v>41</v>
      </c>
      <c r="W200" s="4">
        <v>29</v>
      </c>
      <c r="X200" s="2" t="s">
        <v>57</v>
      </c>
      <c r="Y200" s="4">
        <v>1</v>
      </c>
      <c r="Z200" s="4">
        <v>0</v>
      </c>
      <c r="AA200" s="4">
        <v>0</v>
      </c>
      <c r="AB200" s="4">
        <v>0</v>
      </c>
      <c r="AC200" s="4">
        <v>3</v>
      </c>
      <c r="AD200" s="4">
        <v>14</v>
      </c>
      <c r="AE200" s="3" t="s">
        <v>45</v>
      </c>
      <c r="AG200">
        <f t="shared" ca="1" si="9"/>
        <v>0</v>
      </c>
      <c r="AH200" s="23" t="str" cm="1">
        <f t="array" ref="AH200">_xlfn.IFS(E200&gt;49,"50+",E200&gt;39,"40-49",E200&gt;29,"30-39",E200&gt;19,"20-29")</f>
        <v>20-29</v>
      </c>
      <c r="AI200" s="24" t="str" cm="1">
        <f t="array" aca="1" ref="AI200" ca="1">_xlfn.IFS(AG200&gt;10,"10+",AG200&gt;4,"5-10 YIL",AG200&gt;2,"3-5 YIL",AG200&gt;0.9,"1-3 YIL",AG200&lt;1,"0-1 YIL")</f>
        <v>0-1 YIL</v>
      </c>
      <c r="AJ200">
        <f t="shared" si="10"/>
        <v>2025</v>
      </c>
      <c r="AK200" t="e">
        <f t="shared" si="11"/>
        <v>#VALUE!</v>
      </c>
    </row>
    <row r="201" spans="1:37" x14ac:dyDescent="0.3">
      <c r="A201" s="6" t="s">
        <v>444</v>
      </c>
      <c r="B201" s="7" t="s">
        <v>305</v>
      </c>
      <c r="C201" s="6" t="s">
        <v>33</v>
      </c>
      <c r="D201" s="14">
        <v>36721</v>
      </c>
      <c r="E201" s="8">
        <v>26</v>
      </c>
      <c r="F201" s="6" t="s">
        <v>34</v>
      </c>
      <c r="G201" s="8">
        <v>0</v>
      </c>
      <c r="H201" s="6" t="s">
        <v>35</v>
      </c>
      <c r="I201" s="7" t="s">
        <v>61</v>
      </c>
      <c r="J201" s="7" t="s">
        <v>62</v>
      </c>
      <c r="K201" s="6" t="s">
        <v>38</v>
      </c>
      <c r="L201" s="6" t="s">
        <v>63</v>
      </c>
      <c r="M201" s="7" t="s">
        <v>64</v>
      </c>
      <c r="N201" s="6" t="s">
        <v>41</v>
      </c>
      <c r="O201" s="14">
        <v>45156</v>
      </c>
      <c r="P201" s="6" t="s">
        <v>44</v>
      </c>
      <c r="Q201" s="7" t="s">
        <v>44</v>
      </c>
      <c r="R201" s="6" t="s">
        <v>44</v>
      </c>
      <c r="S201" s="6" t="s">
        <v>56</v>
      </c>
      <c r="T201" s="9">
        <v>36300</v>
      </c>
      <c r="U201" s="9">
        <v>7800</v>
      </c>
      <c r="V201" s="8">
        <v>4</v>
      </c>
      <c r="W201" s="8">
        <v>30</v>
      </c>
      <c r="X201" s="6" t="s">
        <v>44</v>
      </c>
      <c r="Y201" s="8">
        <v>0</v>
      </c>
      <c r="Z201" s="8">
        <v>7</v>
      </c>
      <c r="AA201" s="8">
        <v>0</v>
      </c>
      <c r="AB201" s="8">
        <v>0</v>
      </c>
      <c r="AC201" s="8">
        <v>3</v>
      </c>
      <c r="AD201" s="8">
        <v>15</v>
      </c>
      <c r="AE201" s="7" t="s">
        <v>45</v>
      </c>
      <c r="AG201">
        <f t="shared" ca="1" si="9"/>
        <v>2</v>
      </c>
      <c r="AH201" s="23" t="str" cm="1">
        <f t="array" ref="AH201">_xlfn.IFS(E201&gt;49,"50+",E201&gt;39,"40-49",E201&gt;29,"30-39",E201&gt;19,"20-29")</f>
        <v>20-29</v>
      </c>
      <c r="AI201" s="24" t="str" cm="1">
        <f t="array" aca="1" ref="AI201" ca="1">_xlfn.IFS(AG201&gt;10,"10+",AG201&gt;4,"5-10 YIL",AG201&gt;2,"3-5 YIL",AG201&gt;0.9,"1-3 YIL",AG201&lt;1,"0-1 YIL")</f>
        <v>1-3 YIL</v>
      </c>
      <c r="AJ201">
        <f t="shared" si="10"/>
        <v>2023</v>
      </c>
      <c r="AK201" t="e">
        <f t="shared" si="11"/>
        <v>#VALUE!</v>
      </c>
    </row>
    <row r="202" spans="1:37" x14ac:dyDescent="0.3">
      <c r="A202" s="2" t="s">
        <v>445</v>
      </c>
      <c r="B202" s="3" t="s">
        <v>372</v>
      </c>
      <c r="C202" s="2" t="s">
        <v>33</v>
      </c>
      <c r="D202" s="13">
        <v>32757</v>
      </c>
      <c r="E202" s="4">
        <v>37</v>
      </c>
      <c r="F202" s="2" t="s">
        <v>49</v>
      </c>
      <c r="G202" s="4">
        <v>0</v>
      </c>
      <c r="H202" s="2" t="s">
        <v>88</v>
      </c>
      <c r="I202" s="3" t="s">
        <v>148</v>
      </c>
      <c r="J202" s="3" t="s">
        <v>197</v>
      </c>
      <c r="K202" s="2" t="s">
        <v>79</v>
      </c>
      <c r="L202" s="2" t="s">
        <v>63</v>
      </c>
      <c r="M202" s="3" t="s">
        <v>80</v>
      </c>
      <c r="N202" s="2" t="s">
        <v>41</v>
      </c>
      <c r="O202" s="13">
        <v>42792</v>
      </c>
      <c r="P202" s="2" t="s">
        <v>44</v>
      </c>
      <c r="Q202" s="3" t="s">
        <v>44</v>
      </c>
      <c r="R202" s="2" t="s">
        <v>44</v>
      </c>
      <c r="S202" s="2" t="s">
        <v>56</v>
      </c>
      <c r="T202" s="5">
        <v>107100</v>
      </c>
      <c r="U202" s="5">
        <v>0</v>
      </c>
      <c r="V202" s="4">
        <v>6</v>
      </c>
      <c r="W202" s="4">
        <v>30</v>
      </c>
      <c r="X202" s="2" t="s">
        <v>44</v>
      </c>
      <c r="Y202" s="4">
        <v>0</v>
      </c>
      <c r="Z202" s="4">
        <v>10</v>
      </c>
      <c r="AA202" s="4">
        <v>0</v>
      </c>
      <c r="AB202" s="4">
        <v>0</v>
      </c>
      <c r="AC202" s="4">
        <v>4</v>
      </c>
      <c r="AD202" s="4">
        <v>33</v>
      </c>
      <c r="AE202" s="3" t="s">
        <v>58</v>
      </c>
      <c r="AG202">
        <f t="shared" ca="1" si="9"/>
        <v>9</v>
      </c>
      <c r="AH202" s="23" t="str" cm="1">
        <f t="array" ref="AH202">_xlfn.IFS(E202&gt;49,"50+",E202&gt;39,"40-49",E202&gt;29,"30-39",E202&gt;19,"20-29")</f>
        <v>30-39</v>
      </c>
      <c r="AI202" s="24" t="str" cm="1">
        <f t="array" aca="1" ref="AI202" ca="1">_xlfn.IFS(AG202&gt;10,"10+",AG202&gt;4,"5-10 YIL",AG202&gt;2,"3-5 YIL",AG202&gt;0.9,"1-3 YIL",AG202&lt;1,"0-1 YIL")</f>
        <v>5-10 YIL</v>
      </c>
      <c r="AJ202">
        <f t="shared" si="10"/>
        <v>2017</v>
      </c>
      <c r="AK202" t="e">
        <f t="shared" si="11"/>
        <v>#VALUE!</v>
      </c>
    </row>
    <row r="203" spans="1:37" x14ac:dyDescent="0.3">
      <c r="A203" s="6" t="s">
        <v>446</v>
      </c>
      <c r="B203" s="7" t="s">
        <v>447</v>
      </c>
      <c r="C203" s="6" t="s">
        <v>48</v>
      </c>
      <c r="D203" s="14">
        <v>37717</v>
      </c>
      <c r="E203" s="8">
        <v>23</v>
      </c>
      <c r="F203" s="6" t="s">
        <v>34</v>
      </c>
      <c r="G203" s="8">
        <v>0</v>
      </c>
      <c r="H203" s="6" t="s">
        <v>35</v>
      </c>
      <c r="I203" s="7" t="s">
        <v>36</v>
      </c>
      <c r="J203" s="7" t="s">
        <v>37</v>
      </c>
      <c r="K203" s="6" t="s">
        <v>38</v>
      </c>
      <c r="L203" s="6" t="s">
        <v>39</v>
      </c>
      <c r="M203" s="7" t="s">
        <v>40</v>
      </c>
      <c r="N203" s="6" t="s">
        <v>41</v>
      </c>
      <c r="O203" s="14">
        <v>46166</v>
      </c>
      <c r="P203" s="14">
        <v>46169</v>
      </c>
      <c r="Q203" s="7" t="s">
        <v>177</v>
      </c>
      <c r="R203" s="6">
        <v>3</v>
      </c>
      <c r="S203" s="6" t="s">
        <v>43</v>
      </c>
      <c r="T203" s="9">
        <v>24400</v>
      </c>
      <c r="U203" s="9">
        <v>0</v>
      </c>
      <c r="V203" s="8">
        <v>36</v>
      </c>
      <c r="W203" s="8">
        <v>30</v>
      </c>
      <c r="X203" s="6" t="s">
        <v>44</v>
      </c>
      <c r="Y203" s="8">
        <v>0</v>
      </c>
      <c r="Z203" s="8">
        <v>0</v>
      </c>
      <c r="AA203" s="8">
        <v>0</v>
      </c>
      <c r="AB203" s="8">
        <v>0</v>
      </c>
      <c r="AC203" s="8">
        <v>4</v>
      </c>
      <c r="AD203" s="8">
        <v>30</v>
      </c>
      <c r="AE203" s="7" t="s">
        <v>58</v>
      </c>
      <c r="AG203">
        <f t="shared" ca="1" si="9"/>
        <v>0</v>
      </c>
      <c r="AH203" s="23" t="str" cm="1">
        <f t="array" ref="AH203">_xlfn.IFS(E203&gt;49,"50+",E203&gt;39,"40-49",E203&gt;29,"30-39",E203&gt;19,"20-29")</f>
        <v>20-29</v>
      </c>
      <c r="AI203" s="24" t="str" cm="1">
        <f t="array" aca="1" ref="AI203" ca="1">_xlfn.IFS(AG203&gt;10,"10+",AG203&gt;4,"5-10 YIL",AG203&gt;2,"3-5 YIL",AG203&gt;0.9,"1-3 YIL",AG203&lt;1,"0-1 YIL")</f>
        <v>0-1 YIL</v>
      </c>
      <c r="AJ203">
        <f t="shared" si="10"/>
        <v>2026</v>
      </c>
      <c r="AK203">
        <f t="shared" si="11"/>
        <v>2026</v>
      </c>
    </row>
    <row r="204" spans="1:37" x14ac:dyDescent="0.3">
      <c r="A204" s="2" t="s">
        <v>448</v>
      </c>
      <c r="B204" s="3" t="s">
        <v>449</v>
      </c>
      <c r="C204" s="2" t="s">
        <v>48</v>
      </c>
      <c r="D204" s="13">
        <v>29319</v>
      </c>
      <c r="E204" s="4">
        <v>46</v>
      </c>
      <c r="F204" s="2" t="s">
        <v>49</v>
      </c>
      <c r="G204" s="4">
        <v>0</v>
      </c>
      <c r="H204" s="2" t="s">
        <v>35</v>
      </c>
      <c r="I204" s="3" t="s">
        <v>36</v>
      </c>
      <c r="J204" s="3" t="s">
        <v>50</v>
      </c>
      <c r="K204" s="2" t="s">
        <v>51</v>
      </c>
      <c r="L204" s="2" t="s">
        <v>39</v>
      </c>
      <c r="M204" s="3" t="s">
        <v>40</v>
      </c>
      <c r="N204" s="2" t="s">
        <v>41</v>
      </c>
      <c r="O204" s="13">
        <v>42224</v>
      </c>
      <c r="P204" s="2" t="s">
        <v>44</v>
      </c>
      <c r="Q204" s="3" t="s">
        <v>44</v>
      </c>
      <c r="R204" s="2" t="s">
        <v>44</v>
      </c>
      <c r="S204" s="2" t="s">
        <v>56</v>
      </c>
      <c r="T204" s="5">
        <v>40300</v>
      </c>
      <c r="U204" s="5">
        <v>0</v>
      </c>
      <c r="V204" s="4">
        <v>32</v>
      </c>
      <c r="W204" s="4">
        <v>30</v>
      </c>
      <c r="X204" s="2" t="s">
        <v>44</v>
      </c>
      <c r="Y204" s="4">
        <v>0</v>
      </c>
      <c r="Z204" s="4">
        <v>3</v>
      </c>
      <c r="AA204" s="4">
        <v>0</v>
      </c>
      <c r="AB204" s="4">
        <v>0</v>
      </c>
      <c r="AC204" s="4">
        <v>4</v>
      </c>
      <c r="AD204" s="4">
        <v>30</v>
      </c>
      <c r="AE204" s="3" t="s">
        <v>58</v>
      </c>
      <c r="AG204">
        <f t="shared" ca="1" si="9"/>
        <v>10</v>
      </c>
      <c r="AH204" s="23" t="str" cm="1">
        <f t="array" ref="AH204">_xlfn.IFS(E204&gt;49,"50+",E204&gt;39,"40-49",E204&gt;29,"30-39",E204&gt;19,"20-29")</f>
        <v>40-49</v>
      </c>
      <c r="AI204" s="24" t="str" cm="1">
        <f t="array" aca="1" ref="AI204" ca="1">_xlfn.IFS(AG204&gt;10,"10+",AG204&gt;4,"5-10 YIL",AG204&gt;2,"3-5 YIL",AG204&gt;0.9,"1-3 YIL",AG204&lt;1,"0-1 YIL")</f>
        <v>5-10 YIL</v>
      </c>
      <c r="AJ204">
        <f t="shared" si="10"/>
        <v>2015</v>
      </c>
      <c r="AK204" t="e">
        <f t="shared" si="11"/>
        <v>#VALUE!</v>
      </c>
    </row>
    <row r="205" spans="1:37" x14ac:dyDescent="0.3">
      <c r="A205" s="6" t="s">
        <v>450</v>
      </c>
      <c r="B205" s="7" t="s">
        <v>230</v>
      </c>
      <c r="C205" s="6" t="s">
        <v>48</v>
      </c>
      <c r="D205" s="14">
        <v>36328</v>
      </c>
      <c r="E205" s="8">
        <v>27</v>
      </c>
      <c r="F205" s="6" t="s">
        <v>34</v>
      </c>
      <c r="G205" s="8">
        <v>0</v>
      </c>
      <c r="H205" s="6" t="s">
        <v>85</v>
      </c>
      <c r="I205" s="7" t="s">
        <v>36</v>
      </c>
      <c r="J205" s="7" t="s">
        <v>37</v>
      </c>
      <c r="K205" s="6" t="s">
        <v>38</v>
      </c>
      <c r="L205" s="6" t="s">
        <v>39</v>
      </c>
      <c r="M205" s="7" t="s">
        <v>40</v>
      </c>
      <c r="N205" s="6" t="s">
        <v>41</v>
      </c>
      <c r="O205" s="14">
        <v>44859</v>
      </c>
      <c r="P205" s="14">
        <v>46144</v>
      </c>
      <c r="Q205" s="7" t="s">
        <v>53</v>
      </c>
      <c r="R205" s="6">
        <v>4</v>
      </c>
      <c r="S205" s="6" t="s">
        <v>43</v>
      </c>
      <c r="T205" s="9">
        <v>24400</v>
      </c>
      <c r="U205" s="9">
        <v>0</v>
      </c>
      <c r="V205" s="8">
        <v>16</v>
      </c>
      <c r="W205" s="8">
        <v>30</v>
      </c>
      <c r="X205" s="6" t="s">
        <v>44</v>
      </c>
      <c r="Y205" s="8">
        <v>0</v>
      </c>
      <c r="Z205" s="8">
        <v>8</v>
      </c>
      <c r="AA205" s="8">
        <v>0</v>
      </c>
      <c r="AB205" s="8">
        <v>0</v>
      </c>
      <c r="AC205" s="8">
        <v>4</v>
      </c>
      <c r="AD205" s="8">
        <v>23</v>
      </c>
      <c r="AE205" s="7" t="s">
        <v>58</v>
      </c>
      <c r="AG205">
        <f t="shared" ca="1" si="9"/>
        <v>3</v>
      </c>
      <c r="AH205" s="23" t="str" cm="1">
        <f t="array" ref="AH205">_xlfn.IFS(E205&gt;49,"50+",E205&gt;39,"40-49",E205&gt;29,"30-39",E205&gt;19,"20-29")</f>
        <v>20-29</v>
      </c>
      <c r="AI205" s="24" t="str" cm="1">
        <f t="array" aca="1" ref="AI205" ca="1">_xlfn.IFS(AG205&gt;10,"10+",AG205&gt;4,"5-10 YIL",AG205&gt;2,"3-5 YIL",AG205&gt;0.9,"1-3 YIL",AG205&lt;1,"0-1 YIL")</f>
        <v>3-5 YIL</v>
      </c>
      <c r="AJ205">
        <f t="shared" si="10"/>
        <v>2022</v>
      </c>
      <c r="AK205">
        <f t="shared" si="11"/>
        <v>2026</v>
      </c>
    </row>
    <row r="206" spans="1:37" x14ac:dyDescent="0.3">
      <c r="A206" s="2" t="s">
        <v>451</v>
      </c>
      <c r="B206" s="3" t="s">
        <v>313</v>
      </c>
      <c r="C206" s="2" t="s">
        <v>48</v>
      </c>
      <c r="D206" s="13">
        <v>37263</v>
      </c>
      <c r="E206" s="4">
        <v>24</v>
      </c>
      <c r="F206" s="2" t="s">
        <v>49</v>
      </c>
      <c r="G206" s="4">
        <v>0</v>
      </c>
      <c r="H206" s="2" t="s">
        <v>35</v>
      </c>
      <c r="I206" s="3" t="s">
        <v>36</v>
      </c>
      <c r="J206" s="3" t="s">
        <v>37</v>
      </c>
      <c r="K206" s="2" t="s">
        <v>38</v>
      </c>
      <c r="L206" s="2" t="s">
        <v>39</v>
      </c>
      <c r="M206" s="3" t="s">
        <v>40</v>
      </c>
      <c r="N206" s="2" t="s">
        <v>95</v>
      </c>
      <c r="O206" s="13">
        <v>44957</v>
      </c>
      <c r="P206" s="2" t="s">
        <v>44</v>
      </c>
      <c r="Q206" s="3" t="s">
        <v>44</v>
      </c>
      <c r="R206" s="2" t="s">
        <v>44</v>
      </c>
      <c r="S206" s="2" t="s">
        <v>56</v>
      </c>
      <c r="T206" s="5">
        <v>28400</v>
      </c>
      <c r="U206" s="5">
        <v>0</v>
      </c>
      <c r="V206" s="4">
        <v>32</v>
      </c>
      <c r="W206" s="4">
        <v>28</v>
      </c>
      <c r="X206" s="2" t="s">
        <v>57</v>
      </c>
      <c r="Y206" s="4">
        <v>1</v>
      </c>
      <c r="Z206" s="4">
        <v>10</v>
      </c>
      <c r="AA206" s="4">
        <v>0</v>
      </c>
      <c r="AB206" s="4">
        <v>1</v>
      </c>
      <c r="AC206" s="4">
        <v>3</v>
      </c>
      <c r="AD206" s="4">
        <v>2</v>
      </c>
      <c r="AE206" s="3" t="s">
        <v>58</v>
      </c>
      <c r="AG206">
        <f t="shared" ca="1" si="9"/>
        <v>3</v>
      </c>
      <c r="AH206" s="23" t="str" cm="1">
        <f t="array" ref="AH206">_xlfn.IFS(E206&gt;49,"50+",E206&gt;39,"40-49",E206&gt;29,"30-39",E206&gt;19,"20-29")</f>
        <v>20-29</v>
      </c>
      <c r="AI206" s="24" t="str" cm="1">
        <f t="array" aca="1" ref="AI206" ca="1">_xlfn.IFS(AG206&gt;10,"10+",AG206&gt;4,"5-10 YIL",AG206&gt;2,"3-5 YIL",AG206&gt;0.9,"1-3 YIL",AG206&lt;1,"0-1 YIL")</f>
        <v>3-5 YIL</v>
      </c>
      <c r="AJ206">
        <f t="shared" si="10"/>
        <v>2023</v>
      </c>
      <c r="AK206" t="e">
        <f t="shared" si="11"/>
        <v>#VALUE!</v>
      </c>
    </row>
    <row r="207" spans="1:37" x14ac:dyDescent="0.3">
      <c r="A207" s="6" t="s">
        <v>452</v>
      </c>
      <c r="B207" s="7" t="s">
        <v>453</v>
      </c>
      <c r="C207" s="6" t="s">
        <v>33</v>
      </c>
      <c r="D207" s="14">
        <v>35495</v>
      </c>
      <c r="E207" s="8">
        <v>29</v>
      </c>
      <c r="F207" s="6" t="s">
        <v>34</v>
      </c>
      <c r="G207" s="8">
        <v>0</v>
      </c>
      <c r="H207" s="6" t="s">
        <v>35</v>
      </c>
      <c r="I207" s="7" t="s">
        <v>36</v>
      </c>
      <c r="J207" s="7" t="s">
        <v>37</v>
      </c>
      <c r="K207" s="6" t="s">
        <v>38</v>
      </c>
      <c r="L207" s="6" t="s">
        <v>39</v>
      </c>
      <c r="M207" s="7" t="s">
        <v>40</v>
      </c>
      <c r="N207" s="6" t="s">
        <v>41</v>
      </c>
      <c r="O207" s="14">
        <v>46068</v>
      </c>
      <c r="P207" s="6" t="s">
        <v>44</v>
      </c>
      <c r="Q207" s="7" t="s">
        <v>44</v>
      </c>
      <c r="R207" s="6" t="s">
        <v>44</v>
      </c>
      <c r="S207" s="6" t="s">
        <v>56</v>
      </c>
      <c r="T207" s="9">
        <v>26000</v>
      </c>
      <c r="U207" s="9">
        <v>0</v>
      </c>
      <c r="V207" s="8">
        <v>32</v>
      </c>
      <c r="W207" s="8">
        <v>30</v>
      </c>
      <c r="X207" s="6" t="s">
        <v>44</v>
      </c>
      <c r="Y207" s="8">
        <v>0</v>
      </c>
      <c r="Z207" s="8">
        <v>0</v>
      </c>
      <c r="AA207" s="8">
        <v>0</v>
      </c>
      <c r="AB207" s="8">
        <v>0</v>
      </c>
      <c r="AC207" s="8">
        <v>2</v>
      </c>
      <c r="AD207" s="8">
        <v>11</v>
      </c>
      <c r="AE207" s="7" t="s">
        <v>58</v>
      </c>
      <c r="AG207">
        <f t="shared" ca="1" si="9"/>
        <v>0</v>
      </c>
      <c r="AH207" s="23" t="str" cm="1">
        <f t="array" ref="AH207">_xlfn.IFS(E207&gt;49,"50+",E207&gt;39,"40-49",E207&gt;29,"30-39",E207&gt;19,"20-29")</f>
        <v>20-29</v>
      </c>
      <c r="AI207" s="24" t="str" cm="1">
        <f t="array" aca="1" ref="AI207" ca="1">_xlfn.IFS(AG207&gt;10,"10+",AG207&gt;4,"5-10 YIL",AG207&gt;2,"3-5 YIL",AG207&gt;0.9,"1-3 YIL",AG207&lt;1,"0-1 YIL")</f>
        <v>0-1 YIL</v>
      </c>
      <c r="AJ207">
        <f t="shared" si="10"/>
        <v>2026</v>
      </c>
      <c r="AK207" t="e">
        <f t="shared" si="11"/>
        <v>#VALUE!</v>
      </c>
    </row>
    <row r="208" spans="1:37" x14ac:dyDescent="0.3">
      <c r="A208" s="2" t="s">
        <v>454</v>
      </c>
      <c r="B208" s="3" t="s">
        <v>262</v>
      </c>
      <c r="C208" s="2" t="s">
        <v>48</v>
      </c>
      <c r="D208" s="13">
        <v>32420</v>
      </c>
      <c r="E208" s="4">
        <v>38</v>
      </c>
      <c r="F208" s="2" t="s">
        <v>49</v>
      </c>
      <c r="G208" s="4">
        <v>1</v>
      </c>
      <c r="H208" s="2" t="s">
        <v>88</v>
      </c>
      <c r="I208" s="3" t="s">
        <v>36</v>
      </c>
      <c r="J208" s="3" t="s">
        <v>50</v>
      </c>
      <c r="K208" s="2" t="s">
        <v>51</v>
      </c>
      <c r="L208" s="2" t="s">
        <v>39</v>
      </c>
      <c r="M208" s="3" t="s">
        <v>40</v>
      </c>
      <c r="N208" s="2" t="s">
        <v>41</v>
      </c>
      <c r="O208" s="13">
        <v>43251</v>
      </c>
      <c r="P208" s="2" t="s">
        <v>44</v>
      </c>
      <c r="Q208" s="3" t="s">
        <v>44</v>
      </c>
      <c r="R208" s="2" t="s">
        <v>44</v>
      </c>
      <c r="S208" s="2" t="s">
        <v>56</v>
      </c>
      <c r="T208" s="5">
        <v>40900</v>
      </c>
      <c r="U208" s="5">
        <v>0</v>
      </c>
      <c r="V208" s="4">
        <v>44</v>
      </c>
      <c r="W208" s="4">
        <v>30</v>
      </c>
      <c r="X208" s="2" t="s">
        <v>44</v>
      </c>
      <c r="Y208" s="4">
        <v>0</v>
      </c>
      <c r="Z208" s="4">
        <v>3</v>
      </c>
      <c r="AA208" s="4">
        <v>0</v>
      </c>
      <c r="AB208" s="4">
        <v>0</v>
      </c>
      <c r="AC208" s="4">
        <v>2</v>
      </c>
      <c r="AD208" s="4">
        <v>15</v>
      </c>
      <c r="AE208" s="3" t="s">
        <v>45</v>
      </c>
      <c r="AG208">
        <f t="shared" ca="1" si="9"/>
        <v>8</v>
      </c>
      <c r="AH208" s="23" t="str" cm="1">
        <f t="array" ref="AH208">_xlfn.IFS(E208&gt;49,"50+",E208&gt;39,"40-49",E208&gt;29,"30-39",E208&gt;19,"20-29")</f>
        <v>30-39</v>
      </c>
      <c r="AI208" s="24" t="str" cm="1">
        <f t="array" aca="1" ref="AI208" ca="1">_xlfn.IFS(AG208&gt;10,"10+",AG208&gt;4,"5-10 YIL",AG208&gt;2,"3-5 YIL",AG208&gt;0.9,"1-3 YIL",AG208&lt;1,"0-1 YIL")</f>
        <v>5-10 YIL</v>
      </c>
      <c r="AJ208">
        <f t="shared" si="10"/>
        <v>2018</v>
      </c>
      <c r="AK208" t="e">
        <f t="shared" si="11"/>
        <v>#VALUE!</v>
      </c>
    </row>
    <row r="209" spans="1:37" x14ac:dyDescent="0.3">
      <c r="A209" s="6" t="s">
        <v>455</v>
      </c>
      <c r="B209" s="7" t="s">
        <v>433</v>
      </c>
      <c r="C209" s="6" t="s">
        <v>33</v>
      </c>
      <c r="D209" s="14">
        <v>33716</v>
      </c>
      <c r="E209" s="8">
        <v>34</v>
      </c>
      <c r="F209" s="6" t="s">
        <v>49</v>
      </c>
      <c r="G209" s="8">
        <v>1</v>
      </c>
      <c r="H209" s="6" t="s">
        <v>35</v>
      </c>
      <c r="I209" s="7" t="s">
        <v>70</v>
      </c>
      <c r="J209" s="7" t="s">
        <v>71</v>
      </c>
      <c r="K209" s="6" t="s">
        <v>51</v>
      </c>
      <c r="L209" s="6" t="s">
        <v>63</v>
      </c>
      <c r="M209" s="7" t="s">
        <v>72</v>
      </c>
      <c r="N209" s="6" t="s">
        <v>41</v>
      </c>
      <c r="O209" s="14">
        <v>41954</v>
      </c>
      <c r="P209" s="6" t="s">
        <v>44</v>
      </c>
      <c r="Q209" s="7" t="s">
        <v>44</v>
      </c>
      <c r="R209" s="6" t="s">
        <v>44</v>
      </c>
      <c r="S209" s="6" t="s">
        <v>56</v>
      </c>
      <c r="T209" s="9">
        <v>65700</v>
      </c>
      <c r="U209" s="9">
        <v>0</v>
      </c>
      <c r="V209" s="8">
        <v>6</v>
      </c>
      <c r="W209" s="8">
        <v>29</v>
      </c>
      <c r="X209" s="6" t="s">
        <v>57</v>
      </c>
      <c r="Y209" s="8">
        <v>1</v>
      </c>
      <c r="Z209" s="8">
        <v>9</v>
      </c>
      <c r="AA209" s="8">
        <v>0</v>
      </c>
      <c r="AB209" s="8">
        <v>0</v>
      </c>
      <c r="AC209" s="8">
        <v>5</v>
      </c>
      <c r="AD209" s="8">
        <v>24</v>
      </c>
      <c r="AE209" s="7" t="s">
        <v>58</v>
      </c>
      <c r="AG209">
        <f t="shared" ca="1" si="9"/>
        <v>11</v>
      </c>
      <c r="AH209" s="23" t="str" cm="1">
        <f t="array" ref="AH209">_xlfn.IFS(E209&gt;49,"50+",E209&gt;39,"40-49",E209&gt;29,"30-39",E209&gt;19,"20-29")</f>
        <v>30-39</v>
      </c>
      <c r="AI209" s="24" t="str" cm="1">
        <f t="array" aca="1" ref="AI209" ca="1">_xlfn.IFS(AG209&gt;10,"10+",AG209&gt;4,"5-10 YIL",AG209&gt;2,"3-5 YIL",AG209&gt;0.9,"1-3 YIL",AG209&lt;1,"0-1 YIL")</f>
        <v>10+</v>
      </c>
      <c r="AJ209">
        <f t="shared" si="10"/>
        <v>2014</v>
      </c>
      <c r="AK209" t="e">
        <f t="shared" si="11"/>
        <v>#VALUE!</v>
      </c>
    </row>
    <row r="210" spans="1:37" x14ac:dyDescent="0.3">
      <c r="A210" s="2" t="s">
        <v>456</v>
      </c>
      <c r="B210" s="3" t="s">
        <v>457</v>
      </c>
      <c r="C210" s="2" t="s">
        <v>48</v>
      </c>
      <c r="D210" s="13">
        <v>37202</v>
      </c>
      <c r="E210" s="4">
        <v>25</v>
      </c>
      <c r="F210" s="2" t="s">
        <v>49</v>
      </c>
      <c r="G210" s="4">
        <v>1</v>
      </c>
      <c r="H210" s="2" t="s">
        <v>184</v>
      </c>
      <c r="I210" s="3" t="s">
        <v>70</v>
      </c>
      <c r="J210" s="3" t="s">
        <v>92</v>
      </c>
      <c r="K210" s="2" t="s">
        <v>38</v>
      </c>
      <c r="L210" s="2" t="s">
        <v>63</v>
      </c>
      <c r="M210" s="3" t="s">
        <v>72</v>
      </c>
      <c r="N210" s="2" t="s">
        <v>41</v>
      </c>
      <c r="O210" s="13">
        <v>45563</v>
      </c>
      <c r="P210" s="2" t="s">
        <v>44</v>
      </c>
      <c r="Q210" s="3" t="s">
        <v>44</v>
      </c>
      <c r="R210" s="2" t="s">
        <v>44</v>
      </c>
      <c r="S210" s="2" t="s">
        <v>56</v>
      </c>
      <c r="T210" s="5">
        <v>39000</v>
      </c>
      <c r="U210" s="5">
        <v>0</v>
      </c>
      <c r="V210" s="4">
        <v>1</v>
      </c>
      <c r="W210" s="4">
        <v>30</v>
      </c>
      <c r="X210" s="2" t="s">
        <v>44</v>
      </c>
      <c r="Y210" s="4">
        <v>0</v>
      </c>
      <c r="Z210" s="4">
        <v>5</v>
      </c>
      <c r="AA210" s="4">
        <v>0</v>
      </c>
      <c r="AB210" s="4">
        <v>0</v>
      </c>
      <c r="AC210" s="4">
        <v>2</v>
      </c>
      <c r="AD210" s="4">
        <v>8</v>
      </c>
      <c r="AE210" s="3" t="s">
        <v>73</v>
      </c>
      <c r="AG210">
        <f t="shared" ca="1" si="9"/>
        <v>1</v>
      </c>
      <c r="AH210" s="23" t="str" cm="1">
        <f t="array" ref="AH210">_xlfn.IFS(E210&gt;49,"50+",E210&gt;39,"40-49",E210&gt;29,"30-39",E210&gt;19,"20-29")</f>
        <v>20-29</v>
      </c>
      <c r="AI210" s="24" t="str" cm="1">
        <f t="array" aca="1" ref="AI210" ca="1">_xlfn.IFS(AG210&gt;10,"10+",AG210&gt;4,"5-10 YIL",AG210&gt;2,"3-5 YIL",AG210&gt;0.9,"1-3 YIL",AG210&lt;1,"0-1 YIL")</f>
        <v>1-3 YIL</v>
      </c>
      <c r="AJ210">
        <f t="shared" si="10"/>
        <v>2024</v>
      </c>
      <c r="AK210" t="e">
        <f t="shared" si="11"/>
        <v>#VALUE!</v>
      </c>
    </row>
    <row r="211" spans="1:37" x14ac:dyDescent="0.3">
      <c r="A211" s="6" t="s">
        <v>458</v>
      </c>
      <c r="B211" s="7" t="s">
        <v>459</v>
      </c>
      <c r="C211" s="6" t="s">
        <v>33</v>
      </c>
      <c r="D211" s="14">
        <v>36679</v>
      </c>
      <c r="E211" s="8">
        <v>26</v>
      </c>
      <c r="F211" s="6" t="s">
        <v>49</v>
      </c>
      <c r="G211" s="8">
        <v>0</v>
      </c>
      <c r="H211" s="6" t="s">
        <v>85</v>
      </c>
      <c r="I211" s="7" t="s">
        <v>36</v>
      </c>
      <c r="J211" s="7" t="s">
        <v>37</v>
      </c>
      <c r="K211" s="6" t="s">
        <v>38</v>
      </c>
      <c r="L211" s="6" t="s">
        <v>39</v>
      </c>
      <c r="M211" s="7" t="s">
        <v>40</v>
      </c>
      <c r="N211" s="6" t="s">
        <v>89</v>
      </c>
      <c r="O211" s="14">
        <v>44907</v>
      </c>
      <c r="P211" s="14">
        <v>45985</v>
      </c>
      <c r="Q211" s="7" t="s">
        <v>53</v>
      </c>
      <c r="R211" s="6">
        <v>4</v>
      </c>
      <c r="S211" s="6" t="s">
        <v>43</v>
      </c>
      <c r="T211" s="9">
        <v>23800</v>
      </c>
      <c r="U211" s="9">
        <v>0</v>
      </c>
      <c r="V211" s="8">
        <v>25</v>
      </c>
      <c r="W211" s="8">
        <v>28</v>
      </c>
      <c r="X211" s="6" t="s">
        <v>57</v>
      </c>
      <c r="Y211" s="8">
        <v>2</v>
      </c>
      <c r="Z211" s="8">
        <v>11</v>
      </c>
      <c r="AA211" s="8">
        <v>0</v>
      </c>
      <c r="AB211" s="8">
        <v>0</v>
      </c>
      <c r="AC211" s="8">
        <v>3</v>
      </c>
      <c r="AD211" s="8">
        <v>14</v>
      </c>
      <c r="AE211" s="7" t="s">
        <v>82</v>
      </c>
      <c r="AG211">
        <f t="shared" ca="1" si="9"/>
        <v>3</v>
      </c>
      <c r="AH211" s="23" t="str" cm="1">
        <f t="array" ref="AH211">_xlfn.IFS(E211&gt;49,"50+",E211&gt;39,"40-49",E211&gt;29,"30-39",E211&gt;19,"20-29")</f>
        <v>20-29</v>
      </c>
      <c r="AI211" s="24" t="str" cm="1">
        <f t="array" aca="1" ref="AI211" ca="1">_xlfn.IFS(AG211&gt;10,"10+",AG211&gt;4,"5-10 YIL",AG211&gt;2,"3-5 YIL",AG211&gt;0.9,"1-3 YIL",AG211&lt;1,"0-1 YIL")</f>
        <v>3-5 YIL</v>
      </c>
      <c r="AJ211">
        <f t="shared" si="10"/>
        <v>2022</v>
      </c>
      <c r="AK211">
        <f t="shared" si="11"/>
        <v>2025</v>
      </c>
    </row>
    <row r="212" spans="1:37" x14ac:dyDescent="0.3">
      <c r="A212" s="2" t="s">
        <v>460</v>
      </c>
      <c r="B212" s="3" t="s">
        <v>273</v>
      </c>
      <c r="C212" s="2" t="s">
        <v>48</v>
      </c>
      <c r="D212" s="13">
        <v>37544</v>
      </c>
      <c r="E212" s="4">
        <v>24</v>
      </c>
      <c r="F212" s="2" t="s">
        <v>49</v>
      </c>
      <c r="G212" s="4">
        <v>2</v>
      </c>
      <c r="H212" s="2" t="s">
        <v>35</v>
      </c>
      <c r="I212" s="3" t="s">
        <v>61</v>
      </c>
      <c r="J212" s="3" t="s">
        <v>62</v>
      </c>
      <c r="K212" s="2" t="s">
        <v>38</v>
      </c>
      <c r="L212" s="2" t="s">
        <v>63</v>
      </c>
      <c r="M212" s="3" t="s">
        <v>64</v>
      </c>
      <c r="N212" s="2" t="s">
        <v>41</v>
      </c>
      <c r="O212" s="13">
        <v>45409</v>
      </c>
      <c r="P212" s="2" t="s">
        <v>44</v>
      </c>
      <c r="Q212" s="3" t="s">
        <v>44</v>
      </c>
      <c r="R212" s="2" t="s">
        <v>44</v>
      </c>
      <c r="S212" s="2" t="s">
        <v>56</v>
      </c>
      <c r="T212" s="5">
        <v>32900</v>
      </c>
      <c r="U212" s="5">
        <v>7500</v>
      </c>
      <c r="V212" s="4">
        <v>1</v>
      </c>
      <c r="W212" s="4">
        <v>30</v>
      </c>
      <c r="X212" s="2" t="s">
        <v>44</v>
      </c>
      <c r="Y212" s="4">
        <v>0</v>
      </c>
      <c r="Z212" s="4">
        <v>4</v>
      </c>
      <c r="AA212" s="4">
        <v>0</v>
      </c>
      <c r="AB212" s="4">
        <v>0</v>
      </c>
      <c r="AC212" s="4">
        <v>1</v>
      </c>
      <c r="AD212" s="4">
        <v>9</v>
      </c>
      <c r="AE212" s="3" t="s">
        <v>58</v>
      </c>
      <c r="AG212">
        <f t="shared" ca="1" si="9"/>
        <v>2</v>
      </c>
      <c r="AH212" s="23" t="str" cm="1">
        <f t="array" ref="AH212">_xlfn.IFS(E212&gt;49,"50+",E212&gt;39,"40-49",E212&gt;29,"30-39",E212&gt;19,"20-29")</f>
        <v>20-29</v>
      </c>
      <c r="AI212" s="24" t="str" cm="1">
        <f t="array" aca="1" ref="AI212" ca="1">_xlfn.IFS(AG212&gt;10,"10+",AG212&gt;4,"5-10 YIL",AG212&gt;2,"3-5 YIL",AG212&gt;0.9,"1-3 YIL",AG212&lt;1,"0-1 YIL")</f>
        <v>1-3 YIL</v>
      </c>
      <c r="AJ212">
        <f t="shared" si="10"/>
        <v>2024</v>
      </c>
      <c r="AK212" t="e">
        <f t="shared" si="11"/>
        <v>#VALUE!</v>
      </c>
    </row>
    <row r="213" spans="1:37" x14ac:dyDescent="0.3">
      <c r="A213" s="6" t="s">
        <v>461</v>
      </c>
      <c r="B213" s="7" t="s">
        <v>379</v>
      </c>
      <c r="C213" s="6" t="s">
        <v>48</v>
      </c>
      <c r="D213" s="14">
        <v>27729</v>
      </c>
      <c r="E213" s="8">
        <v>51</v>
      </c>
      <c r="F213" s="6" t="s">
        <v>49</v>
      </c>
      <c r="G213" s="8">
        <v>0</v>
      </c>
      <c r="H213" s="6" t="s">
        <v>85</v>
      </c>
      <c r="I213" s="7" t="s">
        <v>148</v>
      </c>
      <c r="J213" s="7" t="s">
        <v>197</v>
      </c>
      <c r="K213" s="6" t="s">
        <v>79</v>
      </c>
      <c r="L213" s="6" t="s">
        <v>63</v>
      </c>
      <c r="M213" s="7" t="s">
        <v>80</v>
      </c>
      <c r="N213" s="6" t="s">
        <v>95</v>
      </c>
      <c r="O213" s="14">
        <v>42621</v>
      </c>
      <c r="P213" s="14">
        <v>44296</v>
      </c>
      <c r="Q213" s="7" t="s">
        <v>53</v>
      </c>
      <c r="R213" s="6">
        <v>4</v>
      </c>
      <c r="S213" s="6" t="s">
        <v>43</v>
      </c>
      <c r="T213" s="9">
        <v>104000</v>
      </c>
      <c r="U213" s="9">
        <v>14900</v>
      </c>
      <c r="V213" s="8">
        <v>9</v>
      </c>
      <c r="W213" s="8">
        <v>29</v>
      </c>
      <c r="X213" s="6" t="s">
        <v>57</v>
      </c>
      <c r="Y213" s="8">
        <v>1</v>
      </c>
      <c r="Z213" s="8">
        <v>3</v>
      </c>
      <c r="AA213" s="8">
        <v>0</v>
      </c>
      <c r="AB213" s="8">
        <v>0</v>
      </c>
      <c r="AC213" s="8">
        <v>3</v>
      </c>
      <c r="AD213" s="8">
        <v>12</v>
      </c>
      <c r="AE213" s="7" t="s">
        <v>58</v>
      </c>
      <c r="AG213">
        <f t="shared" ca="1" si="9"/>
        <v>9</v>
      </c>
      <c r="AH213" s="23" t="str" cm="1">
        <f t="array" ref="AH213">_xlfn.IFS(E213&gt;49,"50+",E213&gt;39,"40-49",E213&gt;29,"30-39",E213&gt;19,"20-29")</f>
        <v>50+</v>
      </c>
      <c r="AI213" s="24" t="str" cm="1">
        <f t="array" aca="1" ref="AI213" ca="1">_xlfn.IFS(AG213&gt;10,"10+",AG213&gt;4,"5-10 YIL",AG213&gt;2,"3-5 YIL",AG213&gt;0.9,"1-3 YIL",AG213&lt;1,"0-1 YIL")</f>
        <v>5-10 YIL</v>
      </c>
      <c r="AJ213">
        <f t="shared" si="10"/>
        <v>2016</v>
      </c>
      <c r="AK213">
        <f t="shared" si="11"/>
        <v>2021</v>
      </c>
    </row>
    <row r="214" spans="1:37" x14ac:dyDescent="0.3">
      <c r="A214" s="2" t="s">
        <v>462</v>
      </c>
      <c r="B214" s="3" t="s">
        <v>260</v>
      </c>
      <c r="C214" s="2" t="s">
        <v>48</v>
      </c>
      <c r="D214" s="13">
        <v>37130</v>
      </c>
      <c r="E214" s="4">
        <v>25</v>
      </c>
      <c r="F214" s="2" t="s">
        <v>34</v>
      </c>
      <c r="G214" s="4">
        <v>0</v>
      </c>
      <c r="H214" s="2" t="s">
        <v>88</v>
      </c>
      <c r="I214" s="3" t="s">
        <v>61</v>
      </c>
      <c r="J214" s="3" t="s">
        <v>62</v>
      </c>
      <c r="K214" s="2" t="s">
        <v>38</v>
      </c>
      <c r="L214" s="2" t="s">
        <v>63</v>
      </c>
      <c r="M214" s="3" t="s">
        <v>64</v>
      </c>
      <c r="N214" s="2" t="s">
        <v>41</v>
      </c>
      <c r="O214" s="13">
        <v>45284</v>
      </c>
      <c r="P214" s="2" t="s">
        <v>44</v>
      </c>
      <c r="Q214" s="3" t="s">
        <v>44</v>
      </c>
      <c r="R214" s="2" t="s">
        <v>44</v>
      </c>
      <c r="S214" s="2" t="s">
        <v>56</v>
      </c>
      <c r="T214" s="5">
        <v>33100</v>
      </c>
      <c r="U214" s="5">
        <v>3500</v>
      </c>
      <c r="V214" s="4">
        <v>5</v>
      </c>
      <c r="W214" s="4">
        <v>20</v>
      </c>
      <c r="X214" s="2" t="s">
        <v>57</v>
      </c>
      <c r="Y214" s="4">
        <v>10</v>
      </c>
      <c r="Z214" s="4">
        <v>9</v>
      </c>
      <c r="AA214" s="4">
        <v>0</v>
      </c>
      <c r="AB214" s="4">
        <v>0</v>
      </c>
      <c r="AC214" s="4">
        <v>3</v>
      </c>
      <c r="AD214" s="4">
        <v>17</v>
      </c>
      <c r="AE214" s="3" t="s">
        <v>96</v>
      </c>
      <c r="AG214">
        <f t="shared" ca="1" si="9"/>
        <v>2</v>
      </c>
      <c r="AH214" s="23" t="str" cm="1">
        <f t="array" ref="AH214">_xlfn.IFS(E214&gt;49,"50+",E214&gt;39,"40-49",E214&gt;29,"30-39",E214&gt;19,"20-29")</f>
        <v>20-29</v>
      </c>
      <c r="AI214" s="24" t="str" cm="1">
        <f t="array" aca="1" ref="AI214" ca="1">_xlfn.IFS(AG214&gt;10,"10+",AG214&gt;4,"5-10 YIL",AG214&gt;2,"3-5 YIL",AG214&gt;0.9,"1-3 YIL",AG214&lt;1,"0-1 YIL")</f>
        <v>1-3 YIL</v>
      </c>
      <c r="AJ214">
        <f t="shared" si="10"/>
        <v>2023</v>
      </c>
      <c r="AK214" t="e">
        <f t="shared" si="11"/>
        <v>#VALUE!</v>
      </c>
    </row>
    <row r="215" spans="1:37" x14ac:dyDescent="0.3">
      <c r="A215" s="6" t="s">
        <v>463</v>
      </c>
      <c r="B215" s="7" t="s">
        <v>464</v>
      </c>
      <c r="C215" s="6" t="s">
        <v>33</v>
      </c>
      <c r="D215" s="14">
        <v>36144</v>
      </c>
      <c r="E215" s="8">
        <v>28</v>
      </c>
      <c r="F215" s="6" t="s">
        <v>49</v>
      </c>
      <c r="G215" s="8">
        <v>0</v>
      </c>
      <c r="H215" s="6" t="s">
        <v>35</v>
      </c>
      <c r="I215" s="7" t="s">
        <v>36</v>
      </c>
      <c r="J215" s="7" t="s">
        <v>37</v>
      </c>
      <c r="K215" s="6" t="s">
        <v>38</v>
      </c>
      <c r="L215" s="6" t="s">
        <v>39</v>
      </c>
      <c r="M215" s="7" t="s">
        <v>40</v>
      </c>
      <c r="N215" s="6" t="s">
        <v>41</v>
      </c>
      <c r="O215" s="14">
        <v>45330</v>
      </c>
      <c r="P215" s="6" t="s">
        <v>44</v>
      </c>
      <c r="Q215" s="7" t="s">
        <v>44</v>
      </c>
      <c r="R215" s="6" t="s">
        <v>44</v>
      </c>
      <c r="S215" s="6" t="s">
        <v>56</v>
      </c>
      <c r="T215" s="9">
        <v>27000</v>
      </c>
      <c r="U215" s="9">
        <v>0</v>
      </c>
      <c r="V215" s="8">
        <v>28</v>
      </c>
      <c r="W215" s="8">
        <v>19</v>
      </c>
      <c r="X215" s="6" t="s">
        <v>57</v>
      </c>
      <c r="Y215" s="8">
        <v>10</v>
      </c>
      <c r="Z215" s="8">
        <v>13</v>
      </c>
      <c r="AA215" s="8">
        <v>0</v>
      </c>
      <c r="AB215" s="8">
        <v>1</v>
      </c>
      <c r="AC215" s="8">
        <v>3</v>
      </c>
      <c r="AD215" s="8">
        <v>10</v>
      </c>
      <c r="AE215" s="7" t="s">
        <v>58</v>
      </c>
      <c r="AG215">
        <f t="shared" ca="1" si="9"/>
        <v>2</v>
      </c>
      <c r="AH215" s="23" t="str" cm="1">
        <f t="array" ref="AH215">_xlfn.IFS(E215&gt;49,"50+",E215&gt;39,"40-49",E215&gt;29,"30-39",E215&gt;19,"20-29")</f>
        <v>20-29</v>
      </c>
      <c r="AI215" s="24" t="str" cm="1">
        <f t="array" aca="1" ref="AI215" ca="1">_xlfn.IFS(AG215&gt;10,"10+",AG215&gt;4,"5-10 YIL",AG215&gt;2,"3-5 YIL",AG215&gt;0.9,"1-3 YIL",AG215&lt;1,"0-1 YIL")</f>
        <v>1-3 YIL</v>
      </c>
      <c r="AJ215">
        <f t="shared" si="10"/>
        <v>2024</v>
      </c>
      <c r="AK215" t="e">
        <f t="shared" si="11"/>
        <v>#VALUE!</v>
      </c>
    </row>
    <row r="216" spans="1:37" x14ac:dyDescent="0.3">
      <c r="A216" s="2" t="s">
        <v>465</v>
      </c>
      <c r="B216" s="3" t="s">
        <v>77</v>
      </c>
      <c r="C216" s="2" t="s">
        <v>48</v>
      </c>
      <c r="D216" s="13">
        <v>36998</v>
      </c>
      <c r="E216" s="4">
        <v>25</v>
      </c>
      <c r="F216" s="2" t="s">
        <v>49</v>
      </c>
      <c r="G216" s="4">
        <v>0</v>
      </c>
      <c r="H216" s="2" t="s">
        <v>85</v>
      </c>
      <c r="I216" s="3" t="s">
        <v>61</v>
      </c>
      <c r="J216" s="3" t="s">
        <v>62</v>
      </c>
      <c r="K216" s="2" t="s">
        <v>38</v>
      </c>
      <c r="L216" s="2" t="s">
        <v>63</v>
      </c>
      <c r="M216" s="3" t="s">
        <v>64</v>
      </c>
      <c r="N216" s="2" t="s">
        <v>41</v>
      </c>
      <c r="O216" s="13">
        <v>45407</v>
      </c>
      <c r="P216" s="2" t="s">
        <v>44</v>
      </c>
      <c r="Q216" s="3" t="s">
        <v>44</v>
      </c>
      <c r="R216" s="2" t="s">
        <v>44</v>
      </c>
      <c r="S216" s="2" t="s">
        <v>56</v>
      </c>
      <c r="T216" s="5">
        <v>31300</v>
      </c>
      <c r="U216" s="5">
        <v>6400</v>
      </c>
      <c r="V216" s="4">
        <v>4</v>
      </c>
      <c r="W216" s="4">
        <v>30</v>
      </c>
      <c r="X216" s="2" t="s">
        <v>44</v>
      </c>
      <c r="Y216" s="4">
        <v>0</v>
      </c>
      <c r="Z216" s="4">
        <v>5</v>
      </c>
      <c r="AA216" s="4">
        <v>0</v>
      </c>
      <c r="AB216" s="4">
        <v>0</v>
      </c>
      <c r="AC216" s="4">
        <v>2</v>
      </c>
      <c r="AD216" s="4">
        <v>17</v>
      </c>
      <c r="AE216" s="3" t="s">
        <v>82</v>
      </c>
      <c r="AG216">
        <f t="shared" ca="1" si="9"/>
        <v>2</v>
      </c>
      <c r="AH216" s="23" t="str" cm="1">
        <f t="array" ref="AH216">_xlfn.IFS(E216&gt;49,"50+",E216&gt;39,"40-49",E216&gt;29,"30-39",E216&gt;19,"20-29")</f>
        <v>20-29</v>
      </c>
      <c r="AI216" s="24" t="str" cm="1">
        <f t="array" aca="1" ref="AI216" ca="1">_xlfn.IFS(AG216&gt;10,"10+",AG216&gt;4,"5-10 YIL",AG216&gt;2,"3-5 YIL",AG216&gt;0.9,"1-3 YIL",AG216&lt;1,"0-1 YIL")</f>
        <v>1-3 YIL</v>
      </c>
      <c r="AJ216">
        <f t="shared" si="10"/>
        <v>2024</v>
      </c>
      <c r="AK216" t="e">
        <f t="shared" si="11"/>
        <v>#VALUE!</v>
      </c>
    </row>
    <row r="217" spans="1:37" x14ac:dyDescent="0.3">
      <c r="A217" s="6" t="s">
        <v>466</v>
      </c>
      <c r="B217" s="7" t="s">
        <v>467</v>
      </c>
      <c r="C217" s="6" t="s">
        <v>48</v>
      </c>
      <c r="D217" s="14">
        <v>36242</v>
      </c>
      <c r="E217" s="8">
        <v>27</v>
      </c>
      <c r="F217" s="6" t="s">
        <v>34</v>
      </c>
      <c r="G217" s="8">
        <v>0</v>
      </c>
      <c r="H217" s="6" t="s">
        <v>35</v>
      </c>
      <c r="I217" s="7" t="s">
        <v>36</v>
      </c>
      <c r="J217" s="7" t="s">
        <v>37</v>
      </c>
      <c r="K217" s="6" t="s">
        <v>38</v>
      </c>
      <c r="L217" s="6" t="s">
        <v>39</v>
      </c>
      <c r="M217" s="7" t="s">
        <v>40</v>
      </c>
      <c r="N217" s="6" t="s">
        <v>41</v>
      </c>
      <c r="O217" s="14">
        <v>45081</v>
      </c>
      <c r="P217" s="6" t="s">
        <v>44</v>
      </c>
      <c r="Q217" s="7" t="s">
        <v>44</v>
      </c>
      <c r="R217" s="6" t="s">
        <v>44</v>
      </c>
      <c r="S217" s="6" t="s">
        <v>56</v>
      </c>
      <c r="T217" s="9">
        <v>25500</v>
      </c>
      <c r="U217" s="9">
        <v>0</v>
      </c>
      <c r="V217" s="8">
        <v>27</v>
      </c>
      <c r="W217" s="8">
        <v>30</v>
      </c>
      <c r="X217" s="6" t="s">
        <v>44</v>
      </c>
      <c r="Y217" s="8">
        <v>0</v>
      </c>
      <c r="Z217" s="8">
        <v>8</v>
      </c>
      <c r="AA217" s="8">
        <v>0</v>
      </c>
      <c r="AB217" s="8">
        <v>0</v>
      </c>
      <c r="AC217" s="8">
        <v>3</v>
      </c>
      <c r="AD217" s="8">
        <v>13</v>
      </c>
      <c r="AE217" s="7" t="s">
        <v>45</v>
      </c>
      <c r="AG217">
        <f t="shared" ca="1" si="9"/>
        <v>3</v>
      </c>
      <c r="AH217" s="23" t="str" cm="1">
        <f t="array" ref="AH217">_xlfn.IFS(E217&gt;49,"50+",E217&gt;39,"40-49",E217&gt;29,"30-39",E217&gt;19,"20-29")</f>
        <v>20-29</v>
      </c>
      <c r="AI217" s="24" t="str" cm="1">
        <f t="array" aca="1" ref="AI217" ca="1">_xlfn.IFS(AG217&gt;10,"10+",AG217&gt;4,"5-10 YIL",AG217&gt;2,"3-5 YIL",AG217&gt;0.9,"1-3 YIL",AG217&lt;1,"0-1 YIL")</f>
        <v>3-5 YIL</v>
      </c>
      <c r="AJ217">
        <f t="shared" si="10"/>
        <v>2023</v>
      </c>
      <c r="AK217" t="e">
        <f t="shared" si="11"/>
        <v>#VALUE!</v>
      </c>
    </row>
    <row r="218" spans="1:37" x14ac:dyDescent="0.3">
      <c r="A218" s="2" t="s">
        <v>468</v>
      </c>
      <c r="B218" s="3" t="s">
        <v>469</v>
      </c>
      <c r="C218" s="2" t="s">
        <v>48</v>
      </c>
      <c r="D218" s="13">
        <v>33439</v>
      </c>
      <c r="E218" s="4">
        <v>35</v>
      </c>
      <c r="F218" s="2" t="s">
        <v>49</v>
      </c>
      <c r="G218" s="4">
        <v>2</v>
      </c>
      <c r="H218" s="2" t="s">
        <v>35</v>
      </c>
      <c r="I218" s="3" t="s">
        <v>61</v>
      </c>
      <c r="J218" s="3" t="s">
        <v>107</v>
      </c>
      <c r="K218" s="2" t="s">
        <v>51</v>
      </c>
      <c r="L218" s="2" t="s">
        <v>63</v>
      </c>
      <c r="M218" s="3" t="s">
        <v>64</v>
      </c>
      <c r="N218" s="2" t="s">
        <v>41</v>
      </c>
      <c r="O218" s="13">
        <v>44978</v>
      </c>
      <c r="P218" s="13">
        <v>45035</v>
      </c>
      <c r="Q218" s="3" t="s">
        <v>53</v>
      </c>
      <c r="R218" s="2">
        <v>4</v>
      </c>
      <c r="S218" s="2" t="s">
        <v>43</v>
      </c>
      <c r="T218" s="5">
        <v>55400</v>
      </c>
      <c r="U218" s="5">
        <v>5600</v>
      </c>
      <c r="V218" s="4">
        <v>0</v>
      </c>
      <c r="W218" s="4">
        <v>30</v>
      </c>
      <c r="X218" s="2" t="s">
        <v>44</v>
      </c>
      <c r="Y218" s="4">
        <v>0</v>
      </c>
      <c r="Z218" s="4">
        <v>10</v>
      </c>
      <c r="AA218" s="4">
        <v>0</v>
      </c>
      <c r="AB218" s="4">
        <v>0</v>
      </c>
      <c r="AC218" s="4">
        <v>3</v>
      </c>
      <c r="AD218" s="4">
        <v>9</v>
      </c>
      <c r="AE218" s="3" t="s">
        <v>45</v>
      </c>
      <c r="AG218">
        <f t="shared" ca="1" si="9"/>
        <v>3</v>
      </c>
      <c r="AH218" s="23" t="str" cm="1">
        <f t="array" ref="AH218">_xlfn.IFS(E218&gt;49,"50+",E218&gt;39,"40-49",E218&gt;29,"30-39",E218&gt;19,"20-29")</f>
        <v>30-39</v>
      </c>
      <c r="AI218" s="24" t="str" cm="1">
        <f t="array" aca="1" ref="AI218" ca="1">_xlfn.IFS(AG218&gt;10,"10+",AG218&gt;4,"5-10 YIL",AG218&gt;2,"3-5 YIL",AG218&gt;0.9,"1-3 YIL",AG218&lt;1,"0-1 YIL")</f>
        <v>3-5 YIL</v>
      </c>
      <c r="AJ218">
        <f t="shared" si="10"/>
        <v>2023</v>
      </c>
      <c r="AK218">
        <f t="shared" si="11"/>
        <v>2023</v>
      </c>
    </row>
    <row r="219" spans="1:37" x14ac:dyDescent="0.3">
      <c r="A219" s="6" t="s">
        <v>470</v>
      </c>
      <c r="B219" s="7" t="s">
        <v>471</v>
      </c>
      <c r="C219" s="6" t="s">
        <v>48</v>
      </c>
      <c r="D219" s="14">
        <v>37997</v>
      </c>
      <c r="E219" s="8">
        <v>22</v>
      </c>
      <c r="F219" s="6" t="s">
        <v>49</v>
      </c>
      <c r="G219" s="8">
        <v>2</v>
      </c>
      <c r="H219" s="6" t="s">
        <v>35</v>
      </c>
      <c r="I219" s="7" t="s">
        <v>36</v>
      </c>
      <c r="J219" s="7" t="s">
        <v>37</v>
      </c>
      <c r="K219" s="6" t="s">
        <v>38</v>
      </c>
      <c r="L219" s="6" t="s">
        <v>39</v>
      </c>
      <c r="M219" s="7" t="s">
        <v>40</v>
      </c>
      <c r="N219" s="6" t="s">
        <v>41</v>
      </c>
      <c r="O219" s="14">
        <v>45829</v>
      </c>
      <c r="P219" s="6" t="s">
        <v>44</v>
      </c>
      <c r="Q219" s="7" t="s">
        <v>44</v>
      </c>
      <c r="R219" s="6" t="s">
        <v>44</v>
      </c>
      <c r="S219" s="6" t="s">
        <v>56</v>
      </c>
      <c r="T219" s="9">
        <v>27800</v>
      </c>
      <c r="U219" s="9">
        <v>0</v>
      </c>
      <c r="V219" s="8">
        <v>34</v>
      </c>
      <c r="W219" s="8">
        <v>29</v>
      </c>
      <c r="X219" s="6" t="s">
        <v>57</v>
      </c>
      <c r="Y219" s="8">
        <v>1</v>
      </c>
      <c r="Z219" s="8">
        <v>0</v>
      </c>
      <c r="AA219" s="8">
        <v>0</v>
      </c>
      <c r="AB219" s="8">
        <v>0</v>
      </c>
      <c r="AC219" s="8">
        <v>2</v>
      </c>
      <c r="AD219" s="8">
        <v>3</v>
      </c>
      <c r="AE219" s="7" t="s">
        <v>45</v>
      </c>
      <c r="AG219">
        <f t="shared" ca="1" si="9"/>
        <v>1</v>
      </c>
      <c r="AH219" s="23" t="str" cm="1">
        <f t="array" ref="AH219">_xlfn.IFS(E219&gt;49,"50+",E219&gt;39,"40-49",E219&gt;29,"30-39",E219&gt;19,"20-29")</f>
        <v>20-29</v>
      </c>
      <c r="AI219" s="24" t="str" cm="1">
        <f t="array" aca="1" ref="AI219" ca="1">_xlfn.IFS(AG219&gt;10,"10+",AG219&gt;4,"5-10 YIL",AG219&gt;2,"3-5 YIL",AG219&gt;0.9,"1-3 YIL",AG219&lt;1,"0-1 YIL")</f>
        <v>1-3 YIL</v>
      </c>
      <c r="AJ219">
        <f t="shared" si="10"/>
        <v>2025</v>
      </c>
      <c r="AK219" t="e">
        <f t="shared" si="11"/>
        <v>#VALUE!</v>
      </c>
    </row>
    <row r="220" spans="1:37" x14ac:dyDescent="0.3">
      <c r="A220" s="2" t="s">
        <v>472</v>
      </c>
      <c r="B220" s="3" t="s">
        <v>473</v>
      </c>
      <c r="C220" s="2" t="s">
        <v>48</v>
      </c>
      <c r="D220" s="13">
        <v>36093</v>
      </c>
      <c r="E220" s="4">
        <v>28</v>
      </c>
      <c r="F220" s="2" t="s">
        <v>49</v>
      </c>
      <c r="G220" s="4">
        <v>1</v>
      </c>
      <c r="H220" s="2" t="s">
        <v>35</v>
      </c>
      <c r="I220" s="3" t="s">
        <v>148</v>
      </c>
      <c r="J220" s="3" t="s">
        <v>252</v>
      </c>
      <c r="K220" s="2" t="s">
        <v>38</v>
      </c>
      <c r="L220" s="2" t="s">
        <v>63</v>
      </c>
      <c r="M220" s="3" t="s">
        <v>150</v>
      </c>
      <c r="N220" s="2" t="s">
        <v>41</v>
      </c>
      <c r="O220" s="13">
        <v>45565</v>
      </c>
      <c r="P220" s="2" t="s">
        <v>44</v>
      </c>
      <c r="Q220" s="3" t="s">
        <v>44</v>
      </c>
      <c r="R220" s="2" t="s">
        <v>44</v>
      </c>
      <c r="S220" s="2" t="s">
        <v>56</v>
      </c>
      <c r="T220" s="5">
        <v>31400</v>
      </c>
      <c r="U220" s="5">
        <v>0</v>
      </c>
      <c r="V220" s="4">
        <v>3</v>
      </c>
      <c r="W220" s="4">
        <v>30</v>
      </c>
      <c r="X220" s="2" t="s">
        <v>44</v>
      </c>
      <c r="Y220" s="4">
        <v>0</v>
      </c>
      <c r="Z220" s="4">
        <v>8</v>
      </c>
      <c r="AA220" s="4">
        <v>0</v>
      </c>
      <c r="AB220" s="4">
        <v>0</v>
      </c>
      <c r="AC220" s="4">
        <v>3</v>
      </c>
      <c r="AD220" s="4">
        <v>18</v>
      </c>
      <c r="AE220" s="3" t="s">
        <v>45</v>
      </c>
      <c r="AG220">
        <f t="shared" ca="1" si="9"/>
        <v>1</v>
      </c>
      <c r="AH220" s="23" t="str" cm="1">
        <f t="array" ref="AH220">_xlfn.IFS(E220&gt;49,"50+",E220&gt;39,"40-49",E220&gt;29,"30-39",E220&gt;19,"20-29")</f>
        <v>20-29</v>
      </c>
      <c r="AI220" s="24" t="str" cm="1">
        <f t="array" aca="1" ref="AI220" ca="1">_xlfn.IFS(AG220&gt;10,"10+",AG220&gt;4,"5-10 YIL",AG220&gt;2,"3-5 YIL",AG220&gt;0.9,"1-3 YIL",AG220&lt;1,"0-1 YIL")</f>
        <v>1-3 YIL</v>
      </c>
      <c r="AJ220">
        <f t="shared" si="10"/>
        <v>2024</v>
      </c>
      <c r="AK220" t="e">
        <f t="shared" si="11"/>
        <v>#VALUE!</v>
      </c>
    </row>
    <row r="221" spans="1:37" x14ac:dyDescent="0.3">
      <c r="A221" s="6" t="s">
        <v>474</v>
      </c>
      <c r="B221" s="7" t="s">
        <v>305</v>
      </c>
      <c r="C221" s="6" t="s">
        <v>33</v>
      </c>
      <c r="D221" s="14">
        <v>30202</v>
      </c>
      <c r="E221" s="8">
        <v>44</v>
      </c>
      <c r="F221" s="6" t="s">
        <v>49</v>
      </c>
      <c r="G221" s="8">
        <v>1</v>
      </c>
      <c r="H221" s="6" t="s">
        <v>35</v>
      </c>
      <c r="I221" s="7" t="s">
        <v>70</v>
      </c>
      <c r="J221" s="7" t="s">
        <v>129</v>
      </c>
      <c r="K221" s="6" t="s">
        <v>79</v>
      </c>
      <c r="L221" s="6" t="s">
        <v>63</v>
      </c>
      <c r="M221" s="7" t="s">
        <v>80</v>
      </c>
      <c r="N221" s="6" t="s">
        <v>67</v>
      </c>
      <c r="O221" s="14">
        <v>39898</v>
      </c>
      <c r="P221" s="6" t="s">
        <v>44</v>
      </c>
      <c r="Q221" s="7" t="s">
        <v>44</v>
      </c>
      <c r="R221" s="6" t="s">
        <v>44</v>
      </c>
      <c r="S221" s="6" t="s">
        <v>56</v>
      </c>
      <c r="T221" s="9">
        <v>109600</v>
      </c>
      <c r="U221" s="9">
        <v>0</v>
      </c>
      <c r="V221" s="8">
        <v>2</v>
      </c>
      <c r="W221" s="8">
        <v>27</v>
      </c>
      <c r="X221" s="6" t="s">
        <v>57</v>
      </c>
      <c r="Y221" s="8">
        <v>3</v>
      </c>
      <c r="Z221" s="8">
        <v>3</v>
      </c>
      <c r="AA221" s="8">
        <v>0</v>
      </c>
      <c r="AB221" s="8">
        <v>0</v>
      </c>
      <c r="AC221" s="8">
        <v>3</v>
      </c>
      <c r="AD221" s="8">
        <v>13</v>
      </c>
      <c r="AE221" s="7" t="s">
        <v>58</v>
      </c>
      <c r="AG221">
        <f t="shared" ca="1" si="9"/>
        <v>17</v>
      </c>
      <c r="AH221" s="23" t="str" cm="1">
        <f t="array" ref="AH221">_xlfn.IFS(E221&gt;49,"50+",E221&gt;39,"40-49",E221&gt;29,"30-39",E221&gt;19,"20-29")</f>
        <v>40-49</v>
      </c>
      <c r="AI221" s="24" t="str" cm="1">
        <f t="array" aca="1" ref="AI221" ca="1">_xlfn.IFS(AG221&gt;10,"10+",AG221&gt;4,"5-10 YIL",AG221&gt;2,"3-5 YIL",AG221&gt;0.9,"1-3 YIL",AG221&lt;1,"0-1 YIL")</f>
        <v>10+</v>
      </c>
      <c r="AJ221">
        <f t="shared" si="10"/>
        <v>2009</v>
      </c>
      <c r="AK221" t="e">
        <f t="shared" si="11"/>
        <v>#VALUE!</v>
      </c>
    </row>
    <row r="222" spans="1:37" x14ac:dyDescent="0.3">
      <c r="A222" s="2" t="s">
        <v>475</v>
      </c>
      <c r="B222" s="3" t="s">
        <v>87</v>
      </c>
      <c r="C222" s="2" t="s">
        <v>48</v>
      </c>
      <c r="D222" s="13">
        <v>36818</v>
      </c>
      <c r="E222" s="4">
        <v>26</v>
      </c>
      <c r="F222" s="2" t="s">
        <v>49</v>
      </c>
      <c r="G222" s="4">
        <v>1</v>
      </c>
      <c r="H222" s="2" t="s">
        <v>85</v>
      </c>
      <c r="I222" s="3" t="s">
        <v>61</v>
      </c>
      <c r="J222" s="3" t="s">
        <v>62</v>
      </c>
      <c r="K222" s="2" t="s">
        <v>38</v>
      </c>
      <c r="L222" s="2" t="s">
        <v>63</v>
      </c>
      <c r="M222" s="3" t="s">
        <v>64</v>
      </c>
      <c r="N222" s="2" t="s">
        <v>67</v>
      </c>
      <c r="O222" s="13">
        <v>45612</v>
      </c>
      <c r="P222" s="2" t="s">
        <v>44</v>
      </c>
      <c r="Q222" s="3" t="s">
        <v>44</v>
      </c>
      <c r="R222" s="2" t="s">
        <v>44</v>
      </c>
      <c r="S222" s="2" t="s">
        <v>56</v>
      </c>
      <c r="T222" s="5">
        <v>34800</v>
      </c>
      <c r="U222" s="5">
        <v>11900</v>
      </c>
      <c r="V222" s="4">
        <v>0</v>
      </c>
      <c r="W222" s="4">
        <v>29</v>
      </c>
      <c r="X222" s="2" t="s">
        <v>81</v>
      </c>
      <c r="Y222" s="4">
        <v>0</v>
      </c>
      <c r="Z222" s="4">
        <v>9</v>
      </c>
      <c r="AA222" s="4">
        <v>1</v>
      </c>
      <c r="AB222" s="4">
        <v>0</v>
      </c>
      <c r="AC222" s="4">
        <v>3</v>
      </c>
      <c r="AD222" s="4">
        <v>11</v>
      </c>
      <c r="AE222" s="3" t="s">
        <v>58</v>
      </c>
      <c r="AG222">
        <f t="shared" ca="1" si="9"/>
        <v>1</v>
      </c>
      <c r="AH222" s="23" t="str" cm="1">
        <f t="array" ref="AH222">_xlfn.IFS(E222&gt;49,"50+",E222&gt;39,"40-49",E222&gt;29,"30-39",E222&gt;19,"20-29")</f>
        <v>20-29</v>
      </c>
      <c r="AI222" s="24" t="str" cm="1">
        <f t="array" aca="1" ref="AI222" ca="1">_xlfn.IFS(AG222&gt;10,"10+",AG222&gt;4,"5-10 YIL",AG222&gt;2,"3-5 YIL",AG222&gt;0.9,"1-3 YIL",AG222&lt;1,"0-1 YIL")</f>
        <v>1-3 YIL</v>
      </c>
      <c r="AJ222">
        <f t="shared" si="10"/>
        <v>2024</v>
      </c>
      <c r="AK222" t="e">
        <f t="shared" si="11"/>
        <v>#VALUE!</v>
      </c>
    </row>
    <row r="223" spans="1:37" x14ac:dyDescent="0.3">
      <c r="A223" s="6" t="s">
        <v>476</v>
      </c>
      <c r="B223" s="7" t="s">
        <v>477</v>
      </c>
      <c r="C223" s="6" t="s">
        <v>33</v>
      </c>
      <c r="D223" s="14">
        <v>30563</v>
      </c>
      <c r="E223" s="8">
        <v>43</v>
      </c>
      <c r="F223" s="6" t="s">
        <v>49</v>
      </c>
      <c r="G223" s="8">
        <v>1</v>
      </c>
      <c r="H223" s="6" t="s">
        <v>35</v>
      </c>
      <c r="I223" s="7" t="s">
        <v>139</v>
      </c>
      <c r="J223" s="7" t="s">
        <v>161</v>
      </c>
      <c r="K223" s="6" t="s">
        <v>51</v>
      </c>
      <c r="L223" s="6" t="s">
        <v>63</v>
      </c>
      <c r="M223" s="7" t="s">
        <v>162</v>
      </c>
      <c r="N223" s="6" t="s">
        <v>41</v>
      </c>
      <c r="O223" s="14">
        <v>42507</v>
      </c>
      <c r="P223" s="6" t="s">
        <v>44</v>
      </c>
      <c r="Q223" s="7" t="s">
        <v>44</v>
      </c>
      <c r="R223" s="6" t="s">
        <v>44</v>
      </c>
      <c r="S223" s="6" t="s">
        <v>56</v>
      </c>
      <c r="T223" s="9">
        <v>84700</v>
      </c>
      <c r="U223" s="9">
        <v>0</v>
      </c>
      <c r="V223" s="8">
        <v>5</v>
      </c>
      <c r="W223" s="8">
        <v>30</v>
      </c>
      <c r="X223" s="6" t="s">
        <v>44</v>
      </c>
      <c r="Y223" s="8">
        <v>0</v>
      </c>
      <c r="Z223" s="8">
        <v>0</v>
      </c>
      <c r="AA223" s="8">
        <v>0</v>
      </c>
      <c r="AB223" s="8">
        <v>0</v>
      </c>
      <c r="AC223" s="8">
        <v>2</v>
      </c>
      <c r="AD223" s="8">
        <v>16</v>
      </c>
      <c r="AE223" s="7" t="s">
        <v>45</v>
      </c>
      <c r="AG223">
        <f t="shared" ca="1" si="9"/>
        <v>10</v>
      </c>
      <c r="AH223" s="23" t="str" cm="1">
        <f t="array" ref="AH223">_xlfn.IFS(E223&gt;49,"50+",E223&gt;39,"40-49",E223&gt;29,"30-39",E223&gt;19,"20-29")</f>
        <v>40-49</v>
      </c>
      <c r="AI223" s="24" t="str" cm="1">
        <f t="array" aca="1" ref="AI223" ca="1">_xlfn.IFS(AG223&gt;10,"10+",AG223&gt;4,"5-10 YIL",AG223&gt;2,"3-5 YIL",AG223&gt;0.9,"1-3 YIL",AG223&lt;1,"0-1 YIL")</f>
        <v>5-10 YIL</v>
      </c>
      <c r="AJ223">
        <f t="shared" si="10"/>
        <v>2016</v>
      </c>
      <c r="AK223" t="e">
        <f t="shared" si="11"/>
        <v>#VALUE!</v>
      </c>
    </row>
    <row r="224" spans="1:37" x14ac:dyDescent="0.3">
      <c r="A224" s="2" t="s">
        <v>478</v>
      </c>
      <c r="B224" s="3" t="s">
        <v>441</v>
      </c>
      <c r="C224" s="2" t="s">
        <v>48</v>
      </c>
      <c r="D224" s="13">
        <v>34874</v>
      </c>
      <c r="E224" s="4">
        <v>31</v>
      </c>
      <c r="F224" s="2" t="s">
        <v>49</v>
      </c>
      <c r="G224" s="4">
        <v>1</v>
      </c>
      <c r="H224" s="2" t="s">
        <v>35</v>
      </c>
      <c r="I224" s="3" t="s">
        <v>148</v>
      </c>
      <c r="J224" s="3" t="s">
        <v>149</v>
      </c>
      <c r="K224" s="2" t="s">
        <v>51</v>
      </c>
      <c r="L224" s="2" t="s">
        <v>63</v>
      </c>
      <c r="M224" s="3" t="s">
        <v>150</v>
      </c>
      <c r="N224" s="2" t="s">
        <v>52</v>
      </c>
      <c r="O224" s="13">
        <v>41942</v>
      </c>
      <c r="P224" s="2" t="s">
        <v>44</v>
      </c>
      <c r="Q224" s="3" t="s">
        <v>44</v>
      </c>
      <c r="R224" s="2" t="s">
        <v>44</v>
      </c>
      <c r="S224" s="2" t="s">
        <v>56</v>
      </c>
      <c r="T224" s="5">
        <v>52800</v>
      </c>
      <c r="U224" s="5">
        <v>0</v>
      </c>
      <c r="V224" s="4">
        <v>9</v>
      </c>
      <c r="W224" s="4">
        <v>30</v>
      </c>
      <c r="X224" s="2" t="s">
        <v>44</v>
      </c>
      <c r="Y224" s="4">
        <v>0</v>
      </c>
      <c r="Z224" s="4">
        <v>11</v>
      </c>
      <c r="AA224" s="4">
        <v>0</v>
      </c>
      <c r="AB224" s="4">
        <v>0</v>
      </c>
      <c r="AC224" s="4">
        <v>4</v>
      </c>
      <c r="AD224" s="4">
        <v>17</v>
      </c>
      <c r="AE224" s="3" t="s">
        <v>45</v>
      </c>
      <c r="AG224">
        <f t="shared" ca="1" si="9"/>
        <v>11</v>
      </c>
      <c r="AH224" s="23" t="str" cm="1">
        <f t="array" ref="AH224">_xlfn.IFS(E224&gt;49,"50+",E224&gt;39,"40-49",E224&gt;29,"30-39",E224&gt;19,"20-29")</f>
        <v>30-39</v>
      </c>
      <c r="AI224" s="24" t="str" cm="1">
        <f t="array" aca="1" ref="AI224" ca="1">_xlfn.IFS(AG224&gt;10,"10+",AG224&gt;4,"5-10 YIL",AG224&gt;2,"3-5 YIL",AG224&gt;0.9,"1-3 YIL",AG224&lt;1,"0-1 YIL")</f>
        <v>10+</v>
      </c>
      <c r="AJ224">
        <f t="shared" si="10"/>
        <v>2014</v>
      </c>
      <c r="AK224" t="e">
        <f t="shared" si="11"/>
        <v>#VALUE!</v>
      </c>
    </row>
    <row r="225" spans="1:37" x14ac:dyDescent="0.3">
      <c r="A225" s="6" t="s">
        <v>479</v>
      </c>
      <c r="B225" s="7" t="s">
        <v>145</v>
      </c>
      <c r="C225" s="6" t="s">
        <v>48</v>
      </c>
      <c r="D225" s="14">
        <v>33611</v>
      </c>
      <c r="E225" s="8">
        <v>34</v>
      </c>
      <c r="F225" s="6" t="s">
        <v>34</v>
      </c>
      <c r="G225" s="8">
        <v>0</v>
      </c>
      <c r="H225" s="6" t="s">
        <v>35</v>
      </c>
      <c r="I225" s="7" t="s">
        <v>70</v>
      </c>
      <c r="J225" s="7" t="s">
        <v>71</v>
      </c>
      <c r="K225" s="6" t="s">
        <v>51</v>
      </c>
      <c r="L225" s="6" t="s">
        <v>63</v>
      </c>
      <c r="M225" s="7" t="s">
        <v>72</v>
      </c>
      <c r="N225" s="6" t="s">
        <v>95</v>
      </c>
      <c r="O225" s="14">
        <v>41845</v>
      </c>
      <c r="P225" s="6" t="s">
        <v>44</v>
      </c>
      <c r="Q225" s="7" t="s">
        <v>44</v>
      </c>
      <c r="R225" s="6" t="s">
        <v>44</v>
      </c>
      <c r="S225" s="6" t="s">
        <v>56</v>
      </c>
      <c r="T225" s="9">
        <v>62300</v>
      </c>
      <c r="U225" s="9">
        <v>0</v>
      </c>
      <c r="V225" s="8">
        <v>6</v>
      </c>
      <c r="W225" s="8">
        <v>29</v>
      </c>
      <c r="X225" s="6" t="s">
        <v>57</v>
      </c>
      <c r="Y225" s="8">
        <v>1</v>
      </c>
      <c r="Z225" s="8">
        <v>5</v>
      </c>
      <c r="AA225" s="8">
        <v>0</v>
      </c>
      <c r="AB225" s="8">
        <v>0</v>
      </c>
      <c r="AC225" s="8">
        <v>2</v>
      </c>
      <c r="AD225" s="8">
        <v>10</v>
      </c>
      <c r="AE225" s="7" t="s">
        <v>82</v>
      </c>
      <c r="AG225">
        <f t="shared" ca="1" si="9"/>
        <v>11</v>
      </c>
      <c r="AH225" s="23" t="str" cm="1">
        <f t="array" ref="AH225">_xlfn.IFS(E225&gt;49,"50+",E225&gt;39,"40-49",E225&gt;29,"30-39",E225&gt;19,"20-29")</f>
        <v>30-39</v>
      </c>
      <c r="AI225" s="24" t="str" cm="1">
        <f t="array" aca="1" ref="AI225" ca="1">_xlfn.IFS(AG225&gt;10,"10+",AG225&gt;4,"5-10 YIL",AG225&gt;2,"3-5 YIL",AG225&gt;0.9,"1-3 YIL",AG225&lt;1,"0-1 YIL")</f>
        <v>10+</v>
      </c>
      <c r="AJ225">
        <f t="shared" si="10"/>
        <v>2014</v>
      </c>
      <c r="AK225" t="e">
        <f t="shared" si="11"/>
        <v>#VALUE!</v>
      </c>
    </row>
    <row r="226" spans="1:37" x14ac:dyDescent="0.3">
      <c r="A226" s="2" t="s">
        <v>480</v>
      </c>
      <c r="B226" s="3" t="s">
        <v>275</v>
      </c>
      <c r="C226" s="2" t="s">
        <v>48</v>
      </c>
      <c r="D226" s="13">
        <v>32587</v>
      </c>
      <c r="E226" s="4">
        <v>37</v>
      </c>
      <c r="F226" s="2" t="s">
        <v>49</v>
      </c>
      <c r="G226" s="4">
        <v>1</v>
      </c>
      <c r="H226" s="2" t="s">
        <v>35</v>
      </c>
      <c r="I226" s="3" t="s">
        <v>61</v>
      </c>
      <c r="J226" s="3" t="s">
        <v>124</v>
      </c>
      <c r="K226" s="2" t="s">
        <v>79</v>
      </c>
      <c r="L226" s="2" t="s">
        <v>63</v>
      </c>
      <c r="M226" s="3" t="s">
        <v>80</v>
      </c>
      <c r="N226" s="2" t="s">
        <v>41</v>
      </c>
      <c r="O226" s="13">
        <v>42982</v>
      </c>
      <c r="P226" s="2" t="s">
        <v>44</v>
      </c>
      <c r="Q226" s="3" t="s">
        <v>44</v>
      </c>
      <c r="R226" s="2" t="s">
        <v>44</v>
      </c>
      <c r="S226" s="2" t="s">
        <v>56</v>
      </c>
      <c r="T226" s="5">
        <v>114400</v>
      </c>
      <c r="U226" s="5">
        <v>21800</v>
      </c>
      <c r="V226" s="4">
        <v>3</v>
      </c>
      <c r="W226" s="4">
        <v>30</v>
      </c>
      <c r="X226" s="2" t="s">
        <v>44</v>
      </c>
      <c r="Y226" s="4">
        <v>0</v>
      </c>
      <c r="Z226" s="4">
        <v>13</v>
      </c>
      <c r="AA226" s="4">
        <v>0</v>
      </c>
      <c r="AB226" s="4">
        <v>0</v>
      </c>
      <c r="AC226" s="4">
        <v>3</v>
      </c>
      <c r="AD226" s="4">
        <v>16</v>
      </c>
      <c r="AE226" s="3" t="s">
        <v>96</v>
      </c>
      <c r="AG226">
        <f t="shared" ca="1" si="9"/>
        <v>8</v>
      </c>
      <c r="AH226" s="23" t="str" cm="1">
        <f t="array" ref="AH226">_xlfn.IFS(E226&gt;49,"50+",E226&gt;39,"40-49",E226&gt;29,"30-39",E226&gt;19,"20-29")</f>
        <v>30-39</v>
      </c>
      <c r="AI226" s="24" t="str" cm="1">
        <f t="array" aca="1" ref="AI226" ca="1">_xlfn.IFS(AG226&gt;10,"10+",AG226&gt;4,"5-10 YIL",AG226&gt;2,"3-5 YIL",AG226&gt;0.9,"1-3 YIL",AG226&lt;1,"0-1 YIL")</f>
        <v>5-10 YIL</v>
      </c>
      <c r="AJ226">
        <f t="shared" si="10"/>
        <v>2017</v>
      </c>
      <c r="AK226" t="e">
        <f t="shared" si="11"/>
        <v>#VALUE!</v>
      </c>
    </row>
    <row r="227" spans="1:37" x14ac:dyDescent="0.3">
      <c r="A227" s="6" t="s">
        <v>481</v>
      </c>
      <c r="B227" s="7" t="s">
        <v>403</v>
      </c>
      <c r="C227" s="6" t="s">
        <v>48</v>
      </c>
      <c r="D227" s="14">
        <v>35537</v>
      </c>
      <c r="E227" s="8">
        <v>29</v>
      </c>
      <c r="F227" s="6" t="s">
        <v>49</v>
      </c>
      <c r="G227" s="8">
        <v>0</v>
      </c>
      <c r="H227" s="6" t="s">
        <v>85</v>
      </c>
      <c r="I227" s="7" t="s">
        <v>61</v>
      </c>
      <c r="J227" s="7" t="s">
        <v>62</v>
      </c>
      <c r="K227" s="6" t="s">
        <v>38</v>
      </c>
      <c r="L227" s="6" t="s">
        <v>63</v>
      </c>
      <c r="M227" s="7" t="s">
        <v>64</v>
      </c>
      <c r="N227" s="6" t="s">
        <v>41</v>
      </c>
      <c r="O227" s="14">
        <v>44810</v>
      </c>
      <c r="P227" s="14">
        <v>44918</v>
      </c>
      <c r="Q227" s="7" t="s">
        <v>53</v>
      </c>
      <c r="R227" s="6">
        <v>4</v>
      </c>
      <c r="S227" s="6" t="s">
        <v>43</v>
      </c>
      <c r="T227" s="9">
        <v>32600</v>
      </c>
      <c r="U227" s="9">
        <v>7500</v>
      </c>
      <c r="V227" s="8">
        <v>4</v>
      </c>
      <c r="W227" s="8">
        <v>30</v>
      </c>
      <c r="X227" s="6" t="s">
        <v>44</v>
      </c>
      <c r="Y227" s="8">
        <v>0</v>
      </c>
      <c r="Z227" s="8">
        <v>8</v>
      </c>
      <c r="AA227" s="8">
        <v>0</v>
      </c>
      <c r="AB227" s="8">
        <v>0</v>
      </c>
      <c r="AC227" s="8">
        <v>2</v>
      </c>
      <c r="AD227" s="8">
        <v>9</v>
      </c>
      <c r="AE227" s="7" t="s">
        <v>58</v>
      </c>
      <c r="AG227">
        <f t="shared" ca="1" si="9"/>
        <v>3</v>
      </c>
      <c r="AH227" s="23" t="str" cm="1">
        <f t="array" ref="AH227">_xlfn.IFS(E227&gt;49,"50+",E227&gt;39,"40-49",E227&gt;29,"30-39",E227&gt;19,"20-29")</f>
        <v>20-29</v>
      </c>
      <c r="AI227" s="24" t="str" cm="1">
        <f t="array" aca="1" ref="AI227" ca="1">_xlfn.IFS(AG227&gt;10,"10+",AG227&gt;4,"5-10 YIL",AG227&gt;2,"3-5 YIL",AG227&gt;0.9,"1-3 YIL",AG227&lt;1,"0-1 YIL")</f>
        <v>3-5 YIL</v>
      </c>
      <c r="AJ227">
        <f t="shared" si="10"/>
        <v>2022</v>
      </c>
      <c r="AK227">
        <f t="shared" si="11"/>
        <v>2022</v>
      </c>
    </row>
    <row r="228" spans="1:37" x14ac:dyDescent="0.3">
      <c r="A228" s="2" t="s">
        <v>482</v>
      </c>
      <c r="B228" s="3" t="s">
        <v>401</v>
      </c>
      <c r="C228" s="2" t="s">
        <v>48</v>
      </c>
      <c r="D228" s="13">
        <v>34624</v>
      </c>
      <c r="E228" s="4">
        <v>32</v>
      </c>
      <c r="F228" s="2" t="s">
        <v>34</v>
      </c>
      <c r="G228" s="4">
        <v>0</v>
      </c>
      <c r="H228" s="2" t="s">
        <v>35</v>
      </c>
      <c r="I228" s="3" t="s">
        <v>36</v>
      </c>
      <c r="J228" s="3" t="s">
        <v>50</v>
      </c>
      <c r="K228" s="2" t="s">
        <v>51</v>
      </c>
      <c r="L228" s="2" t="s">
        <v>39</v>
      </c>
      <c r="M228" s="3" t="s">
        <v>40</v>
      </c>
      <c r="N228" s="2" t="s">
        <v>41</v>
      </c>
      <c r="O228" s="13">
        <v>44440</v>
      </c>
      <c r="P228" s="2" t="s">
        <v>44</v>
      </c>
      <c r="Q228" s="3" t="s">
        <v>44</v>
      </c>
      <c r="R228" s="2" t="s">
        <v>44</v>
      </c>
      <c r="S228" s="2" t="s">
        <v>56</v>
      </c>
      <c r="T228" s="5">
        <v>38400</v>
      </c>
      <c r="U228" s="5">
        <v>0</v>
      </c>
      <c r="V228" s="4">
        <v>13</v>
      </c>
      <c r="W228" s="4">
        <v>30</v>
      </c>
      <c r="X228" s="2" t="s">
        <v>44</v>
      </c>
      <c r="Y228" s="4">
        <v>0</v>
      </c>
      <c r="Z228" s="4">
        <v>5</v>
      </c>
      <c r="AA228" s="4">
        <v>0</v>
      </c>
      <c r="AB228" s="4">
        <v>0</v>
      </c>
      <c r="AC228" s="4">
        <v>4</v>
      </c>
      <c r="AD228" s="4">
        <v>16</v>
      </c>
      <c r="AE228" s="3" t="s">
        <v>73</v>
      </c>
      <c r="AG228">
        <f t="shared" ca="1" si="9"/>
        <v>4</v>
      </c>
      <c r="AH228" s="23" t="str" cm="1">
        <f t="array" ref="AH228">_xlfn.IFS(E228&gt;49,"50+",E228&gt;39,"40-49",E228&gt;29,"30-39",E228&gt;19,"20-29")</f>
        <v>30-39</v>
      </c>
      <c r="AI228" s="24" t="str" cm="1">
        <f t="array" aca="1" ref="AI228" ca="1">_xlfn.IFS(AG228&gt;10,"10+",AG228&gt;4,"5-10 YIL",AG228&gt;2,"3-5 YIL",AG228&gt;0.9,"1-3 YIL",AG228&lt;1,"0-1 YIL")</f>
        <v>3-5 YIL</v>
      </c>
      <c r="AJ228">
        <f t="shared" si="10"/>
        <v>2021</v>
      </c>
      <c r="AK228" t="e">
        <f t="shared" si="11"/>
        <v>#VALUE!</v>
      </c>
    </row>
    <row r="229" spans="1:37" x14ac:dyDescent="0.3">
      <c r="A229" s="6" t="s">
        <v>483</v>
      </c>
      <c r="B229" s="7" t="s">
        <v>484</v>
      </c>
      <c r="C229" s="6" t="s">
        <v>33</v>
      </c>
      <c r="D229" s="14">
        <v>25755</v>
      </c>
      <c r="E229" s="8">
        <v>56</v>
      </c>
      <c r="F229" s="6" t="s">
        <v>49</v>
      </c>
      <c r="G229" s="8">
        <v>1</v>
      </c>
      <c r="H229" s="6" t="s">
        <v>35</v>
      </c>
      <c r="I229" s="7" t="s">
        <v>70</v>
      </c>
      <c r="J229" s="7" t="s">
        <v>129</v>
      </c>
      <c r="K229" s="6" t="s">
        <v>79</v>
      </c>
      <c r="L229" s="6" t="s">
        <v>63</v>
      </c>
      <c r="M229" s="7" t="s">
        <v>80</v>
      </c>
      <c r="N229" s="6" t="s">
        <v>41</v>
      </c>
      <c r="O229" s="14">
        <v>43732</v>
      </c>
      <c r="P229" s="6" t="s">
        <v>44</v>
      </c>
      <c r="Q229" s="7" t="s">
        <v>44</v>
      </c>
      <c r="R229" s="6" t="s">
        <v>44</v>
      </c>
      <c r="S229" s="6" t="s">
        <v>56</v>
      </c>
      <c r="T229" s="9">
        <v>120400</v>
      </c>
      <c r="U229" s="9">
        <v>0</v>
      </c>
      <c r="V229" s="8">
        <v>7</v>
      </c>
      <c r="W229" s="8">
        <v>30</v>
      </c>
      <c r="X229" s="6" t="s">
        <v>44</v>
      </c>
      <c r="Y229" s="8">
        <v>0</v>
      </c>
      <c r="Z229" s="8">
        <v>10</v>
      </c>
      <c r="AA229" s="8">
        <v>0</v>
      </c>
      <c r="AB229" s="8">
        <v>0</v>
      </c>
      <c r="AC229" s="8">
        <v>3</v>
      </c>
      <c r="AD229" s="8">
        <v>2</v>
      </c>
      <c r="AE229" s="7" t="s">
        <v>58</v>
      </c>
      <c r="AG229">
        <f t="shared" ca="1" si="9"/>
        <v>6</v>
      </c>
      <c r="AH229" s="23" t="str" cm="1">
        <f t="array" ref="AH229">_xlfn.IFS(E229&gt;49,"50+",E229&gt;39,"40-49",E229&gt;29,"30-39",E229&gt;19,"20-29")</f>
        <v>50+</v>
      </c>
      <c r="AI229" s="24" t="str" cm="1">
        <f t="array" aca="1" ref="AI229" ca="1">_xlfn.IFS(AG229&gt;10,"10+",AG229&gt;4,"5-10 YIL",AG229&gt;2,"3-5 YIL",AG229&gt;0.9,"1-3 YIL",AG229&lt;1,"0-1 YIL")</f>
        <v>5-10 YIL</v>
      </c>
      <c r="AJ229">
        <f t="shared" si="10"/>
        <v>2019</v>
      </c>
      <c r="AK229" t="e">
        <f t="shared" si="11"/>
        <v>#VALUE!</v>
      </c>
    </row>
    <row r="230" spans="1:37" x14ac:dyDescent="0.3">
      <c r="A230" s="2" t="s">
        <v>485</v>
      </c>
      <c r="B230" s="3" t="s">
        <v>289</v>
      </c>
      <c r="C230" s="2" t="s">
        <v>33</v>
      </c>
      <c r="D230" s="13">
        <v>36578</v>
      </c>
      <c r="E230" s="4">
        <v>26</v>
      </c>
      <c r="F230" s="2" t="s">
        <v>34</v>
      </c>
      <c r="G230" s="4">
        <v>0</v>
      </c>
      <c r="H230" s="2" t="s">
        <v>35</v>
      </c>
      <c r="I230" s="3" t="s">
        <v>36</v>
      </c>
      <c r="J230" s="3" t="s">
        <v>37</v>
      </c>
      <c r="K230" s="2" t="s">
        <v>38</v>
      </c>
      <c r="L230" s="2" t="s">
        <v>39</v>
      </c>
      <c r="M230" s="3" t="s">
        <v>40</v>
      </c>
      <c r="N230" s="2" t="s">
        <v>41</v>
      </c>
      <c r="O230" s="13">
        <v>44966</v>
      </c>
      <c r="P230" s="2" t="s">
        <v>44</v>
      </c>
      <c r="Q230" s="3" t="s">
        <v>44</v>
      </c>
      <c r="R230" s="2" t="s">
        <v>44</v>
      </c>
      <c r="S230" s="2" t="s">
        <v>56</v>
      </c>
      <c r="T230" s="5">
        <v>27100</v>
      </c>
      <c r="U230" s="5">
        <v>0</v>
      </c>
      <c r="V230" s="4">
        <v>26</v>
      </c>
      <c r="W230" s="4">
        <v>28</v>
      </c>
      <c r="X230" s="2" t="s">
        <v>57</v>
      </c>
      <c r="Y230" s="4">
        <v>2</v>
      </c>
      <c r="Z230" s="4">
        <v>2</v>
      </c>
      <c r="AA230" s="4">
        <v>0</v>
      </c>
      <c r="AB230" s="4">
        <v>0</v>
      </c>
      <c r="AC230" s="4">
        <v>3</v>
      </c>
      <c r="AD230" s="4">
        <v>5</v>
      </c>
      <c r="AE230" s="3" t="s">
        <v>96</v>
      </c>
      <c r="AG230">
        <f t="shared" ca="1" si="9"/>
        <v>3</v>
      </c>
      <c r="AH230" s="23" t="str" cm="1">
        <f t="array" ref="AH230">_xlfn.IFS(E230&gt;49,"50+",E230&gt;39,"40-49",E230&gt;29,"30-39",E230&gt;19,"20-29")</f>
        <v>20-29</v>
      </c>
      <c r="AI230" s="24" t="str" cm="1">
        <f t="array" aca="1" ref="AI230" ca="1">_xlfn.IFS(AG230&gt;10,"10+",AG230&gt;4,"5-10 YIL",AG230&gt;2,"3-5 YIL",AG230&gt;0.9,"1-3 YIL",AG230&lt;1,"0-1 YIL")</f>
        <v>3-5 YIL</v>
      </c>
      <c r="AJ230">
        <f t="shared" si="10"/>
        <v>2023</v>
      </c>
      <c r="AK230" t="e">
        <f t="shared" si="11"/>
        <v>#VALUE!</v>
      </c>
    </row>
    <row r="231" spans="1:37" x14ac:dyDescent="0.3">
      <c r="A231" s="6" t="s">
        <v>486</v>
      </c>
      <c r="B231" s="7" t="s">
        <v>487</v>
      </c>
      <c r="C231" s="6" t="s">
        <v>48</v>
      </c>
      <c r="D231" s="14">
        <v>29732</v>
      </c>
      <c r="E231" s="8">
        <v>45</v>
      </c>
      <c r="F231" s="6" t="s">
        <v>34</v>
      </c>
      <c r="G231" s="8">
        <v>0</v>
      </c>
      <c r="H231" s="6" t="s">
        <v>35</v>
      </c>
      <c r="I231" s="7" t="s">
        <v>70</v>
      </c>
      <c r="J231" s="7" t="s">
        <v>129</v>
      </c>
      <c r="K231" s="6" t="s">
        <v>79</v>
      </c>
      <c r="L231" s="6" t="s">
        <v>63</v>
      </c>
      <c r="M231" s="7" t="s">
        <v>80</v>
      </c>
      <c r="N231" s="6" t="s">
        <v>41</v>
      </c>
      <c r="O231" s="14">
        <v>39631</v>
      </c>
      <c r="P231" s="6" t="s">
        <v>44</v>
      </c>
      <c r="Q231" s="7" t="s">
        <v>44</v>
      </c>
      <c r="R231" s="6" t="s">
        <v>44</v>
      </c>
      <c r="S231" s="6" t="s">
        <v>56</v>
      </c>
      <c r="T231" s="9">
        <v>111700</v>
      </c>
      <c r="U231" s="9">
        <v>0</v>
      </c>
      <c r="V231" s="8">
        <v>5</v>
      </c>
      <c r="W231" s="8">
        <v>30</v>
      </c>
      <c r="X231" s="6" t="s">
        <v>44</v>
      </c>
      <c r="Y231" s="8">
        <v>0</v>
      </c>
      <c r="Z231" s="8">
        <v>5</v>
      </c>
      <c r="AA231" s="8">
        <v>0</v>
      </c>
      <c r="AB231" s="8">
        <v>0</v>
      </c>
      <c r="AC231" s="8">
        <v>5</v>
      </c>
      <c r="AD231" s="8">
        <v>33</v>
      </c>
      <c r="AE231" s="7" t="s">
        <v>45</v>
      </c>
      <c r="AG231">
        <f t="shared" ca="1" si="9"/>
        <v>18</v>
      </c>
      <c r="AH231" s="23" t="str" cm="1">
        <f t="array" ref="AH231">_xlfn.IFS(E231&gt;49,"50+",E231&gt;39,"40-49",E231&gt;29,"30-39",E231&gt;19,"20-29")</f>
        <v>40-49</v>
      </c>
      <c r="AI231" s="24" t="str" cm="1">
        <f t="array" aca="1" ref="AI231" ca="1">_xlfn.IFS(AG231&gt;10,"10+",AG231&gt;4,"5-10 YIL",AG231&gt;2,"3-5 YIL",AG231&gt;0.9,"1-3 YIL",AG231&lt;1,"0-1 YIL")</f>
        <v>10+</v>
      </c>
      <c r="AJ231">
        <f t="shared" si="10"/>
        <v>2008</v>
      </c>
      <c r="AK231" t="e">
        <f t="shared" si="11"/>
        <v>#VALUE!</v>
      </c>
    </row>
    <row r="232" spans="1:37" x14ac:dyDescent="0.3">
      <c r="A232" s="2" t="s">
        <v>488</v>
      </c>
      <c r="B232" s="3" t="s">
        <v>489</v>
      </c>
      <c r="C232" s="2" t="s">
        <v>33</v>
      </c>
      <c r="D232" s="13">
        <v>29108</v>
      </c>
      <c r="E232" s="4">
        <v>47</v>
      </c>
      <c r="F232" s="2" t="s">
        <v>49</v>
      </c>
      <c r="G232" s="4">
        <v>1</v>
      </c>
      <c r="H232" s="2" t="s">
        <v>35</v>
      </c>
      <c r="I232" s="3" t="s">
        <v>36</v>
      </c>
      <c r="J232" s="3" t="s">
        <v>50</v>
      </c>
      <c r="K232" s="2" t="s">
        <v>51</v>
      </c>
      <c r="L232" s="2" t="s">
        <v>39</v>
      </c>
      <c r="M232" s="3" t="s">
        <v>40</v>
      </c>
      <c r="N232" s="2" t="s">
        <v>41</v>
      </c>
      <c r="O232" s="13">
        <v>44250</v>
      </c>
      <c r="P232" s="2" t="s">
        <v>44</v>
      </c>
      <c r="Q232" s="3" t="s">
        <v>44</v>
      </c>
      <c r="R232" s="2" t="s">
        <v>44</v>
      </c>
      <c r="S232" s="2" t="s">
        <v>56</v>
      </c>
      <c r="T232" s="5">
        <v>40700</v>
      </c>
      <c r="U232" s="5">
        <v>0</v>
      </c>
      <c r="V232" s="4">
        <v>27</v>
      </c>
      <c r="W232" s="4">
        <v>30</v>
      </c>
      <c r="X232" s="2" t="s">
        <v>44</v>
      </c>
      <c r="Y232" s="4">
        <v>0</v>
      </c>
      <c r="Z232" s="4">
        <v>13</v>
      </c>
      <c r="AA232" s="4">
        <v>0</v>
      </c>
      <c r="AB232" s="4">
        <v>0</v>
      </c>
      <c r="AC232" s="4">
        <v>4</v>
      </c>
      <c r="AD232" s="4">
        <v>35</v>
      </c>
      <c r="AE232" s="3" t="s">
        <v>45</v>
      </c>
      <c r="AG232">
        <f t="shared" ca="1" si="9"/>
        <v>5</v>
      </c>
      <c r="AH232" s="23" t="str" cm="1">
        <f t="array" ref="AH232">_xlfn.IFS(E232&gt;49,"50+",E232&gt;39,"40-49",E232&gt;29,"30-39",E232&gt;19,"20-29")</f>
        <v>40-49</v>
      </c>
      <c r="AI232" s="24" t="str" cm="1">
        <f t="array" aca="1" ref="AI232" ca="1">_xlfn.IFS(AG232&gt;10,"10+",AG232&gt;4,"5-10 YIL",AG232&gt;2,"3-5 YIL",AG232&gt;0.9,"1-3 YIL",AG232&lt;1,"0-1 YIL")</f>
        <v>5-10 YIL</v>
      </c>
      <c r="AJ232">
        <f t="shared" si="10"/>
        <v>2021</v>
      </c>
      <c r="AK232" t="e">
        <f t="shared" si="11"/>
        <v>#VALUE!</v>
      </c>
    </row>
    <row r="233" spans="1:37" x14ac:dyDescent="0.3">
      <c r="A233" s="6" t="s">
        <v>490</v>
      </c>
      <c r="B233" s="7" t="s">
        <v>491</v>
      </c>
      <c r="C233" s="6" t="s">
        <v>48</v>
      </c>
      <c r="D233" s="14">
        <v>37581</v>
      </c>
      <c r="E233" s="8">
        <v>24</v>
      </c>
      <c r="F233" s="6" t="s">
        <v>49</v>
      </c>
      <c r="G233" s="8">
        <v>3</v>
      </c>
      <c r="H233" s="6" t="s">
        <v>35</v>
      </c>
      <c r="I233" s="7" t="s">
        <v>36</v>
      </c>
      <c r="J233" s="7" t="s">
        <v>37</v>
      </c>
      <c r="K233" s="6" t="s">
        <v>38</v>
      </c>
      <c r="L233" s="6" t="s">
        <v>39</v>
      </c>
      <c r="M233" s="7" t="s">
        <v>40</v>
      </c>
      <c r="N233" s="6" t="s">
        <v>89</v>
      </c>
      <c r="O233" s="14">
        <v>46158</v>
      </c>
      <c r="P233" s="6" t="s">
        <v>44</v>
      </c>
      <c r="Q233" s="7" t="s">
        <v>44</v>
      </c>
      <c r="R233" s="6" t="s">
        <v>44</v>
      </c>
      <c r="S233" s="6" t="s">
        <v>56</v>
      </c>
      <c r="T233" s="9">
        <v>23800</v>
      </c>
      <c r="U233" s="9">
        <v>0</v>
      </c>
      <c r="V233" s="8">
        <v>25</v>
      </c>
      <c r="W233" s="8">
        <v>30</v>
      </c>
      <c r="X233" s="6" t="s">
        <v>44</v>
      </c>
      <c r="Y233" s="8">
        <v>0</v>
      </c>
      <c r="Z233" s="8">
        <v>0</v>
      </c>
      <c r="AA233" s="8">
        <v>0</v>
      </c>
      <c r="AB233" s="8">
        <v>0</v>
      </c>
      <c r="AC233" s="8">
        <v>1</v>
      </c>
      <c r="AD233" s="8">
        <v>8</v>
      </c>
      <c r="AE233" s="7" t="s">
        <v>45</v>
      </c>
      <c r="AG233">
        <f t="shared" ca="1" si="9"/>
        <v>0</v>
      </c>
      <c r="AH233" s="23" t="str" cm="1">
        <f t="array" ref="AH233">_xlfn.IFS(E233&gt;49,"50+",E233&gt;39,"40-49",E233&gt;29,"30-39",E233&gt;19,"20-29")</f>
        <v>20-29</v>
      </c>
      <c r="AI233" s="24" t="str" cm="1">
        <f t="array" aca="1" ref="AI233" ca="1">_xlfn.IFS(AG233&gt;10,"10+",AG233&gt;4,"5-10 YIL",AG233&gt;2,"3-5 YIL",AG233&gt;0.9,"1-3 YIL",AG233&lt;1,"0-1 YIL")</f>
        <v>0-1 YIL</v>
      </c>
      <c r="AJ233">
        <f t="shared" si="10"/>
        <v>2026</v>
      </c>
      <c r="AK233" t="e">
        <f t="shared" si="11"/>
        <v>#VALUE!</v>
      </c>
    </row>
    <row r="234" spans="1:37" x14ac:dyDescent="0.3">
      <c r="A234" s="2" t="s">
        <v>492</v>
      </c>
      <c r="B234" s="3" t="s">
        <v>493</v>
      </c>
      <c r="C234" s="2" t="s">
        <v>33</v>
      </c>
      <c r="D234" s="13">
        <v>36658</v>
      </c>
      <c r="E234" s="4">
        <v>26</v>
      </c>
      <c r="F234" s="2" t="s">
        <v>49</v>
      </c>
      <c r="G234" s="4">
        <v>1</v>
      </c>
      <c r="H234" s="2" t="s">
        <v>35</v>
      </c>
      <c r="I234" s="3" t="s">
        <v>61</v>
      </c>
      <c r="J234" s="3" t="s">
        <v>62</v>
      </c>
      <c r="K234" s="2" t="s">
        <v>38</v>
      </c>
      <c r="L234" s="2" t="s">
        <v>63</v>
      </c>
      <c r="M234" s="3" t="s">
        <v>64</v>
      </c>
      <c r="N234" s="2" t="s">
        <v>41</v>
      </c>
      <c r="O234" s="13">
        <v>45848</v>
      </c>
      <c r="P234" s="2" t="s">
        <v>44</v>
      </c>
      <c r="Q234" s="3" t="s">
        <v>44</v>
      </c>
      <c r="R234" s="2" t="s">
        <v>44</v>
      </c>
      <c r="S234" s="2" t="s">
        <v>56</v>
      </c>
      <c r="T234" s="5">
        <v>34600</v>
      </c>
      <c r="U234" s="5">
        <v>4500</v>
      </c>
      <c r="V234" s="4">
        <v>2</v>
      </c>
      <c r="W234" s="4">
        <v>30</v>
      </c>
      <c r="X234" s="2" t="s">
        <v>44</v>
      </c>
      <c r="Y234" s="4">
        <v>0</v>
      </c>
      <c r="Z234" s="4">
        <v>0</v>
      </c>
      <c r="AA234" s="4">
        <v>0</v>
      </c>
      <c r="AB234" s="4">
        <v>0</v>
      </c>
      <c r="AC234" s="4">
        <v>1</v>
      </c>
      <c r="AD234" s="4">
        <v>14</v>
      </c>
      <c r="AE234" s="3" t="s">
        <v>96</v>
      </c>
      <c r="AG234">
        <f t="shared" ca="1" si="9"/>
        <v>0</v>
      </c>
      <c r="AH234" s="23" t="str" cm="1">
        <f t="array" ref="AH234">_xlfn.IFS(E234&gt;49,"50+",E234&gt;39,"40-49",E234&gt;29,"30-39",E234&gt;19,"20-29")</f>
        <v>20-29</v>
      </c>
      <c r="AI234" s="24" t="str" cm="1">
        <f t="array" aca="1" ref="AI234" ca="1">_xlfn.IFS(AG234&gt;10,"10+",AG234&gt;4,"5-10 YIL",AG234&gt;2,"3-5 YIL",AG234&gt;0.9,"1-3 YIL",AG234&lt;1,"0-1 YIL")</f>
        <v>0-1 YIL</v>
      </c>
      <c r="AJ234">
        <f t="shared" si="10"/>
        <v>2025</v>
      </c>
      <c r="AK234" t="e">
        <f t="shared" si="11"/>
        <v>#VALUE!</v>
      </c>
    </row>
    <row r="235" spans="1:37" x14ac:dyDescent="0.3">
      <c r="A235" s="6" t="s">
        <v>494</v>
      </c>
      <c r="B235" s="7" t="s">
        <v>495</v>
      </c>
      <c r="C235" s="6" t="s">
        <v>48</v>
      </c>
      <c r="D235" s="14">
        <v>35969</v>
      </c>
      <c r="E235" s="8">
        <v>28</v>
      </c>
      <c r="F235" s="6" t="s">
        <v>49</v>
      </c>
      <c r="G235" s="8">
        <v>0</v>
      </c>
      <c r="H235" s="6" t="s">
        <v>35</v>
      </c>
      <c r="I235" s="7" t="s">
        <v>36</v>
      </c>
      <c r="J235" s="7" t="s">
        <v>50</v>
      </c>
      <c r="K235" s="6" t="s">
        <v>51</v>
      </c>
      <c r="L235" s="6" t="s">
        <v>39</v>
      </c>
      <c r="M235" s="7" t="s">
        <v>40</v>
      </c>
      <c r="N235" s="6" t="s">
        <v>52</v>
      </c>
      <c r="O235" s="14">
        <v>42679</v>
      </c>
      <c r="P235" s="6" t="s">
        <v>44</v>
      </c>
      <c r="Q235" s="7" t="s">
        <v>44</v>
      </c>
      <c r="R235" s="6" t="s">
        <v>44</v>
      </c>
      <c r="S235" s="6" t="s">
        <v>56</v>
      </c>
      <c r="T235" s="9">
        <v>40700</v>
      </c>
      <c r="U235" s="9">
        <v>0</v>
      </c>
      <c r="V235" s="8">
        <v>24</v>
      </c>
      <c r="W235" s="8">
        <v>30</v>
      </c>
      <c r="X235" s="6" t="s">
        <v>44</v>
      </c>
      <c r="Y235" s="8">
        <v>0</v>
      </c>
      <c r="Z235" s="8">
        <v>0</v>
      </c>
      <c r="AA235" s="8">
        <v>0</v>
      </c>
      <c r="AB235" s="8">
        <v>0</v>
      </c>
      <c r="AC235" s="8">
        <v>4</v>
      </c>
      <c r="AD235" s="8">
        <v>14</v>
      </c>
      <c r="AE235" s="7" t="s">
        <v>82</v>
      </c>
      <c r="AG235">
        <f t="shared" ca="1" si="9"/>
        <v>9</v>
      </c>
      <c r="AH235" s="23" t="str" cm="1">
        <f t="array" ref="AH235">_xlfn.IFS(E235&gt;49,"50+",E235&gt;39,"40-49",E235&gt;29,"30-39",E235&gt;19,"20-29")</f>
        <v>20-29</v>
      </c>
      <c r="AI235" s="24" t="str" cm="1">
        <f t="array" aca="1" ref="AI235" ca="1">_xlfn.IFS(AG235&gt;10,"10+",AG235&gt;4,"5-10 YIL",AG235&gt;2,"3-5 YIL",AG235&gt;0.9,"1-3 YIL",AG235&lt;1,"0-1 YIL")</f>
        <v>5-10 YIL</v>
      </c>
      <c r="AJ235">
        <f t="shared" si="10"/>
        <v>2016</v>
      </c>
      <c r="AK235" t="e">
        <f t="shared" si="11"/>
        <v>#VALUE!</v>
      </c>
    </row>
    <row r="236" spans="1:37" x14ac:dyDescent="0.3">
      <c r="A236" s="2" t="s">
        <v>496</v>
      </c>
      <c r="B236" s="3" t="s">
        <v>497</v>
      </c>
      <c r="C236" s="2" t="s">
        <v>48</v>
      </c>
      <c r="D236" s="13">
        <v>35567</v>
      </c>
      <c r="E236" s="4">
        <v>29</v>
      </c>
      <c r="F236" s="2" t="s">
        <v>34</v>
      </c>
      <c r="G236" s="4">
        <v>0</v>
      </c>
      <c r="H236" s="2" t="s">
        <v>35</v>
      </c>
      <c r="I236" s="3" t="s">
        <v>70</v>
      </c>
      <c r="J236" s="3" t="s">
        <v>71</v>
      </c>
      <c r="K236" s="2" t="s">
        <v>51</v>
      </c>
      <c r="L236" s="2" t="s">
        <v>63</v>
      </c>
      <c r="M236" s="3" t="s">
        <v>72</v>
      </c>
      <c r="N236" s="2" t="s">
        <v>67</v>
      </c>
      <c r="O236" s="13">
        <v>43886</v>
      </c>
      <c r="P236" s="2" t="s">
        <v>44</v>
      </c>
      <c r="Q236" s="3" t="s">
        <v>44</v>
      </c>
      <c r="R236" s="2" t="s">
        <v>44</v>
      </c>
      <c r="S236" s="2" t="s">
        <v>56</v>
      </c>
      <c r="T236" s="5">
        <v>57900</v>
      </c>
      <c r="U236" s="5">
        <v>0</v>
      </c>
      <c r="V236" s="4">
        <v>7</v>
      </c>
      <c r="W236" s="4">
        <v>30</v>
      </c>
      <c r="X236" s="2" t="s">
        <v>44</v>
      </c>
      <c r="Y236" s="4">
        <v>0</v>
      </c>
      <c r="Z236" s="4">
        <v>13</v>
      </c>
      <c r="AA236" s="4">
        <v>0</v>
      </c>
      <c r="AB236" s="4">
        <v>0</v>
      </c>
      <c r="AC236" s="4">
        <v>4</v>
      </c>
      <c r="AD236" s="4">
        <v>28</v>
      </c>
      <c r="AE236" s="3" t="s">
        <v>45</v>
      </c>
      <c r="AG236">
        <f t="shared" ca="1" si="9"/>
        <v>6</v>
      </c>
      <c r="AH236" s="23" t="str" cm="1">
        <f t="array" ref="AH236">_xlfn.IFS(E236&gt;49,"50+",E236&gt;39,"40-49",E236&gt;29,"30-39",E236&gt;19,"20-29")</f>
        <v>20-29</v>
      </c>
      <c r="AI236" s="24" t="str" cm="1">
        <f t="array" aca="1" ref="AI236" ca="1">_xlfn.IFS(AG236&gt;10,"10+",AG236&gt;4,"5-10 YIL",AG236&gt;2,"3-5 YIL",AG236&gt;0.9,"1-3 YIL",AG236&lt;1,"0-1 YIL")</f>
        <v>5-10 YIL</v>
      </c>
      <c r="AJ236">
        <f t="shared" si="10"/>
        <v>2020</v>
      </c>
      <c r="AK236" t="e">
        <f t="shared" si="11"/>
        <v>#VALUE!</v>
      </c>
    </row>
    <row r="237" spans="1:37" x14ac:dyDescent="0.3">
      <c r="A237" s="6" t="s">
        <v>498</v>
      </c>
      <c r="B237" s="7" t="s">
        <v>425</v>
      </c>
      <c r="C237" s="6" t="s">
        <v>48</v>
      </c>
      <c r="D237" s="14">
        <v>37935</v>
      </c>
      <c r="E237" s="8">
        <v>23</v>
      </c>
      <c r="F237" s="6" t="s">
        <v>49</v>
      </c>
      <c r="G237" s="8">
        <v>1</v>
      </c>
      <c r="H237" s="6" t="s">
        <v>35</v>
      </c>
      <c r="I237" s="7" t="s">
        <v>36</v>
      </c>
      <c r="J237" s="7" t="s">
        <v>37</v>
      </c>
      <c r="K237" s="6" t="s">
        <v>38</v>
      </c>
      <c r="L237" s="6" t="s">
        <v>39</v>
      </c>
      <c r="M237" s="7" t="s">
        <v>40</v>
      </c>
      <c r="N237" s="6" t="s">
        <v>41</v>
      </c>
      <c r="O237" s="14">
        <v>46149</v>
      </c>
      <c r="P237" s="6" t="s">
        <v>44</v>
      </c>
      <c r="Q237" s="7" t="s">
        <v>44</v>
      </c>
      <c r="R237" s="6" t="s">
        <v>44</v>
      </c>
      <c r="S237" s="6" t="s">
        <v>56</v>
      </c>
      <c r="T237" s="9">
        <v>25700</v>
      </c>
      <c r="U237" s="9">
        <v>0</v>
      </c>
      <c r="V237" s="8">
        <v>33</v>
      </c>
      <c r="W237" s="8">
        <v>30</v>
      </c>
      <c r="X237" s="6" t="s">
        <v>44</v>
      </c>
      <c r="Y237" s="8">
        <v>0</v>
      </c>
      <c r="Z237" s="8">
        <v>0</v>
      </c>
      <c r="AA237" s="8">
        <v>0</v>
      </c>
      <c r="AB237" s="8">
        <v>0</v>
      </c>
      <c r="AC237" s="8">
        <v>4</v>
      </c>
      <c r="AD237" s="8">
        <v>13</v>
      </c>
      <c r="AE237" s="7" t="s">
        <v>58</v>
      </c>
      <c r="AG237">
        <f t="shared" ca="1" si="9"/>
        <v>0</v>
      </c>
      <c r="AH237" s="23" t="str" cm="1">
        <f t="array" ref="AH237">_xlfn.IFS(E237&gt;49,"50+",E237&gt;39,"40-49",E237&gt;29,"30-39",E237&gt;19,"20-29")</f>
        <v>20-29</v>
      </c>
      <c r="AI237" s="24" t="str" cm="1">
        <f t="array" aca="1" ref="AI237" ca="1">_xlfn.IFS(AG237&gt;10,"10+",AG237&gt;4,"5-10 YIL",AG237&gt;2,"3-5 YIL",AG237&gt;0.9,"1-3 YIL",AG237&lt;1,"0-1 YIL")</f>
        <v>0-1 YIL</v>
      </c>
      <c r="AJ237">
        <f t="shared" si="10"/>
        <v>2026</v>
      </c>
      <c r="AK237" t="e">
        <f t="shared" si="11"/>
        <v>#VALUE!</v>
      </c>
    </row>
    <row r="238" spans="1:37" x14ac:dyDescent="0.3">
      <c r="A238" s="2" t="s">
        <v>499</v>
      </c>
      <c r="B238" s="3" t="s">
        <v>500</v>
      </c>
      <c r="C238" s="2" t="s">
        <v>33</v>
      </c>
      <c r="D238" s="13">
        <v>37843</v>
      </c>
      <c r="E238" s="4">
        <v>23</v>
      </c>
      <c r="F238" s="2" t="s">
        <v>49</v>
      </c>
      <c r="G238" s="4">
        <v>0</v>
      </c>
      <c r="H238" s="2" t="s">
        <v>35</v>
      </c>
      <c r="I238" s="3" t="s">
        <v>61</v>
      </c>
      <c r="J238" s="3" t="s">
        <v>62</v>
      </c>
      <c r="K238" s="2" t="s">
        <v>38</v>
      </c>
      <c r="L238" s="2" t="s">
        <v>63</v>
      </c>
      <c r="M238" s="3" t="s">
        <v>64</v>
      </c>
      <c r="N238" s="2" t="s">
        <v>67</v>
      </c>
      <c r="O238" s="13">
        <v>45170</v>
      </c>
      <c r="P238" s="2" t="s">
        <v>44</v>
      </c>
      <c r="Q238" s="3" t="s">
        <v>44</v>
      </c>
      <c r="R238" s="2" t="s">
        <v>44</v>
      </c>
      <c r="S238" s="2" t="s">
        <v>56</v>
      </c>
      <c r="T238" s="5">
        <v>32300</v>
      </c>
      <c r="U238" s="5">
        <v>8100</v>
      </c>
      <c r="V238" s="4">
        <v>5</v>
      </c>
      <c r="W238" s="4">
        <v>29</v>
      </c>
      <c r="X238" s="2" t="s">
        <v>57</v>
      </c>
      <c r="Y238" s="4">
        <v>1</v>
      </c>
      <c r="Z238" s="4">
        <v>1</v>
      </c>
      <c r="AA238" s="4">
        <v>0</v>
      </c>
      <c r="AB238" s="4">
        <v>0</v>
      </c>
      <c r="AC238" s="4">
        <v>3</v>
      </c>
      <c r="AD238" s="4">
        <v>16</v>
      </c>
      <c r="AE238" s="3" t="s">
        <v>73</v>
      </c>
      <c r="AG238">
        <f t="shared" ca="1" si="9"/>
        <v>2</v>
      </c>
      <c r="AH238" s="23" t="str" cm="1">
        <f t="array" ref="AH238">_xlfn.IFS(E238&gt;49,"50+",E238&gt;39,"40-49",E238&gt;29,"30-39",E238&gt;19,"20-29")</f>
        <v>20-29</v>
      </c>
      <c r="AI238" s="24" t="str" cm="1">
        <f t="array" aca="1" ref="AI238" ca="1">_xlfn.IFS(AG238&gt;10,"10+",AG238&gt;4,"5-10 YIL",AG238&gt;2,"3-5 YIL",AG238&gt;0.9,"1-3 YIL",AG238&lt;1,"0-1 YIL")</f>
        <v>1-3 YIL</v>
      </c>
      <c r="AJ238">
        <f t="shared" si="10"/>
        <v>2023</v>
      </c>
      <c r="AK238" t="e">
        <f t="shared" si="11"/>
        <v>#VALUE!</v>
      </c>
    </row>
    <row r="239" spans="1:37" x14ac:dyDescent="0.3">
      <c r="A239" s="6" t="s">
        <v>501</v>
      </c>
      <c r="B239" s="7" t="s">
        <v>502</v>
      </c>
      <c r="C239" s="6" t="s">
        <v>33</v>
      </c>
      <c r="D239" s="14">
        <v>36943</v>
      </c>
      <c r="E239" s="8">
        <v>25</v>
      </c>
      <c r="F239" s="6" t="s">
        <v>49</v>
      </c>
      <c r="G239" s="8">
        <v>0</v>
      </c>
      <c r="H239" s="6" t="s">
        <v>35</v>
      </c>
      <c r="I239" s="7" t="s">
        <v>36</v>
      </c>
      <c r="J239" s="7" t="s">
        <v>37</v>
      </c>
      <c r="K239" s="6" t="s">
        <v>38</v>
      </c>
      <c r="L239" s="6" t="s">
        <v>39</v>
      </c>
      <c r="M239" s="7" t="s">
        <v>40</v>
      </c>
      <c r="N239" s="6" t="s">
        <v>89</v>
      </c>
      <c r="O239" s="14">
        <v>46043</v>
      </c>
      <c r="P239" s="6" t="s">
        <v>44</v>
      </c>
      <c r="Q239" s="7" t="s">
        <v>44</v>
      </c>
      <c r="R239" s="6" t="s">
        <v>44</v>
      </c>
      <c r="S239" s="6" t="s">
        <v>56</v>
      </c>
      <c r="T239" s="9">
        <v>26600</v>
      </c>
      <c r="U239" s="9">
        <v>0</v>
      </c>
      <c r="V239" s="8">
        <v>42</v>
      </c>
      <c r="W239" s="8">
        <v>30</v>
      </c>
      <c r="X239" s="6" t="s">
        <v>44</v>
      </c>
      <c r="Y239" s="8">
        <v>0</v>
      </c>
      <c r="Z239" s="8">
        <v>0</v>
      </c>
      <c r="AA239" s="8">
        <v>0</v>
      </c>
      <c r="AB239" s="8">
        <v>0</v>
      </c>
      <c r="AC239" s="8">
        <v>4</v>
      </c>
      <c r="AD239" s="8">
        <v>37</v>
      </c>
      <c r="AE239" s="7" t="s">
        <v>58</v>
      </c>
      <c r="AG239">
        <f t="shared" ca="1" si="9"/>
        <v>0</v>
      </c>
      <c r="AH239" s="23" t="str" cm="1">
        <f t="array" ref="AH239">_xlfn.IFS(E239&gt;49,"50+",E239&gt;39,"40-49",E239&gt;29,"30-39",E239&gt;19,"20-29")</f>
        <v>20-29</v>
      </c>
      <c r="AI239" s="24" t="str" cm="1">
        <f t="array" aca="1" ref="AI239" ca="1">_xlfn.IFS(AG239&gt;10,"10+",AG239&gt;4,"5-10 YIL",AG239&gt;2,"3-5 YIL",AG239&gt;0.9,"1-3 YIL",AG239&lt;1,"0-1 YIL")</f>
        <v>0-1 YIL</v>
      </c>
      <c r="AJ239">
        <f t="shared" si="10"/>
        <v>2026</v>
      </c>
      <c r="AK239" t="e">
        <f t="shared" si="11"/>
        <v>#VALUE!</v>
      </c>
    </row>
    <row r="240" spans="1:37" x14ac:dyDescent="0.3">
      <c r="A240" s="2" t="s">
        <v>503</v>
      </c>
      <c r="B240" s="3" t="s">
        <v>145</v>
      </c>
      <c r="C240" s="2" t="s">
        <v>48</v>
      </c>
      <c r="D240" s="13">
        <v>38282</v>
      </c>
      <c r="E240" s="4">
        <v>22</v>
      </c>
      <c r="F240" s="2" t="s">
        <v>34</v>
      </c>
      <c r="G240" s="4">
        <v>0</v>
      </c>
      <c r="H240" s="2" t="s">
        <v>35</v>
      </c>
      <c r="I240" s="3" t="s">
        <v>148</v>
      </c>
      <c r="J240" s="3" t="s">
        <v>252</v>
      </c>
      <c r="K240" s="2" t="s">
        <v>38</v>
      </c>
      <c r="L240" s="2" t="s">
        <v>63</v>
      </c>
      <c r="M240" s="3" t="s">
        <v>150</v>
      </c>
      <c r="N240" s="2" t="s">
        <v>95</v>
      </c>
      <c r="O240" s="13">
        <v>46030</v>
      </c>
      <c r="P240" s="2" t="s">
        <v>44</v>
      </c>
      <c r="Q240" s="3" t="s">
        <v>44</v>
      </c>
      <c r="R240" s="2" t="s">
        <v>44</v>
      </c>
      <c r="S240" s="2" t="s">
        <v>56</v>
      </c>
      <c r="T240" s="5">
        <v>33700</v>
      </c>
      <c r="U240" s="5">
        <v>0</v>
      </c>
      <c r="V240" s="4">
        <v>8</v>
      </c>
      <c r="W240" s="4">
        <v>30</v>
      </c>
      <c r="X240" s="2" t="s">
        <v>44</v>
      </c>
      <c r="Y240" s="4">
        <v>0</v>
      </c>
      <c r="Z240" s="4">
        <v>0</v>
      </c>
      <c r="AA240" s="4">
        <v>0</v>
      </c>
      <c r="AB240" s="4">
        <v>0</v>
      </c>
      <c r="AC240" s="4">
        <v>3</v>
      </c>
      <c r="AD240" s="4">
        <v>2</v>
      </c>
      <c r="AE240" s="3" t="s">
        <v>58</v>
      </c>
      <c r="AG240">
        <f t="shared" ca="1" si="9"/>
        <v>0</v>
      </c>
      <c r="AH240" s="23" t="str" cm="1">
        <f t="array" ref="AH240">_xlfn.IFS(E240&gt;49,"50+",E240&gt;39,"40-49",E240&gt;29,"30-39",E240&gt;19,"20-29")</f>
        <v>20-29</v>
      </c>
      <c r="AI240" s="24" t="str" cm="1">
        <f t="array" aca="1" ref="AI240" ca="1">_xlfn.IFS(AG240&gt;10,"10+",AG240&gt;4,"5-10 YIL",AG240&gt;2,"3-5 YIL",AG240&gt;0.9,"1-3 YIL",AG240&lt;1,"0-1 YIL")</f>
        <v>0-1 YIL</v>
      </c>
      <c r="AJ240">
        <f t="shared" si="10"/>
        <v>2026</v>
      </c>
      <c r="AK240" t="e">
        <f t="shared" si="11"/>
        <v>#VALUE!</v>
      </c>
    </row>
    <row r="241" spans="1:37" x14ac:dyDescent="0.3">
      <c r="A241" s="6" t="s">
        <v>504</v>
      </c>
      <c r="B241" s="7" t="s">
        <v>505</v>
      </c>
      <c r="C241" s="6" t="s">
        <v>48</v>
      </c>
      <c r="D241" s="14">
        <v>37226</v>
      </c>
      <c r="E241" s="8">
        <v>25</v>
      </c>
      <c r="F241" s="6" t="s">
        <v>34</v>
      </c>
      <c r="G241" s="8">
        <v>0</v>
      </c>
      <c r="H241" s="6" t="s">
        <v>35</v>
      </c>
      <c r="I241" s="7" t="s">
        <v>36</v>
      </c>
      <c r="J241" s="7" t="s">
        <v>37</v>
      </c>
      <c r="K241" s="6" t="s">
        <v>38</v>
      </c>
      <c r="L241" s="6" t="s">
        <v>39</v>
      </c>
      <c r="M241" s="7" t="s">
        <v>40</v>
      </c>
      <c r="N241" s="6" t="s">
        <v>52</v>
      </c>
      <c r="O241" s="14">
        <v>45540</v>
      </c>
      <c r="P241" s="6" t="s">
        <v>44</v>
      </c>
      <c r="Q241" s="7" t="s">
        <v>44</v>
      </c>
      <c r="R241" s="6" t="s">
        <v>44</v>
      </c>
      <c r="S241" s="6" t="s">
        <v>56</v>
      </c>
      <c r="T241" s="9">
        <v>27200</v>
      </c>
      <c r="U241" s="9">
        <v>0</v>
      </c>
      <c r="V241" s="8">
        <v>35</v>
      </c>
      <c r="W241" s="8">
        <v>30</v>
      </c>
      <c r="X241" s="6" t="s">
        <v>44</v>
      </c>
      <c r="Y241" s="8">
        <v>0</v>
      </c>
      <c r="Z241" s="8">
        <v>7</v>
      </c>
      <c r="AA241" s="8">
        <v>0</v>
      </c>
      <c r="AB241" s="8">
        <v>0</v>
      </c>
      <c r="AC241" s="8">
        <v>5</v>
      </c>
      <c r="AD241" s="8">
        <v>26</v>
      </c>
      <c r="AE241" s="7" t="s">
        <v>45</v>
      </c>
      <c r="AG241">
        <f t="shared" ca="1" si="9"/>
        <v>1</v>
      </c>
      <c r="AH241" s="23" t="str" cm="1">
        <f t="array" ref="AH241">_xlfn.IFS(E241&gt;49,"50+",E241&gt;39,"40-49",E241&gt;29,"30-39",E241&gt;19,"20-29")</f>
        <v>20-29</v>
      </c>
      <c r="AI241" s="24" t="str" cm="1">
        <f t="array" aca="1" ref="AI241" ca="1">_xlfn.IFS(AG241&gt;10,"10+",AG241&gt;4,"5-10 YIL",AG241&gt;2,"3-5 YIL",AG241&gt;0.9,"1-3 YIL",AG241&lt;1,"0-1 YIL")</f>
        <v>1-3 YIL</v>
      </c>
      <c r="AJ241">
        <f t="shared" si="10"/>
        <v>2024</v>
      </c>
      <c r="AK241" t="e">
        <f t="shared" si="11"/>
        <v>#VALUE!</v>
      </c>
    </row>
    <row r="242" spans="1:37" x14ac:dyDescent="0.3">
      <c r="A242" s="2" t="s">
        <v>506</v>
      </c>
      <c r="B242" s="3" t="s">
        <v>507</v>
      </c>
      <c r="C242" s="2" t="s">
        <v>33</v>
      </c>
      <c r="D242" s="13">
        <v>27802</v>
      </c>
      <c r="E242" s="4">
        <v>50</v>
      </c>
      <c r="F242" s="2" t="s">
        <v>49</v>
      </c>
      <c r="G242" s="4">
        <v>2</v>
      </c>
      <c r="H242" s="2" t="s">
        <v>35</v>
      </c>
      <c r="I242" s="3" t="s">
        <v>61</v>
      </c>
      <c r="J242" s="3" t="s">
        <v>124</v>
      </c>
      <c r="K242" s="2" t="s">
        <v>79</v>
      </c>
      <c r="L242" s="2" t="s">
        <v>63</v>
      </c>
      <c r="M242" s="3" t="s">
        <v>80</v>
      </c>
      <c r="N242" s="2" t="s">
        <v>95</v>
      </c>
      <c r="O242" s="13">
        <v>43380</v>
      </c>
      <c r="P242" s="2" t="s">
        <v>44</v>
      </c>
      <c r="Q242" s="3" t="s">
        <v>44</v>
      </c>
      <c r="R242" s="2" t="s">
        <v>44</v>
      </c>
      <c r="S242" s="2" t="s">
        <v>56</v>
      </c>
      <c r="T242" s="5">
        <v>118600</v>
      </c>
      <c r="U242" s="5">
        <v>15400</v>
      </c>
      <c r="V242" s="4">
        <v>2</v>
      </c>
      <c r="W242" s="4">
        <v>30</v>
      </c>
      <c r="X242" s="2" t="s">
        <v>44</v>
      </c>
      <c r="Y242" s="4">
        <v>0</v>
      </c>
      <c r="Z242" s="4">
        <v>7</v>
      </c>
      <c r="AA242" s="4">
        <v>0</v>
      </c>
      <c r="AB242" s="4">
        <v>0</v>
      </c>
      <c r="AC242" s="4">
        <v>3</v>
      </c>
      <c r="AD242" s="4">
        <v>17</v>
      </c>
      <c r="AE242" s="3" t="s">
        <v>58</v>
      </c>
      <c r="AG242">
        <f t="shared" ca="1" si="9"/>
        <v>7</v>
      </c>
      <c r="AH242" s="23" t="str" cm="1">
        <f t="array" ref="AH242">_xlfn.IFS(E242&gt;49,"50+",E242&gt;39,"40-49",E242&gt;29,"30-39",E242&gt;19,"20-29")</f>
        <v>50+</v>
      </c>
      <c r="AI242" s="24" t="str" cm="1">
        <f t="array" aca="1" ref="AI242" ca="1">_xlfn.IFS(AG242&gt;10,"10+",AG242&gt;4,"5-10 YIL",AG242&gt;2,"3-5 YIL",AG242&gt;0.9,"1-3 YIL",AG242&lt;1,"0-1 YIL")</f>
        <v>5-10 YIL</v>
      </c>
      <c r="AJ242">
        <f t="shared" si="10"/>
        <v>2018</v>
      </c>
      <c r="AK242" t="e">
        <f t="shared" si="11"/>
        <v>#VALUE!</v>
      </c>
    </row>
    <row r="243" spans="1:37" x14ac:dyDescent="0.3">
      <c r="A243" s="6" t="s">
        <v>508</v>
      </c>
      <c r="B243" s="7" t="s">
        <v>509</v>
      </c>
      <c r="C243" s="6" t="s">
        <v>33</v>
      </c>
      <c r="D243" s="14">
        <v>34399</v>
      </c>
      <c r="E243" s="8">
        <v>32</v>
      </c>
      <c r="F243" s="6" t="s">
        <v>49</v>
      </c>
      <c r="G243" s="8">
        <v>1</v>
      </c>
      <c r="H243" s="6" t="s">
        <v>35</v>
      </c>
      <c r="I243" s="7" t="s">
        <v>148</v>
      </c>
      <c r="J243" s="7" t="s">
        <v>149</v>
      </c>
      <c r="K243" s="6" t="s">
        <v>51</v>
      </c>
      <c r="L243" s="6" t="s">
        <v>63</v>
      </c>
      <c r="M243" s="7" t="s">
        <v>150</v>
      </c>
      <c r="N243" s="6" t="s">
        <v>41</v>
      </c>
      <c r="O243" s="14">
        <v>42140</v>
      </c>
      <c r="P243" s="6" t="s">
        <v>44</v>
      </c>
      <c r="Q243" s="7" t="s">
        <v>44</v>
      </c>
      <c r="R243" s="6" t="s">
        <v>44</v>
      </c>
      <c r="S243" s="6" t="s">
        <v>56</v>
      </c>
      <c r="T243" s="9">
        <v>57200</v>
      </c>
      <c r="U243" s="9">
        <v>0</v>
      </c>
      <c r="V243" s="8">
        <v>9</v>
      </c>
      <c r="W243" s="8">
        <v>29</v>
      </c>
      <c r="X243" s="6" t="s">
        <v>57</v>
      </c>
      <c r="Y243" s="8">
        <v>1</v>
      </c>
      <c r="Z243" s="8">
        <v>13</v>
      </c>
      <c r="AA243" s="8">
        <v>0</v>
      </c>
      <c r="AB243" s="8">
        <v>0</v>
      </c>
      <c r="AC243" s="8">
        <v>3</v>
      </c>
      <c r="AD243" s="8">
        <v>11</v>
      </c>
      <c r="AE243" s="7" t="s">
        <v>73</v>
      </c>
      <c r="AG243">
        <f t="shared" ca="1" si="9"/>
        <v>11</v>
      </c>
      <c r="AH243" s="23" t="str" cm="1">
        <f t="array" ref="AH243">_xlfn.IFS(E243&gt;49,"50+",E243&gt;39,"40-49",E243&gt;29,"30-39",E243&gt;19,"20-29")</f>
        <v>30-39</v>
      </c>
      <c r="AI243" s="24" t="str" cm="1">
        <f t="array" aca="1" ref="AI243" ca="1">_xlfn.IFS(AG243&gt;10,"10+",AG243&gt;4,"5-10 YIL",AG243&gt;2,"3-5 YIL",AG243&gt;0.9,"1-3 YIL",AG243&lt;1,"0-1 YIL")</f>
        <v>10+</v>
      </c>
      <c r="AJ243">
        <f t="shared" si="10"/>
        <v>2015</v>
      </c>
      <c r="AK243" t="e">
        <f t="shared" si="11"/>
        <v>#VALUE!</v>
      </c>
    </row>
    <row r="244" spans="1:37" x14ac:dyDescent="0.3">
      <c r="A244" s="2" t="s">
        <v>510</v>
      </c>
      <c r="B244" s="3" t="s">
        <v>209</v>
      </c>
      <c r="C244" s="2" t="s">
        <v>48</v>
      </c>
      <c r="D244" s="13">
        <v>36932</v>
      </c>
      <c r="E244" s="4">
        <v>25</v>
      </c>
      <c r="F244" s="2" t="s">
        <v>49</v>
      </c>
      <c r="G244" s="4">
        <v>2</v>
      </c>
      <c r="H244" s="2" t="s">
        <v>88</v>
      </c>
      <c r="I244" s="3" t="s">
        <v>36</v>
      </c>
      <c r="J244" s="3" t="s">
        <v>37</v>
      </c>
      <c r="K244" s="2" t="s">
        <v>38</v>
      </c>
      <c r="L244" s="2" t="s">
        <v>39</v>
      </c>
      <c r="M244" s="3" t="s">
        <v>40</v>
      </c>
      <c r="N244" s="2" t="s">
        <v>41</v>
      </c>
      <c r="O244" s="13">
        <v>45724</v>
      </c>
      <c r="P244" s="2" t="s">
        <v>44</v>
      </c>
      <c r="Q244" s="3" t="s">
        <v>44</v>
      </c>
      <c r="R244" s="2" t="s">
        <v>44</v>
      </c>
      <c r="S244" s="2" t="s">
        <v>56</v>
      </c>
      <c r="T244" s="5">
        <v>28600</v>
      </c>
      <c r="U244" s="5">
        <v>0</v>
      </c>
      <c r="V244" s="4">
        <v>14</v>
      </c>
      <c r="W244" s="4">
        <v>30</v>
      </c>
      <c r="X244" s="2" t="s">
        <v>44</v>
      </c>
      <c r="Y244" s="4">
        <v>0</v>
      </c>
      <c r="Z244" s="4">
        <v>9</v>
      </c>
      <c r="AA244" s="4">
        <v>0</v>
      </c>
      <c r="AB244" s="4">
        <v>0</v>
      </c>
      <c r="AC244" s="4">
        <v>2</v>
      </c>
      <c r="AD244" s="4">
        <v>12</v>
      </c>
      <c r="AE244" s="3" t="s">
        <v>58</v>
      </c>
      <c r="AG244">
        <f t="shared" ca="1" si="9"/>
        <v>1</v>
      </c>
      <c r="AH244" s="23" t="str" cm="1">
        <f t="array" ref="AH244">_xlfn.IFS(E244&gt;49,"50+",E244&gt;39,"40-49",E244&gt;29,"30-39",E244&gt;19,"20-29")</f>
        <v>20-29</v>
      </c>
      <c r="AI244" s="24" t="str" cm="1">
        <f t="array" aca="1" ref="AI244" ca="1">_xlfn.IFS(AG244&gt;10,"10+",AG244&gt;4,"5-10 YIL",AG244&gt;2,"3-5 YIL",AG244&gt;0.9,"1-3 YIL",AG244&lt;1,"0-1 YIL")</f>
        <v>1-3 YIL</v>
      </c>
      <c r="AJ244">
        <f t="shared" si="10"/>
        <v>2025</v>
      </c>
      <c r="AK244" t="e">
        <f t="shared" si="11"/>
        <v>#VALUE!</v>
      </c>
    </row>
    <row r="245" spans="1:37" x14ac:dyDescent="0.3">
      <c r="A245" s="6" t="s">
        <v>511</v>
      </c>
      <c r="B245" s="7" t="s">
        <v>260</v>
      </c>
      <c r="C245" s="6" t="s">
        <v>48</v>
      </c>
      <c r="D245" s="14">
        <v>36874</v>
      </c>
      <c r="E245" s="8">
        <v>26</v>
      </c>
      <c r="F245" s="6" t="s">
        <v>49</v>
      </c>
      <c r="G245" s="8">
        <v>1</v>
      </c>
      <c r="H245" s="6" t="s">
        <v>35</v>
      </c>
      <c r="I245" s="7" t="s">
        <v>61</v>
      </c>
      <c r="J245" s="7" t="s">
        <v>62</v>
      </c>
      <c r="K245" s="6" t="s">
        <v>38</v>
      </c>
      <c r="L245" s="6" t="s">
        <v>63</v>
      </c>
      <c r="M245" s="7" t="s">
        <v>64</v>
      </c>
      <c r="N245" s="6" t="s">
        <v>41</v>
      </c>
      <c r="O245" s="14">
        <v>45569</v>
      </c>
      <c r="P245" s="6" t="s">
        <v>44</v>
      </c>
      <c r="Q245" s="7" t="s">
        <v>44</v>
      </c>
      <c r="R245" s="6" t="s">
        <v>44</v>
      </c>
      <c r="S245" s="6" t="s">
        <v>56</v>
      </c>
      <c r="T245" s="9">
        <v>32200</v>
      </c>
      <c r="U245" s="9">
        <v>7700</v>
      </c>
      <c r="V245" s="8">
        <v>3</v>
      </c>
      <c r="W245" s="8">
        <v>27</v>
      </c>
      <c r="X245" s="6" t="s">
        <v>57</v>
      </c>
      <c r="Y245" s="8">
        <v>3</v>
      </c>
      <c r="Z245" s="8">
        <v>0</v>
      </c>
      <c r="AA245" s="8">
        <v>0</v>
      </c>
      <c r="AB245" s="8">
        <v>0</v>
      </c>
      <c r="AC245" s="8">
        <v>3</v>
      </c>
      <c r="AD245" s="8">
        <v>7</v>
      </c>
      <c r="AE245" s="7" t="s">
        <v>45</v>
      </c>
      <c r="AG245">
        <f t="shared" ca="1" si="9"/>
        <v>1</v>
      </c>
      <c r="AH245" s="23" t="str" cm="1">
        <f t="array" ref="AH245">_xlfn.IFS(E245&gt;49,"50+",E245&gt;39,"40-49",E245&gt;29,"30-39",E245&gt;19,"20-29")</f>
        <v>20-29</v>
      </c>
      <c r="AI245" s="24" t="str" cm="1">
        <f t="array" aca="1" ref="AI245" ca="1">_xlfn.IFS(AG245&gt;10,"10+",AG245&gt;4,"5-10 YIL",AG245&gt;2,"3-5 YIL",AG245&gt;0.9,"1-3 YIL",AG245&lt;1,"0-1 YIL")</f>
        <v>1-3 YIL</v>
      </c>
      <c r="AJ245">
        <f t="shared" si="10"/>
        <v>2024</v>
      </c>
      <c r="AK245" t="e">
        <f t="shared" si="11"/>
        <v>#VALUE!</v>
      </c>
    </row>
    <row r="246" spans="1:37" x14ac:dyDescent="0.3">
      <c r="A246" s="2" t="s">
        <v>512</v>
      </c>
      <c r="B246" s="3" t="s">
        <v>413</v>
      </c>
      <c r="C246" s="2" t="s">
        <v>48</v>
      </c>
      <c r="D246" s="13">
        <v>32741</v>
      </c>
      <c r="E246" s="4">
        <v>37</v>
      </c>
      <c r="F246" s="2" t="s">
        <v>34</v>
      </c>
      <c r="G246" s="4">
        <v>0</v>
      </c>
      <c r="H246" s="2" t="s">
        <v>88</v>
      </c>
      <c r="I246" s="3" t="s">
        <v>61</v>
      </c>
      <c r="J246" s="3" t="s">
        <v>107</v>
      </c>
      <c r="K246" s="2" t="s">
        <v>51</v>
      </c>
      <c r="L246" s="2" t="s">
        <v>63</v>
      </c>
      <c r="M246" s="3" t="s">
        <v>64</v>
      </c>
      <c r="N246" s="2" t="s">
        <v>67</v>
      </c>
      <c r="O246" s="13">
        <v>42274</v>
      </c>
      <c r="P246" s="2" t="s">
        <v>44</v>
      </c>
      <c r="Q246" s="3" t="s">
        <v>44</v>
      </c>
      <c r="R246" s="2" t="s">
        <v>44</v>
      </c>
      <c r="S246" s="2" t="s">
        <v>56</v>
      </c>
      <c r="T246" s="5">
        <v>55300</v>
      </c>
      <c r="U246" s="5">
        <v>11900</v>
      </c>
      <c r="V246" s="4">
        <v>1</v>
      </c>
      <c r="W246" s="4">
        <v>30</v>
      </c>
      <c r="X246" s="2" t="s">
        <v>44</v>
      </c>
      <c r="Y246" s="4">
        <v>0</v>
      </c>
      <c r="Z246" s="4">
        <v>11</v>
      </c>
      <c r="AA246" s="4">
        <v>0</v>
      </c>
      <c r="AB246" s="4">
        <v>0</v>
      </c>
      <c r="AC246" s="4">
        <v>3</v>
      </c>
      <c r="AD246" s="4">
        <v>11</v>
      </c>
      <c r="AE246" s="3" t="s">
        <v>58</v>
      </c>
      <c r="AG246">
        <f t="shared" ca="1" si="9"/>
        <v>10</v>
      </c>
      <c r="AH246" s="23" t="str" cm="1">
        <f t="array" ref="AH246">_xlfn.IFS(E246&gt;49,"50+",E246&gt;39,"40-49",E246&gt;29,"30-39",E246&gt;19,"20-29")</f>
        <v>30-39</v>
      </c>
      <c r="AI246" s="24" t="str" cm="1">
        <f t="array" aca="1" ref="AI246" ca="1">_xlfn.IFS(AG246&gt;10,"10+",AG246&gt;4,"5-10 YIL",AG246&gt;2,"3-5 YIL",AG246&gt;0.9,"1-3 YIL",AG246&lt;1,"0-1 YIL")</f>
        <v>5-10 YIL</v>
      </c>
      <c r="AJ246">
        <f t="shared" si="10"/>
        <v>2015</v>
      </c>
      <c r="AK246" t="e">
        <f t="shared" si="11"/>
        <v>#VALUE!</v>
      </c>
    </row>
    <row r="247" spans="1:37" x14ac:dyDescent="0.3">
      <c r="A247" s="6" t="s">
        <v>513</v>
      </c>
      <c r="B247" s="7" t="s">
        <v>514</v>
      </c>
      <c r="C247" s="6" t="s">
        <v>48</v>
      </c>
      <c r="D247" s="14">
        <v>33624</v>
      </c>
      <c r="E247" s="8">
        <v>34</v>
      </c>
      <c r="F247" s="6" t="s">
        <v>49</v>
      </c>
      <c r="G247" s="8">
        <v>2</v>
      </c>
      <c r="H247" s="6" t="s">
        <v>35</v>
      </c>
      <c r="I247" s="7" t="s">
        <v>36</v>
      </c>
      <c r="J247" s="7" t="s">
        <v>50</v>
      </c>
      <c r="K247" s="6" t="s">
        <v>51</v>
      </c>
      <c r="L247" s="6" t="s">
        <v>39</v>
      </c>
      <c r="M247" s="7" t="s">
        <v>40</v>
      </c>
      <c r="N247" s="6" t="s">
        <v>41</v>
      </c>
      <c r="O247" s="14">
        <v>42264</v>
      </c>
      <c r="P247" s="6" t="s">
        <v>44</v>
      </c>
      <c r="Q247" s="7" t="s">
        <v>44</v>
      </c>
      <c r="R247" s="6" t="s">
        <v>44</v>
      </c>
      <c r="S247" s="6" t="s">
        <v>56</v>
      </c>
      <c r="T247" s="9">
        <v>41400</v>
      </c>
      <c r="U247" s="9">
        <v>0</v>
      </c>
      <c r="V247" s="8">
        <v>43</v>
      </c>
      <c r="W247" s="8">
        <v>30</v>
      </c>
      <c r="X247" s="6" t="s">
        <v>44</v>
      </c>
      <c r="Y247" s="8">
        <v>0</v>
      </c>
      <c r="Z247" s="8">
        <v>12</v>
      </c>
      <c r="AA247" s="8">
        <v>0</v>
      </c>
      <c r="AB247" s="8">
        <v>0</v>
      </c>
      <c r="AC247" s="8">
        <v>3</v>
      </c>
      <c r="AD247" s="8">
        <v>9</v>
      </c>
      <c r="AE247" s="7" t="s">
        <v>45</v>
      </c>
      <c r="AG247">
        <f t="shared" ca="1" si="9"/>
        <v>10</v>
      </c>
      <c r="AH247" s="23" t="str" cm="1">
        <f t="array" ref="AH247">_xlfn.IFS(E247&gt;49,"50+",E247&gt;39,"40-49",E247&gt;29,"30-39",E247&gt;19,"20-29")</f>
        <v>30-39</v>
      </c>
      <c r="AI247" s="24" t="str" cm="1">
        <f t="array" aca="1" ref="AI247" ca="1">_xlfn.IFS(AG247&gt;10,"10+",AG247&gt;4,"5-10 YIL",AG247&gt;2,"3-5 YIL",AG247&gt;0.9,"1-3 YIL",AG247&lt;1,"0-1 YIL")</f>
        <v>5-10 YIL</v>
      </c>
      <c r="AJ247">
        <f t="shared" si="10"/>
        <v>2015</v>
      </c>
      <c r="AK247" t="e">
        <f t="shared" si="11"/>
        <v>#VALUE!</v>
      </c>
    </row>
    <row r="248" spans="1:37" x14ac:dyDescent="0.3">
      <c r="A248" s="2" t="s">
        <v>515</v>
      </c>
      <c r="B248" s="3" t="s">
        <v>516</v>
      </c>
      <c r="C248" s="2" t="s">
        <v>33</v>
      </c>
      <c r="D248" s="13">
        <v>33338</v>
      </c>
      <c r="E248" s="4">
        <v>35</v>
      </c>
      <c r="F248" s="2" t="s">
        <v>34</v>
      </c>
      <c r="G248" s="4">
        <v>0</v>
      </c>
      <c r="H248" s="2" t="s">
        <v>85</v>
      </c>
      <c r="I248" s="3" t="s">
        <v>148</v>
      </c>
      <c r="J248" s="3" t="s">
        <v>149</v>
      </c>
      <c r="K248" s="2" t="s">
        <v>51</v>
      </c>
      <c r="L248" s="2" t="s">
        <v>63</v>
      </c>
      <c r="M248" s="3" t="s">
        <v>150</v>
      </c>
      <c r="N248" s="2" t="s">
        <v>52</v>
      </c>
      <c r="O248" s="13">
        <v>41947</v>
      </c>
      <c r="P248" s="2" t="s">
        <v>44</v>
      </c>
      <c r="Q248" s="3" t="s">
        <v>44</v>
      </c>
      <c r="R248" s="2" t="s">
        <v>44</v>
      </c>
      <c r="S248" s="2" t="s">
        <v>56</v>
      </c>
      <c r="T248" s="5">
        <v>54400</v>
      </c>
      <c r="U248" s="5">
        <v>0</v>
      </c>
      <c r="V248" s="4">
        <v>0</v>
      </c>
      <c r="W248" s="4">
        <v>30</v>
      </c>
      <c r="X248" s="2" t="s">
        <v>44</v>
      </c>
      <c r="Y248" s="4">
        <v>0</v>
      </c>
      <c r="Z248" s="4">
        <v>8</v>
      </c>
      <c r="AA248" s="4">
        <v>0</v>
      </c>
      <c r="AB248" s="4">
        <v>0</v>
      </c>
      <c r="AC248" s="4">
        <v>3</v>
      </c>
      <c r="AD248" s="4">
        <v>17</v>
      </c>
      <c r="AE248" s="3" t="s">
        <v>58</v>
      </c>
      <c r="AG248">
        <f t="shared" ca="1" si="9"/>
        <v>11</v>
      </c>
      <c r="AH248" s="23" t="str" cm="1">
        <f t="array" ref="AH248">_xlfn.IFS(E248&gt;49,"50+",E248&gt;39,"40-49",E248&gt;29,"30-39",E248&gt;19,"20-29")</f>
        <v>30-39</v>
      </c>
      <c r="AI248" s="24" t="str" cm="1">
        <f t="array" aca="1" ref="AI248" ca="1">_xlfn.IFS(AG248&gt;10,"10+",AG248&gt;4,"5-10 YIL",AG248&gt;2,"3-5 YIL",AG248&gt;0.9,"1-3 YIL",AG248&lt;1,"0-1 YIL")</f>
        <v>10+</v>
      </c>
      <c r="AJ248">
        <f t="shared" si="10"/>
        <v>2014</v>
      </c>
      <c r="AK248" t="e">
        <f t="shared" si="11"/>
        <v>#VALUE!</v>
      </c>
    </row>
    <row r="249" spans="1:37" x14ac:dyDescent="0.3">
      <c r="A249" s="6" t="s">
        <v>517</v>
      </c>
      <c r="B249" s="7" t="s">
        <v>518</v>
      </c>
      <c r="C249" s="6" t="s">
        <v>48</v>
      </c>
      <c r="D249" s="14">
        <v>37033</v>
      </c>
      <c r="E249" s="8">
        <v>25</v>
      </c>
      <c r="F249" s="6" t="s">
        <v>49</v>
      </c>
      <c r="G249" s="8">
        <v>2</v>
      </c>
      <c r="H249" s="6" t="s">
        <v>35</v>
      </c>
      <c r="I249" s="7" t="s">
        <v>139</v>
      </c>
      <c r="J249" s="7" t="s">
        <v>235</v>
      </c>
      <c r="K249" s="6" t="s">
        <v>38</v>
      </c>
      <c r="L249" s="6" t="s">
        <v>63</v>
      </c>
      <c r="M249" s="7" t="s">
        <v>162</v>
      </c>
      <c r="N249" s="6" t="s">
        <v>41</v>
      </c>
      <c r="O249" s="14">
        <v>45551</v>
      </c>
      <c r="P249" s="6" t="s">
        <v>44</v>
      </c>
      <c r="Q249" s="7" t="s">
        <v>44</v>
      </c>
      <c r="R249" s="6" t="s">
        <v>44</v>
      </c>
      <c r="S249" s="6" t="s">
        <v>56</v>
      </c>
      <c r="T249" s="9">
        <v>46300</v>
      </c>
      <c r="U249" s="9">
        <v>0</v>
      </c>
      <c r="V249" s="8">
        <v>6</v>
      </c>
      <c r="W249" s="8">
        <v>30</v>
      </c>
      <c r="X249" s="6" t="s">
        <v>44</v>
      </c>
      <c r="Y249" s="8">
        <v>0</v>
      </c>
      <c r="Z249" s="8">
        <v>14</v>
      </c>
      <c r="AA249" s="8">
        <v>0</v>
      </c>
      <c r="AB249" s="8">
        <v>0</v>
      </c>
      <c r="AC249" s="8">
        <v>4</v>
      </c>
      <c r="AD249" s="8">
        <v>16</v>
      </c>
      <c r="AE249" s="7" t="s">
        <v>45</v>
      </c>
      <c r="AG249">
        <f t="shared" ca="1" si="9"/>
        <v>1</v>
      </c>
      <c r="AH249" s="23" t="str" cm="1">
        <f t="array" ref="AH249">_xlfn.IFS(E249&gt;49,"50+",E249&gt;39,"40-49",E249&gt;29,"30-39",E249&gt;19,"20-29")</f>
        <v>20-29</v>
      </c>
      <c r="AI249" s="24" t="str" cm="1">
        <f t="array" aca="1" ref="AI249" ca="1">_xlfn.IFS(AG249&gt;10,"10+",AG249&gt;4,"5-10 YIL",AG249&gt;2,"3-5 YIL",AG249&gt;0.9,"1-3 YIL",AG249&lt;1,"0-1 YIL")</f>
        <v>1-3 YIL</v>
      </c>
      <c r="AJ249">
        <f t="shared" si="10"/>
        <v>2024</v>
      </c>
      <c r="AK249" t="e">
        <f t="shared" si="11"/>
        <v>#VALUE!</v>
      </c>
    </row>
    <row r="250" spans="1:37" x14ac:dyDescent="0.3">
      <c r="A250" s="2" t="s">
        <v>519</v>
      </c>
      <c r="B250" s="3" t="s">
        <v>520</v>
      </c>
      <c r="C250" s="2" t="s">
        <v>48</v>
      </c>
      <c r="D250" s="13">
        <v>35906</v>
      </c>
      <c r="E250" s="4">
        <v>28</v>
      </c>
      <c r="F250" s="2" t="s">
        <v>49</v>
      </c>
      <c r="G250" s="4">
        <v>2</v>
      </c>
      <c r="H250" s="2" t="s">
        <v>35</v>
      </c>
      <c r="I250" s="3" t="s">
        <v>36</v>
      </c>
      <c r="J250" s="3" t="s">
        <v>37</v>
      </c>
      <c r="K250" s="2" t="s">
        <v>38</v>
      </c>
      <c r="L250" s="2" t="s">
        <v>39</v>
      </c>
      <c r="M250" s="3" t="s">
        <v>40</v>
      </c>
      <c r="N250" s="2" t="s">
        <v>67</v>
      </c>
      <c r="O250" s="13">
        <v>44881</v>
      </c>
      <c r="P250" s="2" t="s">
        <v>44</v>
      </c>
      <c r="Q250" s="3" t="s">
        <v>44</v>
      </c>
      <c r="R250" s="2" t="s">
        <v>44</v>
      </c>
      <c r="S250" s="2" t="s">
        <v>56</v>
      </c>
      <c r="T250" s="5">
        <v>24900</v>
      </c>
      <c r="U250" s="5">
        <v>0</v>
      </c>
      <c r="V250" s="4">
        <v>35</v>
      </c>
      <c r="W250" s="4">
        <v>24</v>
      </c>
      <c r="X250" s="2" t="s">
        <v>57</v>
      </c>
      <c r="Y250" s="4">
        <v>3</v>
      </c>
      <c r="Z250" s="4">
        <v>4</v>
      </c>
      <c r="AA250" s="4">
        <v>3</v>
      </c>
      <c r="AB250" s="4">
        <v>0</v>
      </c>
      <c r="AC250" s="4">
        <v>2</v>
      </c>
      <c r="AD250" s="4">
        <v>8</v>
      </c>
      <c r="AE250" s="3" t="s">
        <v>45</v>
      </c>
      <c r="AG250">
        <f t="shared" ca="1" si="9"/>
        <v>3</v>
      </c>
      <c r="AH250" s="23" t="str" cm="1">
        <f t="array" ref="AH250">_xlfn.IFS(E250&gt;49,"50+",E250&gt;39,"40-49",E250&gt;29,"30-39",E250&gt;19,"20-29")</f>
        <v>20-29</v>
      </c>
      <c r="AI250" s="24" t="str" cm="1">
        <f t="array" aca="1" ref="AI250" ca="1">_xlfn.IFS(AG250&gt;10,"10+",AG250&gt;4,"5-10 YIL",AG250&gt;2,"3-5 YIL",AG250&gt;0.9,"1-3 YIL",AG250&lt;1,"0-1 YIL")</f>
        <v>3-5 YIL</v>
      </c>
      <c r="AJ250">
        <f t="shared" si="10"/>
        <v>2022</v>
      </c>
      <c r="AK250" t="e">
        <f t="shared" si="11"/>
        <v>#VALUE!</v>
      </c>
    </row>
    <row r="251" spans="1:37" x14ac:dyDescent="0.3">
      <c r="A251" s="6" t="s">
        <v>521</v>
      </c>
      <c r="B251" s="7" t="s">
        <v>522</v>
      </c>
      <c r="C251" s="6" t="s">
        <v>33</v>
      </c>
      <c r="D251" s="14">
        <v>37630</v>
      </c>
      <c r="E251" s="8">
        <v>23</v>
      </c>
      <c r="F251" s="6" t="s">
        <v>34</v>
      </c>
      <c r="G251" s="8">
        <v>0</v>
      </c>
      <c r="H251" s="6" t="s">
        <v>85</v>
      </c>
      <c r="I251" s="7" t="s">
        <v>36</v>
      </c>
      <c r="J251" s="7" t="s">
        <v>37</v>
      </c>
      <c r="K251" s="6" t="s">
        <v>38</v>
      </c>
      <c r="L251" s="6" t="s">
        <v>39</v>
      </c>
      <c r="M251" s="7" t="s">
        <v>40</v>
      </c>
      <c r="N251" s="6" t="s">
        <v>95</v>
      </c>
      <c r="O251" s="14">
        <v>46162</v>
      </c>
      <c r="P251" s="6" t="s">
        <v>44</v>
      </c>
      <c r="Q251" s="7" t="s">
        <v>44</v>
      </c>
      <c r="R251" s="6" t="s">
        <v>44</v>
      </c>
      <c r="S251" s="6" t="s">
        <v>56</v>
      </c>
      <c r="T251" s="9">
        <v>26900</v>
      </c>
      <c r="U251" s="9">
        <v>0</v>
      </c>
      <c r="V251" s="8">
        <v>44</v>
      </c>
      <c r="W251" s="8">
        <v>29</v>
      </c>
      <c r="X251" s="6" t="s">
        <v>81</v>
      </c>
      <c r="Y251" s="8">
        <v>0</v>
      </c>
      <c r="Z251" s="8">
        <v>0</v>
      </c>
      <c r="AA251" s="8">
        <v>1</v>
      </c>
      <c r="AB251" s="8">
        <v>0</v>
      </c>
      <c r="AC251" s="8">
        <v>4</v>
      </c>
      <c r="AD251" s="8">
        <v>27</v>
      </c>
      <c r="AE251" s="7" t="s">
        <v>82</v>
      </c>
      <c r="AG251">
        <f t="shared" ca="1" si="9"/>
        <v>0</v>
      </c>
      <c r="AH251" s="23" t="str" cm="1">
        <f t="array" ref="AH251">_xlfn.IFS(E251&gt;49,"50+",E251&gt;39,"40-49",E251&gt;29,"30-39",E251&gt;19,"20-29")</f>
        <v>20-29</v>
      </c>
      <c r="AI251" s="24" t="str" cm="1">
        <f t="array" aca="1" ref="AI251" ca="1">_xlfn.IFS(AG251&gt;10,"10+",AG251&gt;4,"5-10 YIL",AG251&gt;2,"3-5 YIL",AG251&gt;0.9,"1-3 YIL",AG251&lt;1,"0-1 YIL")</f>
        <v>0-1 YIL</v>
      </c>
      <c r="AJ251">
        <f t="shared" si="10"/>
        <v>2026</v>
      </c>
      <c r="AK251" t="e">
        <f t="shared" si="11"/>
        <v>#VALUE!</v>
      </c>
    </row>
    <row r="252" spans="1:37" x14ac:dyDescent="0.3">
      <c r="A252" s="2" t="s">
        <v>523</v>
      </c>
      <c r="B252" s="3" t="s">
        <v>524</v>
      </c>
      <c r="C252" s="2" t="s">
        <v>33</v>
      </c>
      <c r="D252" s="13">
        <v>29752</v>
      </c>
      <c r="E252" s="4">
        <v>45</v>
      </c>
      <c r="F252" s="2" t="s">
        <v>34</v>
      </c>
      <c r="G252" s="4">
        <v>0</v>
      </c>
      <c r="H252" s="2" t="s">
        <v>35</v>
      </c>
      <c r="I252" s="3" t="s">
        <v>70</v>
      </c>
      <c r="J252" s="3" t="s">
        <v>129</v>
      </c>
      <c r="K252" s="2" t="s">
        <v>79</v>
      </c>
      <c r="L252" s="2" t="s">
        <v>63</v>
      </c>
      <c r="M252" s="3" t="s">
        <v>80</v>
      </c>
      <c r="N252" s="2" t="s">
        <v>67</v>
      </c>
      <c r="O252" s="13">
        <v>41165</v>
      </c>
      <c r="P252" s="2" t="s">
        <v>44</v>
      </c>
      <c r="Q252" s="3" t="s">
        <v>44</v>
      </c>
      <c r="R252" s="2" t="s">
        <v>44</v>
      </c>
      <c r="S252" s="2" t="s">
        <v>56</v>
      </c>
      <c r="T252" s="5">
        <v>109800</v>
      </c>
      <c r="U252" s="5">
        <v>7700</v>
      </c>
      <c r="V252" s="4">
        <v>1</v>
      </c>
      <c r="W252" s="4">
        <v>30</v>
      </c>
      <c r="X252" s="2" t="s">
        <v>44</v>
      </c>
      <c r="Y252" s="4">
        <v>0</v>
      </c>
      <c r="Z252" s="4">
        <v>6</v>
      </c>
      <c r="AA252" s="4">
        <v>0</v>
      </c>
      <c r="AB252" s="4">
        <v>0</v>
      </c>
      <c r="AC252" s="4">
        <v>3</v>
      </c>
      <c r="AD252" s="4">
        <v>5</v>
      </c>
      <c r="AE252" s="3" t="s">
        <v>58</v>
      </c>
      <c r="AG252">
        <f t="shared" ca="1" si="9"/>
        <v>13</v>
      </c>
      <c r="AH252" s="23" t="str" cm="1">
        <f t="array" ref="AH252">_xlfn.IFS(E252&gt;49,"50+",E252&gt;39,"40-49",E252&gt;29,"30-39",E252&gt;19,"20-29")</f>
        <v>40-49</v>
      </c>
      <c r="AI252" s="24" t="str" cm="1">
        <f t="array" aca="1" ref="AI252" ca="1">_xlfn.IFS(AG252&gt;10,"10+",AG252&gt;4,"5-10 YIL",AG252&gt;2,"3-5 YIL",AG252&gt;0.9,"1-3 YIL",AG252&lt;1,"0-1 YIL")</f>
        <v>10+</v>
      </c>
      <c r="AJ252">
        <f t="shared" si="10"/>
        <v>2012</v>
      </c>
      <c r="AK252" t="e">
        <f t="shared" si="11"/>
        <v>#VALUE!</v>
      </c>
    </row>
    <row r="253" spans="1:37" x14ac:dyDescent="0.3">
      <c r="A253" s="6" t="s">
        <v>525</v>
      </c>
      <c r="B253" s="7" t="s">
        <v>526</v>
      </c>
      <c r="C253" s="6" t="s">
        <v>48</v>
      </c>
      <c r="D253" s="14">
        <v>36571</v>
      </c>
      <c r="E253" s="8">
        <v>26</v>
      </c>
      <c r="F253" s="6" t="s">
        <v>34</v>
      </c>
      <c r="G253" s="8">
        <v>0</v>
      </c>
      <c r="H253" s="6" t="s">
        <v>35</v>
      </c>
      <c r="I253" s="7" t="s">
        <v>36</v>
      </c>
      <c r="J253" s="7" t="s">
        <v>37</v>
      </c>
      <c r="K253" s="6" t="s">
        <v>38</v>
      </c>
      <c r="L253" s="6" t="s">
        <v>39</v>
      </c>
      <c r="M253" s="7" t="s">
        <v>40</v>
      </c>
      <c r="N253" s="6" t="s">
        <v>67</v>
      </c>
      <c r="O253" s="14">
        <v>46146</v>
      </c>
      <c r="P253" s="14">
        <v>46169</v>
      </c>
      <c r="Q253" s="7" t="s">
        <v>53</v>
      </c>
      <c r="R253" s="6">
        <v>4</v>
      </c>
      <c r="S253" s="6" t="s">
        <v>43</v>
      </c>
      <c r="T253" s="9">
        <v>26100</v>
      </c>
      <c r="U253" s="9">
        <v>0</v>
      </c>
      <c r="V253" s="8">
        <v>41</v>
      </c>
      <c r="W253" s="8">
        <v>30</v>
      </c>
      <c r="X253" s="6" t="s">
        <v>44</v>
      </c>
      <c r="Y253" s="8">
        <v>0</v>
      </c>
      <c r="Z253" s="8">
        <v>0</v>
      </c>
      <c r="AA253" s="8">
        <v>0</v>
      </c>
      <c r="AB253" s="8">
        <v>0</v>
      </c>
      <c r="AC253" s="8">
        <v>3</v>
      </c>
      <c r="AD253" s="8">
        <v>11</v>
      </c>
      <c r="AE253" s="7" t="s">
        <v>58</v>
      </c>
      <c r="AG253">
        <f t="shared" ca="1" si="9"/>
        <v>0</v>
      </c>
      <c r="AH253" s="23" t="str" cm="1">
        <f t="array" ref="AH253">_xlfn.IFS(E253&gt;49,"50+",E253&gt;39,"40-49",E253&gt;29,"30-39",E253&gt;19,"20-29")</f>
        <v>20-29</v>
      </c>
      <c r="AI253" s="24" t="str" cm="1">
        <f t="array" aca="1" ref="AI253" ca="1">_xlfn.IFS(AG253&gt;10,"10+",AG253&gt;4,"5-10 YIL",AG253&gt;2,"3-5 YIL",AG253&gt;0.9,"1-3 YIL",AG253&lt;1,"0-1 YIL")</f>
        <v>0-1 YIL</v>
      </c>
      <c r="AJ253">
        <f t="shared" si="10"/>
        <v>2026</v>
      </c>
      <c r="AK253">
        <f t="shared" si="11"/>
        <v>2026</v>
      </c>
    </row>
    <row r="254" spans="1:37" x14ac:dyDescent="0.3">
      <c r="A254" s="2" t="s">
        <v>527</v>
      </c>
      <c r="B254" s="3" t="s">
        <v>528</v>
      </c>
      <c r="C254" s="2" t="s">
        <v>33</v>
      </c>
      <c r="D254" s="13">
        <v>38222</v>
      </c>
      <c r="E254" s="4">
        <v>22</v>
      </c>
      <c r="F254" s="2" t="s">
        <v>34</v>
      </c>
      <c r="G254" s="4">
        <v>0</v>
      </c>
      <c r="H254" s="2" t="s">
        <v>88</v>
      </c>
      <c r="I254" s="3" t="s">
        <v>36</v>
      </c>
      <c r="J254" s="3" t="s">
        <v>37</v>
      </c>
      <c r="K254" s="2" t="s">
        <v>38</v>
      </c>
      <c r="L254" s="2" t="s">
        <v>39</v>
      </c>
      <c r="M254" s="3" t="s">
        <v>40</v>
      </c>
      <c r="N254" s="2" t="s">
        <v>41</v>
      </c>
      <c r="O254" s="13">
        <v>44840</v>
      </c>
      <c r="P254" s="2" t="s">
        <v>44</v>
      </c>
      <c r="Q254" s="3" t="s">
        <v>44</v>
      </c>
      <c r="R254" s="2" t="s">
        <v>44</v>
      </c>
      <c r="S254" s="2" t="s">
        <v>56</v>
      </c>
      <c r="T254" s="5">
        <v>28600</v>
      </c>
      <c r="U254" s="5">
        <v>0</v>
      </c>
      <c r="V254" s="4">
        <v>43</v>
      </c>
      <c r="W254" s="4">
        <v>28</v>
      </c>
      <c r="X254" s="2" t="s">
        <v>57</v>
      </c>
      <c r="Y254" s="4">
        <v>2</v>
      </c>
      <c r="Z254" s="4">
        <v>9</v>
      </c>
      <c r="AA254" s="4">
        <v>0</v>
      </c>
      <c r="AB254" s="4">
        <v>0</v>
      </c>
      <c r="AC254" s="4">
        <v>4</v>
      </c>
      <c r="AD254" s="4">
        <v>26</v>
      </c>
      <c r="AE254" s="3" t="s">
        <v>58</v>
      </c>
      <c r="AG254">
        <f t="shared" ca="1" si="9"/>
        <v>3</v>
      </c>
      <c r="AH254" s="23" t="str" cm="1">
        <f t="array" ref="AH254">_xlfn.IFS(E254&gt;49,"50+",E254&gt;39,"40-49",E254&gt;29,"30-39",E254&gt;19,"20-29")</f>
        <v>20-29</v>
      </c>
      <c r="AI254" s="24" t="str" cm="1">
        <f t="array" aca="1" ref="AI254" ca="1">_xlfn.IFS(AG254&gt;10,"10+",AG254&gt;4,"5-10 YIL",AG254&gt;2,"3-5 YIL",AG254&gt;0.9,"1-3 YIL",AG254&lt;1,"0-1 YIL")</f>
        <v>3-5 YIL</v>
      </c>
      <c r="AJ254">
        <f t="shared" si="10"/>
        <v>2022</v>
      </c>
      <c r="AK254" t="e">
        <f t="shared" si="11"/>
        <v>#VALUE!</v>
      </c>
    </row>
    <row r="255" spans="1:37" x14ac:dyDescent="0.3">
      <c r="A255" s="6" t="s">
        <v>529</v>
      </c>
      <c r="B255" s="7" t="s">
        <v>530</v>
      </c>
      <c r="C255" s="6" t="s">
        <v>48</v>
      </c>
      <c r="D255" s="14">
        <v>31921</v>
      </c>
      <c r="E255" s="8">
        <v>39</v>
      </c>
      <c r="F255" s="6" t="s">
        <v>49</v>
      </c>
      <c r="G255" s="8">
        <v>2</v>
      </c>
      <c r="H255" s="6" t="s">
        <v>35</v>
      </c>
      <c r="I255" s="7" t="s">
        <v>70</v>
      </c>
      <c r="J255" s="7" t="s">
        <v>71</v>
      </c>
      <c r="K255" s="6" t="s">
        <v>51</v>
      </c>
      <c r="L255" s="6" t="s">
        <v>63</v>
      </c>
      <c r="M255" s="7" t="s">
        <v>72</v>
      </c>
      <c r="N255" s="6" t="s">
        <v>89</v>
      </c>
      <c r="O255" s="14">
        <v>42691</v>
      </c>
      <c r="P255" s="6" t="s">
        <v>44</v>
      </c>
      <c r="Q255" s="7" t="s">
        <v>44</v>
      </c>
      <c r="R255" s="6" t="s">
        <v>44</v>
      </c>
      <c r="S255" s="6" t="s">
        <v>56</v>
      </c>
      <c r="T255" s="9">
        <v>57500</v>
      </c>
      <c r="U255" s="9">
        <v>0</v>
      </c>
      <c r="V255" s="8">
        <v>6</v>
      </c>
      <c r="W255" s="8">
        <v>25</v>
      </c>
      <c r="X255" s="6" t="s">
        <v>57</v>
      </c>
      <c r="Y255" s="8">
        <v>5</v>
      </c>
      <c r="Z255" s="8">
        <v>14</v>
      </c>
      <c r="AA255" s="8">
        <v>0</v>
      </c>
      <c r="AB255" s="8">
        <v>0</v>
      </c>
      <c r="AC255" s="8">
        <v>3</v>
      </c>
      <c r="AD255" s="8">
        <v>6</v>
      </c>
      <c r="AE255" s="7" t="s">
        <v>82</v>
      </c>
      <c r="AG255">
        <f t="shared" ca="1" si="9"/>
        <v>9</v>
      </c>
      <c r="AH255" s="23" t="str" cm="1">
        <f t="array" ref="AH255">_xlfn.IFS(E255&gt;49,"50+",E255&gt;39,"40-49",E255&gt;29,"30-39",E255&gt;19,"20-29")</f>
        <v>30-39</v>
      </c>
      <c r="AI255" s="24" t="str" cm="1">
        <f t="array" aca="1" ref="AI255" ca="1">_xlfn.IFS(AG255&gt;10,"10+",AG255&gt;4,"5-10 YIL",AG255&gt;2,"3-5 YIL",AG255&gt;0.9,"1-3 YIL",AG255&lt;1,"0-1 YIL")</f>
        <v>5-10 YIL</v>
      </c>
      <c r="AJ255">
        <f t="shared" si="10"/>
        <v>2016</v>
      </c>
      <c r="AK255" t="e">
        <f t="shared" si="11"/>
        <v>#VALUE!</v>
      </c>
    </row>
    <row r="256" spans="1:37" x14ac:dyDescent="0.3">
      <c r="A256" s="2" t="s">
        <v>531</v>
      </c>
      <c r="B256" s="3" t="s">
        <v>220</v>
      </c>
      <c r="C256" s="2" t="s">
        <v>33</v>
      </c>
      <c r="D256" s="13">
        <v>36924</v>
      </c>
      <c r="E256" s="4">
        <v>25</v>
      </c>
      <c r="F256" s="2" t="s">
        <v>49</v>
      </c>
      <c r="G256" s="4">
        <v>0</v>
      </c>
      <c r="H256" s="2" t="s">
        <v>35</v>
      </c>
      <c r="I256" s="3" t="s">
        <v>36</v>
      </c>
      <c r="J256" s="3" t="s">
        <v>37</v>
      </c>
      <c r="K256" s="2" t="s">
        <v>38</v>
      </c>
      <c r="L256" s="2" t="s">
        <v>39</v>
      </c>
      <c r="M256" s="3" t="s">
        <v>40</v>
      </c>
      <c r="N256" s="2" t="s">
        <v>41</v>
      </c>
      <c r="O256" s="13">
        <v>45119</v>
      </c>
      <c r="P256" s="2" t="s">
        <v>44</v>
      </c>
      <c r="Q256" s="3" t="s">
        <v>44</v>
      </c>
      <c r="R256" s="2" t="s">
        <v>44</v>
      </c>
      <c r="S256" s="2" t="s">
        <v>56</v>
      </c>
      <c r="T256" s="5">
        <v>26000</v>
      </c>
      <c r="U256" s="5">
        <v>0</v>
      </c>
      <c r="V256" s="4">
        <v>22</v>
      </c>
      <c r="W256" s="4">
        <v>30</v>
      </c>
      <c r="X256" s="2" t="s">
        <v>44</v>
      </c>
      <c r="Y256" s="4">
        <v>0</v>
      </c>
      <c r="Z256" s="4">
        <v>9</v>
      </c>
      <c r="AA256" s="4">
        <v>0</v>
      </c>
      <c r="AB256" s="4">
        <v>0</v>
      </c>
      <c r="AC256" s="4">
        <v>5</v>
      </c>
      <c r="AD256" s="4">
        <v>30</v>
      </c>
      <c r="AE256" s="3" t="s">
        <v>58</v>
      </c>
      <c r="AG256">
        <f t="shared" ca="1" si="9"/>
        <v>2</v>
      </c>
      <c r="AH256" s="23" t="str" cm="1">
        <f t="array" ref="AH256">_xlfn.IFS(E256&gt;49,"50+",E256&gt;39,"40-49",E256&gt;29,"30-39",E256&gt;19,"20-29")</f>
        <v>20-29</v>
      </c>
      <c r="AI256" s="24" t="str" cm="1">
        <f t="array" aca="1" ref="AI256" ca="1">_xlfn.IFS(AG256&gt;10,"10+",AG256&gt;4,"5-10 YIL",AG256&gt;2,"3-5 YIL",AG256&gt;0.9,"1-3 YIL",AG256&lt;1,"0-1 YIL")</f>
        <v>1-3 YIL</v>
      </c>
      <c r="AJ256">
        <f t="shared" si="10"/>
        <v>2023</v>
      </c>
      <c r="AK256" t="e">
        <f t="shared" si="11"/>
        <v>#VALUE!</v>
      </c>
    </row>
    <row r="257" spans="1:37" x14ac:dyDescent="0.3">
      <c r="A257" s="6" t="s">
        <v>532</v>
      </c>
      <c r="B257" s="7" t="s">
        <v>533</v>
      </c>
      <c r="C257" s="6" t="s">
        <v>33</v>
      </c>
      <c r="D257" s="14">
        <v>36258</v>
      </c>
      <c r="E257" s="8">
        <v>27</v>
      </c>
      <c r="F257" s="6" t="s">
        <v>34</v>
      </c>
      <c r="G257" s="8">
        <v>0</v>
      </c>
      <c r="H257" s="6" t="s">
        <v>35</v>
      </c>
      <c r="I257" s="7" t="s">
        <v>139</v>
      </c>
      <c r="J257" s="7" t="s">
        <v>235</v>
      </c>
      <c r="K257" s="6" t="s">
        <v>38</v>
      </c>
      <c r="L257" s="6" t="s">
        <v>63</v>
      </c>
      <c r="M257" s="7" t="s">
        <v>162</v>
      </c>
      <c r="N257" s="6" t="s">
        <v>41</v>
      </c>
      <c r="O257" s="14">
        <v>45278</v>
      </c>
      <c r="P257" s="6" t="s">
        <v>44</v>
      </c>
      <c r="Q257" s="7" t="s">
        <v>44</v>
      </c>
      <c r="R257" s="6" t="s">
        <v>44</v>
      </c>
      <c r="S257" s="6" t="s">
        <v>56</v>
      </c>
      <c r="T257" s="9">
        <v>45400</v>
      </c>
      <c r="U257" s="9">
        <v>0</v>
      </c>
      <c r="V257" s="8">
        <v>7</v>
      </c>
      <c r="W257" s="8">
        <v>28</v>
      </c>
      <c r="X257" s="6" t="s">
        <v>57</v>
      </c>
      <c r="Y257" s="8">
        <v>2</v>
      </c>
      <c r="Z257" s="8">
        <v>0</v>
      </c>
      <c r="AA257" s="8">
        <v>0</v>
      </c>
      <c r="AB257" s="8">
        <v>0</v>
      </c>
      <c r="AC257" s="8">
        <v>5</v>
      </c>
      <c r="AD257" s="8">
        <v>23</v>
      </c>
      <c r="AE257" s="7" t="s">
        <v>58</v>
      </c>
      <c r="AG257">
        <f t="shared" ca="1" si="9"/>
        <v>2</v>
      </c>
      <c r="AH257" s="23" t="str" cm="1">
        <f t="array" ref="AH257">_xlfn.IFS(E257&gt;49,"50+",E257&gt;39,"40-49",E257&gt;29,"30-39",E257&gt;19,"20-29")</f>
        <v>20-29</v>
      </c>
      <c r="AI257" s="24" t="str" cm="1">
        <f t="array" aca="1" ref="AI257" ca="1">_xlfn.IFS(AG257&gt;10,"10+",AG257&gt;4,"5-10 YIL",AG257&gt;2,"3-5 YIL",AG257&gt;0.9,"1-3 YIL",AG257&lt;1,"0-1 YIL")</f>
        <v>1-3 YIL</v>
      </c>
      <c r="AJ257">
        <f t="shared" si="10"/>
        <v>2023</v>
      </c>
      <c r="AK257" t="e">
        <f t="shared" si="11"/>
        <v>#VALUE!</v>
      </c>
    </row>
    <row r="258" spans="1:37" x14ac:dyDescent="0.3">
      <c r="A258" s="2" t="s">
        <v>534</v>
      </c>
      <c r="B258" s="3" t="s">
        <v>170</v>
      </c>
      <c r="C258" s="2" t="s">
        <v>48</v>
      </c>
      <c r="D258" s="13">
        <v>36499</v>
      </c>
      <c r="E258" s="4">
        <v>27</v>
      </c>
      <c r="F258" s="2" t="s">
        <v>49</v>
      </c>
      <c r="G258" s="4">
        <v>1</v>
      </c>
      <c r="H258" s="2" t="s">
        <v>85</v>
      </c>
      <c r="I258" s="3" t="s">
        <v>36</v>
      </c>
      <c r="J258" s="3" t="s">
        <v>37</v>
      </c>
      <c r="K258" s="2" t="s">
        <v>38</v>
      </c>
      <c r="L258" s="2" t="s">
        <v>39</v>
      </c>
      <c r="M258" s="3" t="s">
        <v>40</v>
      </c>
      <c r="N258" s="2" t="s">
        <v>52</v>
      </c>
      <c r="O258" s="13">
        <v>46054</v>
      </c>
      <c r="P258" s="2" t="s">
        <v>44</v>
      </c>
      <c r="Q258" s="3" t="s">
        <v>44</v>
      </c>
      <c r="R258" s="2" t="s">
        <v>44</v>
      </c>
      <c r="S258" s="2" t="s">
        <v>56</v>
      </c>
      <c r="T258" s="5">
        <v>28500</v>
      </c>
      <c r="U258" s="5">
        <v>0</v>
      </c>
      <c r="V258" s="4">
        <v>28</v>
      </c>
      <c r="W258" s="4">
        <v>27</v>
      </c>
      <c r="X258" s="2" t="s">
        <v>81</v>
      </c>
      <c r="Y258" s="4">
        <v>0</v>
      </c>
      <c r="Z258" s="4">
        <v>0</v>
      </c>
      <c r="AA258" s="4">
        <v>3</v>
      </c>
      <c r="AB258" s="4">
        <v>0</v>
      </c>
      <c r="AC258" s="4">
        <v>3</v>
      </c>
      <c r="AD258" s="4">
        <v>10</v>
      </c>
      <c r="AE258" s="3" t="s">
        <v>58</v>
      </c>
      <c r="AG258">
        <f t="shared" ca="1" si="9"/>
        <v>0</v>
      </c>
      <c r="AH258" s="23" t="str" cm="1">
        <f t="array" ref="AH258">_xlfn.IFS(E258&gt;49,"50+",E258&gt;39,"40-49",E258&gt;29,"30-39",E258&gt;19,"20-29")</f>
        <v>20-29</v>
      </c>
      <c r="AI258" s="24" t="str" cm="1">
        <f t="array" aca="1" ref="AI258" ca="1">_xlfn.IFS(AG258&gt;10,"10+",AG258&gt;4,"5-10 YIL",AG258&gt;2,"3-5 YIL",AG258&gt;0.9,"1-3 YIL",AG258&lt;1,"0-1 YIL")</f>
        <v>0-1 YIL</v>
      </c>
      <c r="AJ258">
        <f t="shared" si="10"/>
        <v>2026</v>
      </c>
      <c r="AK258" t="e">
        <f t="shared" si="11"/>
        <v>#VALUE!</v>
      </c>
    </row>
    <row r="259" spans="1:37" x14ac:dyDescent="0.3">
      <c r="A259" s="6" t="s">
        <v>535</v>
      </c>
      <c r="B259" s="7" t="s">
        <v>536</v>
      </c>
      <c r="C259" s="6" t="s">
        <v>48</v>
      </c>
      <c r="D259" s="14">
        <v>34102</v>
      </c>
      <c r="E259" s="8">
        <v>33</v>
      </c>
      <c r="F259" s="6" t="s">
        <v>49</v>
      </c>
      <c r="G259" s="8">
        <v>0</v>
      </c>
      <c r="H259" s="6" t="s">
        <v>88</v>
      </c>
      <c r="I259" s="7" t="s">
        <v>36</v>
      </c>
      <c r="J259" s="7" t="s">
        <v>50</v>
      </c>
      <c r="K259" s="6" t="s">
        <v>51</v>
      </c>
      <c r="L259" s="6" t="s">
        <v>39</v>
      </c>
      <c r="M259" s="7" t="s">
        <v>40</v>
      </c>
      <c r="N259" s="6" t="s">
        <v>89</v>
      </c>
      <c r="O259" s="14">
        <v>44261</v>
      </c>
      <c r="P259" s="6" t="s">
        <v>44</v>
      </c>
      <c r="Q259" s="7" t="s">
        <v>44</v>
      </c>
      <c r="R259" s="6" t="s">
        <v>44</v>
      </c>
      <c r="S259" s="6" t="s">
        <v>56</v>
      </c>
      <c r="T259" s="9">
        <v>43000</v>
      </c>
      <c r="U259" s="9">
        <v>0</v>
      </c>
      <c r="V259" s="8">
        <v>28</v>
      </c>
      <c r="W259" s="8">
        <v>27</v>
      </c>
      <c r="X259" s="6" t="s">
        <v>57</v>
      </c>
      <c r="Y259" s="8">
        <v>3</v>
      </c>
      <c r="Z259" s="8">
        <v>14</v>
      </c>
      <c r="AA259" s="8">
        <v>0</v>
      </c>
      <c r="AB259" s="8">
        <v>0</v>
      </c>
      <c r="AC259" s="8">
        <v>4</v>
      </c>
      <c r="AD259" s="8">
        <v>20</v>
      </c>
      <c r="AE259" s="7" t="s">
        <v>45</v>
      </c>
      <c r="AG259">
        <f t="shared" ref="AG259:AG322" ca="1" si="12">DATEDIF(O259,TODAY(),"Y")</f>
        <v>5</v>
      </c>
      <c r="AH259" s="23" t="str" cm="1">
        <f t="array" ref="AH259">_xlfn.IFS(E259&gt;49,"50+",E259&gt;39,"40-49",E259&gt;29,"30-39",E259&gt;19,"20-29")</f>
        <v>30-39</v>
      </c>
      <c r="AI259" s="24" t="str" cm="1">
        <f t="array" aca="1" ref="AI259" ca="1">_xlfn.IFS(AG259&gt;10,"10+",AG259&gt;4,"5-10 YIL",AG259&gt;2,"3-5 YIL",AG259&gt;0.9,"1-3 YIL",AG259&lt;1,"0-1 YIL")</f>
        <v>5-10 YIL</v>
      </c>
      <c r="AJ259">
        <f t="shared" ref="AJ259:AJ322" si="13">YEAR(O259)</f>
        <v>2021</v>
      </c>
      <c r="AK259" t="e">
        <f t="shared" ref="AK259:AK322" si="14">YEAR(P259)</f>
        <v>#VALUE!</v>
      </c>
    </row>
    <row r="260" spans="1:37" x14ac:dyDescent="0.3">
      <c r="A260" s="2" t="s">
        <v>537</v>
      </c>
      <c r="B260" s="3" t="s">
        <v>415</v>
      </c>
      <c r="C260" s="2" t="s">
        <v>33</v>
      </c>
      <c r="D260" s="13">
        <v>38085</v>
      </c>
      <c r="E260" s="4">
        <v>22</v>
      </c>
      <c r="F260" s="2" t="s">
        <v>34</v>
      </c>
      <c r="G260" s="4">
        <v>0</v>
      </c>
      <c r="H260" s="2" t="s">
        <v>35</v>
      </c>
      <c r="I260" s="3" t="s">
        <v>36</v>
      </c>
      <c r="J260" s="3" t="s">
        <v>37</v>
      </c>
      <c r="K260" s="2" t="s">
        <v>38</v>
      </c>
      <c r="L260" s="2" t="s">
        <v>39</v>
      </c>
      <c r="M260" s="3" t="s">
        <v>40</v>
      </c>
      <c r="N260" s="2" t="s">
        <v>52</v>
      </c>
      <c r="O260" s="13">
        <v>45247</v>
      </c>
      <c r="P260" s="2" t="s">
        <v>44</v>
      </c>
      <c r="Q260" s="3" t="s">
        <v>44</v>
      </c>
      <c r="R260" s="2" t="s">
        <v>44</v>
      </c>
      <c r="S260" s="2" t="s">
        <v>56</v>
      </c>
      <c r="T260" s="5">
        <v>28000</v>
      </c>
      <c r="U260" s="5">
        <v>0</v>
      </c>
      <c r="V260" s="4">
        <v>38</v>
      </c>
      <c r="W260" s="4">
        <v>30</v>
      </c>
      <c r="X260" s="2" t="s">
        <v>44</v>
      </c>
      <c r="Y260" s="4">
        <v>0</v>
      </c>
      <c r="Z260" s="4">
        <v>13</v>
      </c>
      <c r="AA260" s="4">
        <v>0</v>
      </c>
      <c r="AB260" s="4">
        <v>0</v>
      </c>
      <c r="AC260" s="4">
        <v>2</v>
      </c>
      <c r="AD260" s="4">
        <v>13</v>
      </c>
      <c r="AE260" s="3" t="s">
        <v>45</v>
      </c>
      <c r="AG260">
        <f t="shared" ca="1" si="12"/>
        <v>2</v>
      </c>
      <c r="AH260" s="23" t="str" cm="1">
        <f t="array" ref="AH260">_xlfn.IFS(E260&gt;49,"50+",E260&gt;39,"40-49",E260&gt;29,"30-39",E260&gt;19,"20-29")</f>
        <v>20-29</v>
      </c>
      <c r="AI260" s="24" t="str" cm="1">
        <f t="array" aca="1" ref="AI260" ca="1">_xlfn.IFS(AG260&gt;10,"10+",AG260&gt;4,"5-10 YIL",AG260&gt;2,"3-5 YIL",AG260&gt;0.9,"1-3 YIL",AG260&lt;1,"0-1 YIL")</f>
        <v>1-3 YIL</v>
      </c>
      <c r="AJ260">
        <f t="shared" si="13"/>
        <v>2023</v>
      </c>
      <c r="AK260" t="e">
        <f t="shared" si="14"/>
        <v>#VALUE!</v>
      </c>
    </row>
    <row r="261" spans="1:37" x14ac:dyDescent="0.3">
      <c r="A261" s="6" t="s">
        <v>538</v>
      </c>
      <c r="B261" s="7" t="s">
        <v>242</v>
      </c>
      <c r="C261" s="6" t="s">
        <v>48</v>
      </c>
      <c r="D261" s="14">
        <v>35388</v>
      </c>
      <c r="E261" s="8">
        <v>30</v>
      </c>
      <c r="F261" s="6" t="s">
        <v>49</v>
      </c>
      <c r="G261" s="8">
        <v>2</v>
      </c>
      <c r="H261" s="6" t="s">
        <v>88</v>
      </c>
      <c r="I261" s="7" t="s">
        <v>139</v>
      </c>
      <c r="J261" s="7" t="s">
        <v>161</v>
      </c>
      <c r="K261" s="6" t="s">
        <v>51</v>
      </c>
      <c r="L261" s="6" t="s">
        <v>63</v>
      </c>
      <c r="M261" s="7" t="s">
        <v>162</v>
      </c>
      <c r="N261" s="6" t="s">
        <v>41</v>
      </c>
      <c r="O261" s="14">
        <v>43176</v>
      </c>
      <c r="P261" s="6" t="s">
        <v>44</v>
      </c>
      <c r="Q261" s="7" t="s">
        <v>44</v>
      </c>
      <c r="R261" s="6" t="s">
        <v>44</v>
      </c>
      <c r="S261" s="6" t="s">
        <v>56</v>
      </c>
      <c r="T261" s="9">
        <v>74100</v>
      </c>
      <c r="U261" s="9">
        <v>0</v>
      </c>
      <c r="V261" s="8">
        <v>6</v>
      </c>
      <c r="W261" s="8">
        <v>30</v>
      </c>
      <c r="X261" s="6" t="s">
        <v>44</v>
      </c>
      <c r="Y261" s="8">
        <v>0</v>
      </c>
      <c r="Z261" s="8">
        <v>13</v>
      </c>
      <c r="AA261" s="8">
        <v>0</v>
      </c>
      <c r="AB261" s="8">
        <v>0</v>
      </c>
      <c r="AC261" s="8">
        <v>2</v>
      </c>
      <c r="AD261" s="8">
        <v>19</v>
      </c>
      <c r="AE261" s="7" t="s">
        <v>58</v>
      </c>
      <c r="AG261">
        <f t="shared" ca="1" si="12"/>
        <v>8</v>
      </c>
      <c r="AH261" s="23" t="str" cm="1">
        <f t="array" ref="AH261">_xlfn.IFS(E261&gt;49,"50+",E261&gt;39,"40-49",E261&gt;29,"30-39",E261&gt;19,"20-29")</f>
        <v>30-39</v>
      </c>
      <c r="AI261" s="24" t="str" cm="1">
        <f t="array" aca="1" ref="AI261" ca="1">_xlfn.IFS(AG261&gt;10,"10+",AG261&gt;4,"5-10 YIL",AG261&gt;2,"3-5 YIL",AG261&gt;0.9,"1-3 YIL",AG261&lt;1,"0-1 YIL")</f>
        <v>5-10 YIL</v>
      </c>
      <c r="AJ261">
        <f t="shared" si="13"/>
        <v>2018</v>
      </c>
      <c r="AK261" t="e">
        <f t="shared" si="14"/>
        <v>#VALUE!</v>
      </c>
    </row>
    <row r="262" spans="1:37" x14ac:dyDescent="0.3">
      <c r="A262" s="2" t="s">
        <v>539</v>
      </c>
      <c r="B262" s="3" t="s">
        <v>441</v>
      </c>
      <c r="C262" s="2" t="s">
        <v>48</v>
      </c>
      <c r="D262" s="13">
        <v>38244</v>
      </c>
      <c r="E262" s="4">
        <v>22</v>
      </c>
      <c r="F262" s="2" t="s">
        <v>49</v>
      </c>
      <c r="G262" s="4">
        <v>3</v>
      </c>
      <c r="H262" s="2" t="s">
        <v>35</v>
      </c>
      <c r="I262" s="3" t="s">
        <v>36</v>
      </c>
      <c r="J262" s="3" t="s">
        <v>37</v>
      </c>
      <c r="K262" s="2" t="s">
        <v>38</v>
      </c>
      <c r="L262" s="2" t="s">
        <v>39</v>
      </c>
      <c r="M262" s="3" t="s">
        <v>40</v>
      </c>
      <c r="N262" s="2" t="s">
        <v>41</v>
      </c>
      <c r="O262" s="13">
        <v>45244</v>
      </c>
      <c r="P262" s="13">
        <v>45820</v>
      </c>
      <c r="Q262" s="3" t="s">
        <v>53</v>
      </c>
      <c r="R262" s="2">
        <v>4</v>
      </c>
      <c r="S262" s="2" t="s">
        <v>43</v>
      </c>
      <c r="T262" s="5">
        <v>26300</v>
      </c>
      <c r="U262" s="5">
        <v>0</v>
      </c>
      <c r="V262" s="4">
        <v>39</v>
      </c>
      <c r="W262" s="4">
        <v>27</v>
      </c>
      <c r="X262" s="2" t="s">
        <v>57</v>
      </c>
      <c r="Y262" s="4">
        <v>2</v>
      </c>
      <c r="Z262" s="4">
        <v>8</v>
      </c>
      <c r="AA262" s="4">
        <v>1</v>
      </c>
      <c r="AB262" s="4">
        <v>0</v>
      </c>
      <c r="AC262" s="4">
        <v>2</v>
      </c>
      <c r="AD262" s="4">
        <v>15</v>
      </c>
      <c r="AE262" s="3" t="s">
        <v>58</v>
      </c>
      <c r="AG262">
        <f t="shared" ca="1" si="12"/>
        <v>2</v>
      </c>
      <c r="AH262" s="23" t="str" cm="1">
        <f t="array" ref="AH262">_xlfn.IFS(E262&gt;49,"50+",E262&gt;39,"40-49",E262&gt;29,"30-39",E262&gt;19,"20-29")</f>
        <v>20-29</v>
      </c>
      <c r="AI262" s="24" t="str" cm="1">
        <f t="array" aca="1" ref="AI262" ca="1">_xlfn.IFS(AG262&gt;10,"10+",AG262&gt;4,"5-10 YIL",AG262&gt;2,"3-5 YIL",AG262&gt;0.9,"1-3 YIL",AG262&lt;1,"0-1 YIL")</f>
        <v>1-3 YIL</v>
      </c>
      <c r="AJ262">
        <f t="shared" si="13"/>
        <v>2023</v>
      </c>
      <c r="AK262">
        <f t="shared" si="14"/>
        <v>2025</v>
      </c>
    </row>
    <row r="263" spans="1:37" x14ac:dyDescent="0.3">
      <c r="A263" s="6" t="s">
        <v>540</v>
      </c>
      <c r="B263" s="7" t="s">
        <v>541</v>
      </c>
      <c r="C263" s="6" t="s">
        <v>33</v>
      </c>
      <c r="D263" s="14">
        <v>36566</v>
      </c>
      <c r="E263" s="8">
        <v>26</v>
      </c>
      <c r="F263" s="6" t="s">
        <v>49</v>
      </c>
      <c r="G263" s="8">
        <v>0</v>
      </c>
      <c r="H263" s="6" t="s">
        <v>35</v>
      </c>
      <c r="I263" s="7" t="s">
        <v>36</v>
      </c>
      <c r="J263" s="7" t="s">
        <v>37</v>
      </c>
      <c r="K263" s="6" t="s">
        <v>38</v>
      </c>
      <c r="L263" s="6" t="s">
        <v>39</v>
      </c>
      <c r="M263" s="7" t="s">
        <v>40</v>
      </c>
      <c r="N263" s="6" t="s">
        <v>41</v>
      </c>
      <c r="O263" s="14">
        <v>44721</v>
      </c>
      <c r="P263" s="6" t="s">
        <v>44</v>
      </c>
      <c r="Q263" s="7" t="s">
        <v>44</v>
      </c>
      <c r="R263" s="6" t="s">
        <v>44</v>
      </c>
      <c r="S263" s="6" t="s">
        <v>56</v>
      </c>
      <c r="T263" s="9">
        <v>26300</v>
      </c>
      <c r="U263" s="9">
        <v>0</v>
      </c>
      <c r="V263" s="8">
        <v>11</v>
      </c>
      <c r="W263" s="8">
        <v>30</v>
      </c>
      <c r="X263" s="6" t="s">
        <v>44</v>
      </c>
      <c r="Y263" s="8">
        <v>0</v>
      </c>
      <c r="Z263" s="8">
        <v>9</v>
      </c>
      <c r="AA263" s="8">
        <v>0</v>
      </c>
      <c r="AB263" s="8">
        <v>0</v>
      </c>
      <c r="AC263" s="8">
        <v>3</v>
      </c>
      <c r="AD263" s="8">
        <v>10</v>
      </c>
      <c r="AE263" s="7" t="s">
        <v>58</v>
      </c>
      <c r="AG263">
        <f t="shared" ca="1" si="12"/>
        <v>4</v>
      </c>
      <c r="AH263" s="23" t="str" cm="1">
        <f t="array" ref="AH263">_xlfn.IFS(E263&gt;49,"50+",E263&gt;39,"40-49",E263&gt;29,"30-39",E263&gt;19,"20-29")</f>
        <v>20-29</v>
      </c>
      <c r="AI263" s="24" t="str" cm="1">
        <f t="array" aca="1" ref="AI263" ca="1">_xlfn.IFS(AG263&gt;10,"10+",AG263&gt;4,"5-10 YIL",AG263&gt;2,"3-5 YIL",AG263&gt;0.9,"1-3 YIL",AG263&lt;1,"0-1 YIL")</f>
        <v>3-5 YIL</v>
      </c>
      <c r="AJ263">
        <f t="shared" si="13"/>
        <v>2022</v>
      </c>
      <c r="AK263" t="e">
        <f t="shared" si="14"/>
        <v>#VALUE!</v>
      </c>
    </row>
    <row r="264" spans="1:37" x14ac:dyDescent="0.3">
      <c r="A264" s="2" t="s">
        <v>542</v>
      </c>
      <c r="B264" s="3" t="s">
        <v>543</v>
      </c>
      <c r="C264" s="2" t="s">
        <v>48</v>
      </c>
      <c r="D264" s="13">
        <v>37060</v>
      </c>
      <c r="E264" s="4">
        <v>25</v>
      </c>
      <c r="F264" s="2" t="s">
        <v>34</v>
      </c>
      <c r="G264" s="4">
        <v>0</v>
      </c>
      <c r="H264" s="2" t="s">
        <v>88</v>
      </c>
      <c r="I264" s="3" t="s">
        <v>61</v>
      </c>
      <c r="J264" s="3" t="s">
        <v>62</v>
      </c>
      <c r="K264" s="2" t="s">
        <v>38</v>
      </c>
      <c r="L264" s="2" t="s">
        <v>63</v>
      </c>
      <c r="M264" s="3" t="s">
        <v>64</v>
      </c>
      <c r="N264" s="2" t="s">
        <v>67</v>
      </c>
      <c r="O264" s="13">
        <v>45087</v>
      </c>
      <c r="P264" s="2" t="s">
        <v>44</v>
      </c>
      <c r="Q264" s="3" t="s">
        <v>44</v>
      </c>
      <c r="R264" s="2" t="s">
        <v>44</v>
      </c>
      <c r="S264" s="2" t="s">
        <v>56</v>
      </c>
      <c r="T264" s="5">
        <v>31800</v>
      </c>
      <c r="U264" s="5">
        <v>4200</v>
      </c>
      <c r="V264" s="4">
        <v>2</v>
      </c>
      <c r="W264" s="4">
        <v>30</v>
      </c>
      <c r="X264" s="2" t="s">
        <v>44</v>
      </c>
      <c r="Y264" s="4">
        <v>0</v>
      </c>
      <c r="Z264" s="4">
        <v>0</v>
      </c>
      <c r="AA264" s="4">
        <v>0</v>
      </c>
      <c r="AB264" s="4">
        <v>0</v>
      </c>
      <c r="AC264" s="4">
        <v>3</v>
      </c>
      <c r="AD264" s="4">
        <v>3</v>
      </c>
      <c r="AE264" s="3" t="s">
        <v>45</v>
      </c>
      <c r="AG264">
        <f t="shared" ca="1" si="12"/>
        <v>3</v>
      </c>
      <c r="AH264" s="23" t="str" cm="1">
        <f t="array" ref="AH264">_xlfn.IFS(E264&gt;49,"50+",E264&gt;39,"40-49",E264&gt;29,"30-39",E264&gt;19,"20-29")</f>
        <v>20-29</v>
      </c>
      <c r="AI264" s="24" t="str" cm="1">
        <f t="array" aca="1" ref="AI264" ca="1">_xlfn.IFS(AG264&gt;10,"10+",AG264&gt;4,"5-10 YIL",AG264&gt;2,"3-5 YIL",AG264&gt;0.9,"1-3 YIL",AG264&lt;1,"0-1 YIL")</f>
        <v>3-5 YIL</v>
      </c>
      <c r="AJ264">
        <f t="shared" si="13"/>
        <v>2023</v>
      </c>
      <c r="AK264" t="e">
        <f t="shared" si="14"/>
        <v>#VALUE!</v>
      </c>
    </row>
    <row r="265" spans="1:37" x14ac:dyDescent="0.3">
      <c r="A265" s="6" t="s">
        <v>544</v>
      </c>
      <c r="B265" s="7" t="s">
        <v>545</v>
      </c>
      <c r="C265" s="6" t="s">
        <v>33</v>
      </c>
      <c r="D265" s="14">
        <v>37198</v>
      </c>
      <c r="E265" s="8">
        <v>25</v>
      </c>
      <c r="F265" s="6" t="s">
        <v>49</v>
      </c>
      <c r="G265" s="8">
        <v>1</v>
      </c>
      <c r="H265" s="6" t="s">
        <v>35</v>
      </c>
      <c r="I265" s="7" t="s">
        <v>36</v>
      </c>
      <c r="J265" s="7" t="s">
        <v>37</v>
      </c>
      <c r="K265" s="6" t="s">
        <v>38</v>
      </c>
      <c r="L265" s="6" t="s">
        <v>39</v>
      </c>
      <c r="M265" s="7" t="s">
        <v>40</v>
      </c>
      <c r="N265" s="6" t="s">
        <v>41</v>
      </c>
      <c r="O265" s="14">
        <v>44820</v>
      </c>
      <c r="P265" s="6" t="s">
        <v>44</v>
      </c>
      <c r="Q265" s="7" t="s">
        <v>44</v>
      </c>
      <c r="R265" s="6" t="s">
        <v>44</v>
      </c>
      <c r="S265" s="6" t="s">
        <v>56</v>
      </c>
      <c r="T265" s="9">
        <v>25300</v>
      </c>
      <c r="U265" s="9">
        <v>0</v>
      </c>
      <c r="V265" s="8">
        <v>44</v>
      </c>
      <c r="W265" s="8">
        <v>30</v>
      </c>
      <c r="X265" s="6" t="s">
        <v>44</v>
      </c>
      <c r="Y265" s="8">
        <v>0</v>
      </c>
      <c r="Z265" s="8">
        <v>7</v>
      </c>
      <c r="AA265" s="8">
        <v>0</v>
      </c>
      <c r="AB265" s="8">
        <v>0</v>
      </c>
      <c r="AC265" s="8">
        <v>3</v>
      </c>
      <c r="AD265" s="8">
        <v>14</v>
      </c>
      <c r="AE265" s="7" t="s">
        <v>58</v>
      </c>
      <c r="AG265">
        <f t="shared" ca="1" si="12"/>
        <v>3</v>
      </c>
      <c r="AH265" s="23" t="str" cm="1">
        <f t="array" ref="AH265">_xlfn.IFS(E265&gt;49,"50+",E265&gt;39,"40-49",E265&gt;29,"30-39",E265&gt;19,"20-29")</f>
        <v>20-29</v>
      </c>
      <c r="AI265" s="24" t="str" cm="1">
        <f t="array" aca="1" ref="AI265" ca="1">_xlfn.IFS(AG265&gt;10,"10+",AG265&gt;4,"5-10 YIL",AG265&gt;2,"3-5 YIL",AG265&gt;0.9,"1-3 YIL",AG265&lt;1,"0-1 YIL")</f>
        <v>3-5 YIL</v>
      </c>
      <c r="AJ265">
        <f t="shared" si="13"/>
        <v>2022</v>
      </c>
      <c r="AK265" t="e">
        <f t="shared" si="14"/>
        <v>#VALUE!</v>
      </c>
    </row>
    <row r="266" spans="1:37" x14ac:dyDescent="0.3">
      <c r="A266" s="2" t="s">
        <v>546</v>
      </c>
      <c r="B266" s="3" t="s">
        <v>172</v>
      </c>
      <c r="C266" s="2" t="s">
        <v>48</v>
      </c>
      <c r="D266" s="13">
        <v>37948</v>
      </c>
      <c r="E266" s="4">
        <v>23</v>
      </c>
      <c r="F266" s="2" t="s">
        <v>49</v>
      </c>
      <c r="G266" s="4">
        <v>2</v>
      </c>
      <c r="H266" s="2" t="s">
        <v>88</v>
      </c>
      <c r="I266" s="3" t="s">
        <v>36</v>
      </c>
      <c r="J266" s="3" t="s">
        <v>37</v>
      </c>
      <c r="K266" s="2" t="s">
        <v>38</v>
      </c>
      <c r="L266" s="2" t="s">
        <v>39</v>
      </c>
      <c r="M266" s="3" t="s">
        <v>40</v>
      </c>
      <c r="N266" s="2" t="s">
        <v>41</v>
      </c>
      <c r="O266" s="13">
        <v>45486</v>
      </c>
      <c r="P266" s="2" t="s">
        <v>44</v>
      </c>
      <c r="Q266" s="3" t="s">
        <v>44</v>
      </c>
      <c r="R266" s="2" t="s">
        <v>44</v>
      </c>
      <c r="S266" s="2" t="s">
        <v>56</v>
      </c>
      <c r="T266" s="5">
        <v>26000</v>
      </c>
      <c r="U266" s="5">
        <v>0</v>
      </c>
      <c r="V266" s="4">
        <v>33</v>
      </c>
      <c r="W266" s="4">
        <v>27</v>
      </c>
      <c r="X266" s="2" t="s">
        <v>57</v>
      </c>
      <c r="Y266" s="4">
        <v>3</v>
      </c>
      <c r="Z266" s="4">
        <v>12</v>
      </c>
      <c r="AA266" s="4">
        <v>0</v>
      </c>
      <c r="AB266" s="4">
        <v>0</v>
      </c>
      <c r="AC266" s="4">
        <v>3</v>
      </c>
      <c r="AD266" s="4">
        <v>13</v>
      </c>
      <c r="AE266" s="3" t="s">
        <v>58</v>
      </c>
      <c r="AG266">
        <f t="shared" ca="1" si="12"/>
        <v>1</v>
      </c>
      <c r="AH266" s="23" t="str" cm="1">
        <f t="array" ref="AH266">_xlfn.IFS(E266&gt;49,"50+",E266&gt;39,"40-49",E266&gt;29,"30-39",E266&gt;19,"20-29")</f>
        <v>20-29</v>
      </c>
      <c r="AI266" s="24" t="str" cm="1">
        <f t="array" aca="1" ref="AI266" ca="1">_xlfn.IFS(AG266&gt;10,"10+",AG266&gt;4,"5-10 YIL",AG266&gt;2,"3-5 YIL",AG266&gt;0.9,"1-3 YIL",AG266&lt;1,"0-1 YIL")</f>
        <v>1-3 YIL</v>
      </c>
      <c r="AJ266">
        <f t="shared" si="13"/>
        <v>2024</v>
      </c>
      <c r="AK266" t="e">
        <f t="shared" si="14"/>
        <v>#VALUE!</v>
      </c>
    </row>
    <row r="267" spans="1:37" x14ac:dyDescent="0.3">
      <c r="A267" s="6" t="s">
        <v>547</v>
      </c>
      <c r="B267" s="7" t="s">
        <v>188</v>
      </c>
      <c r="C267" s="6" t="s">
        <v>48</v>
      </c>
      <c r="D267" s="14">
        <v>32542</v>
      </c>
      <c r="E267" s="8">
        <v>37</v>
      </c>
      <c r="F267" s="6" t="s">
        <v>49</v>
      </c>
      <c r="G267" s="8">
        <v>1</v>
      </c>
      <c r="H267" s="6" t="s">
        <v>88</v>
      </c>
      <c r="I267" s="7" t="s">
        <v>36</v>
      </c>
      <c r="J267" s="7" t="s">
        <v>50</v>
      </c>
      <c r="K267" s="6" t="s">
        <v>51</v>
      </c>
      <c r="L267" s="6" t="s">
        <v>39</v>
      </c>
      <c r="M267" s="7" t="s">
        <v>40</v>
      </c>
      <c r="N267" s="6" t="s">
        <v>41</v>
      </c>
      <c r="O267" s="14">
        <v>43783</v>
      </c>
      <c r="P267" s="6" t="s">
        <v>44</v>
      </c>
      <c r="Q267" s="7" t="s">
        <v>44</v>
      </c>
      <c r="R267" s="6" t="s">
        <v>44</v>
      </c>
      <c r="S267" s="6" t="s">
        <v>56</v>
      </c>
      <c r="T267" s="9">
        <v>41600</v>
      </c>
      <c r="U267" s="9">
        <v>0</v>
      </c>
      <c r="V267" s="8">
        <v>11</v>
      </c>
      <c r="W267" s="8">
        <v>27</v>
      </c>
      <c r="X267" s="6" t="s">
        <v>57</v>
      </c>
      <c r="Y267" s="8">
        <v>3</v>
      </c>
      <c r="Z267" s="8">
        <v>3</v>
      </c>
      <c r="AA267" s="8">
        <v>0</v>
      </c>
      <c r="AB267" s="8">
        <v>0</v>
      </c>
      <c r="AC267" s="8">
        <v>3</v>
      </c>
      <c r="AD267" s="8">
        <v>13</v>
      </c>
      <c r="AE267" s="7" t="s">
        <v>45</v>
      </c>
      <c r="AG267">
        <f t="shared" ca="1" si="12"/>
        <v>6</v>
      </c>
      <c r="AH267" s="23" t="str" cm="1">
        <f t="array" ref="AH267">_xlfn.IFS(E267&gt;49,"50+",E267&gt;39,"40-49",E267&gt;29,"30-39",E267&gt;19,"20-29")</f>
        <v>30-39</v>
      </c>
      <c r="AI267" s="24" t="str" cm="1">
        <f t="array" aca="1" ref="AI267" ca="1">_xlfn.IFS(AG267&gt;10,"10+",AG267&gt;4,"5-10 YIL",AG267&gt;2,"3-5 YIL",AG267&gt;0.9,"1-3 YIL",AG267&lt;1,"0-1 YIL")</f>
        <v>5-10 YIL</v>
      </c>
      <c r="AJ267">
        <f t="shared" si="13"/>
        <v>2019</v>
      </c>
      <c r="AK267" t="e">
        <f t="shared" si="14"/>
        <v>#VALUE!</v>
      </c>
    </row>
    <row r="268" spans="1:37" x14ac:dyDescent="0.3">
      <c r="A268" s="2" t="s">
        <v>548</v>
      </c>
      <c r="B268" s="3" t="s">
        <v>549</v>
      </c>
      <c r="C268" s="2" t="s">
        <v>48</v>
      </c>
      <c r="D268" s="13">
        <v>30899</v>
      </c>
      <c r="E268" s="4">
        <v>42</v>
      </c>
      <c r="F268" s="2" t="s">
        <v>34</v>
      </c>
      <c r="G268" s="4">
        <v>0</v>
      </c>
      <c r="H268" s="2" t="s">
        <v>88</v>
      </c>
      <c r="I268" s="3" t="s">
        <v>61</v>
      </c>
      <c r="J268" s="3" t="s">
        <v>107</v>
      </c>
      <c r="K268" s="2" t="s">
        <v>51</v>
      </c>
      <c r="L268" s="2" t="s">
        <v>63</v>
      </c>
      <c r="M268" s="3" t="s">
        <v>64</v>
      </c>
      <c r="N268" s="2" t="s">
        <v>95</v>
      </c>
      <c r="O268" s="13">
        <v>45030</v>
      </c>
      <c r="P268" s="2" t="s">
        <v>44</v>
      </c>
      <c r="Q268" s="3" t="s">
        <v>44</v>
      </c>
      <c r="R268" s="2" t="s">
        <v>44</v>
      </c>
      <c r="S268" s="2" t="s">
        <v>56</v>
      </c>
      <c r="T268" s="5">
        <v>57300</v>
      </c>
      <c r="U268" s="5">
        <v>0</v>
      </c>
      <c r="V268" s="4">
        <v>5</v>
      </c>
      <c r="W268" s="4">
        <v>30</v>
      </c>
      <c r="X268" s="2" t="s">
        <v>44</v>
      </c>
      <c r="Y268" s="4">
        <v>0</v>
      </c>
      <c r="Z268" s="4">
        <v>2</v>
      </c>
      <c r="AA268" s="4">
        <v>0</v>
      </c>
      <c r="AB268" s="4">
        <v>0</v>
      </c>
      <c r="AC268" s="4">
        <v>3</v>
      </c>
      <c r="AD268" s="4">
        <v>11</v>
      </c>
      <c r="AE268" s="3" t="s">
        <v>45</v>
      </c>
      <c r="AG268">
        <f t="shared" ca="1" si="12"/>
        <v>3</v>
      </c>
      <c r="AH268" s="23" t="str" cm="1">
        <f t="array" ref="AH268">_xlfn.IFS(E268&gt;49,"50+",E268&gt;39,"40-49",E268&gt;29,"30-39",E268&gt;19,"20-29")</f>
        <v>40-49</v>
      </c>
      <c r="AI268" s="24" t="str" cm="1">
        <f t="array" aca="1" ref="AI268" ca="1">_xlfn.IFS(AG268&gt;10,"10+",AG268&gt;4,"5-10 YIL",AG268&gt;2,"3-5 YIL",AG268&gt;0.9,"1-3 YIL",AG268&lt;1,"0-1 YIL")</f>
        <v>3-5 YIL</v>
      </c>
      <c r="AJ268">
        <f t="shared" si="13"/>
        <v>2023</v>
      </c>
      <c r="AK268" t="e">
        <f t="shared" si="14"/>
        <v>#VALUE!</v>
      </c>
    </row>
    <row r="269" spans="1:37" x14ac:dyDescent="0.3">
      <c r="A269" s="6" t="s">
        <v>550</v>
      </c>
      <c r="B269" s="7" t="s">
        <v>551</v>
      </c>
      <c r="C269" s="6" t="s">
        <v>48</v>
      </c>
      <c r="D269" s="14">
        <v>35573</v>
      </c>
      <c r="E269" s="8">
        <v>29</v>
      </c>
      <c r="F269" s="6" t="s">
        <v>49</v>
      </c>
      <c r="G269" s="8">
        <v>0</v>
      </c>
      <c r="H269" s="6" t="s">
        <v>35</v>
      </c>
      <c r="I269" s="7" t="s">
        <v>36</v>
      </c>
      <c r="J269" s="7" t="s">
        <v>37</v>
      </c>
      <c r="K269" s="6" t="s">
        <v>38</v>
      </c>
      <c r="L269" s="6" t="s">
        <v>39</v>
      </c>
      <c r="M269" s="7" t="s">
        <v>40</v>
      </c>
      <c r="N269" s="6" t="s">
        <v>41</v>
      </c>
      <c r="O269" s="14">
        <v>45352</v>
      </c>
      <c r="P269" s="6" t="s">
        <v>44</v>
      </c>
      <c r="Q269" s="7" t="s">
        <v>44</v>
      </c>
      <c r="R269" s="6" t="s">
        <v>44</v>
      </c>
      <c r="S269" s="6" t="s">
        <v>56</v>
      </c>
      <c r="T269" s="9">
        <v>27900</v>
      </c>
      <c r="U269" s="9">
        <v>0</v>
      </c>
      <c r="V269" s="8">
        <v>33</v>
      </c>
      <c r="W269" s="8">
        <v>30</v>
      </c>
      <c r="X269" s="6" t="s">
        <v>44</v>
      </c>
      <c r="Y269" s="8">
        <v>0</v>
      </c>
      <c r="Z269" s="8">
        <v>12</v>
      </c>
      <c r="AA269" s="8">
        <v>0</v>
      </c>
      <c r="AB269" s="8">
        <v>0</v>
      </c>
      <c r="AC269" s="8">
        <v>3</v>
      </c>
      <c r="AD269" s="8">
        <v>11</v>
      </c>
      <c r="AE269" s="7" t="s">
        <v>73</v>
      </c>
      <c r="AG269">
        <f t="shared" ca="1" si="12"/>
        <v>2</v>
      </c>
      <c r="AH269" s="23" t="str" cm="1">
        <f t="array" ref="AH269">_xlfn.IFS(E269&gt;49,"50+",E269&gt;39,"40-49",E269&gt;29,"30-39",E269&gt;19,"20-29")</f>
        <v>20-29</v>
      </c>
      <c r="AI269" s="24" t="str" cm="1">
        <f t="array" aca="1" ref="AI269" ca="1">_xlfn.IFS(AG269&gt;10,"10+",AG269&gt;4,"5-10 YIL",AG269&gt;2,"3-5 YIL",AG269&gt;0.9,"1-3 YIL",AG269&lt;1,"0-1 YIL")</f>
        <v>1-3 YIL</v>
      </c>
      <c r="AJ269">
        <f t="shared" si="13"/>
        <v>2024</v>
      </c>
      <c r="AK269" t="e">
        <f t="shared" si="14"/>
        <v>#VALUE!</v>
      </c>
    </row>
    <row r="270" spans="1:37" x14ac:dyDescent="0.3">
      <c r="A270" s="2" t="s">
        <v>552</v>
      </c>
      <c r="B270" s="3" t="s">
        <v>553</v>
      </c>
      <c r="C270" s="2" t="s">
        <v>33</v>
      </c>
      <c r="D270" s="13">
        <v>35607</v>
      </c>
      <c r="E270" s="4">
        <v>29</v>
      </c>
      <c r="F270" s="2" t="s">
        <v>34</v>
      </c>
      <c r="G270" s="4">
        <v>0</v>
      </c>
      <c r="H270" s="2" t="s">
        <v>85</v>
      </c>
      <c r="I270" s="3" t="s">
        <v>36</v>
      </c>
      <c r="J270" s="3" t="s">
        <v>37</v>
      </c>
      <c r="K270" s="2" t="s">
        <v>38</v>
      </c>
      <c r="L270" s="2" t="s">
        <v>39</v>
      </c>
      <c r="M270" s="3" t="s">
        <v>40</v>
      </c>
      <c r="N270" s="2" t="s">
        <v>41</v>
      </c>
      <c r="O270" s="13">
        <v>45995</v>
      </c>
      <c r="P270" s="2" t="s">
        <v>44</v>
      </c>
      <c r="Q270" s="3" t="s">
        <v>44</v>
      </c>
      <c r="R270" s="2" t="s">
        <v>44</v>
      </c>
      <c r="S270" s="2" t="s">
        <v>56</v>
      </c>
      <c r="T270" s="5">
        <v>27700</v>
      </c>
      <c r="U270" s="5">
        <v>0</v>
      </c>
      <c r="V270" s="4">
        <v>38</v>
      </c>
      <c r="W270" s="4">
        <v>27</v>
      </c>
      <c r="X270" s="2" t="s">
        <v>57</v>
      </c>
      <c r="Y270" s="4">
        <v>3</v>
      </c>
      <c r="Z270" s="4">
        <v>0</v>
      </c>
      <c r="AA270" s="4">
        <v>0</v>
      </c>
      <c r="AB270" s="4">
        <v>0</v>
      </c>
      <c r="AC270" s="4">
        <v>3</v>
      </c>
      <c r="AD270" s="4">
        <v>8</v>
      </c>
      <c r="AE270" s="3" t="s">
        <v>96</v>
      </c>
      <c r="AG270">
        <f t="shared" ca="1" si="12"/>
        <v>0</v>
      </c>
      <c r="AH270" s="23" t="str" cm="1">
        <f t="array" ref="AH270">_xlfn.IFS(E270&gt;49,"50+",E270&gt;39,"40-49",E270&gt;29,"30-39",E270&gt;19,"20-29")</f>
        <v>20-29</v>
      </c>
      <c r="AI270" s="24" t="str" cm="1">
        <f t="array" aca="1" ref="AI270" ca="1">_xlfn.IFS(AG270&gt;10,"10+",AG270&gt;4,"5-10 YIL",AG270&gt;2,"3-5 YIL",AG270&gt;0.9,"1-3 YIL",AG270&lt;1,"0-1 YIL")</f>
        <v>0-1 YIL</v>
      </c>
      <c r="AJ270">
        <f t="shared" si="13"/>
        <v>2025</v>
      </c>
      <c r="AK270" t="e">
        <f t="shared" si="14"/>
        <v>#VALUE!</v>
      </c>
    </row>
    <row r="271" spans="1:37" x14ac:dyDescent="0.3">
      <c r="A271" s="6" t="s">
        <v>554</v>
      </c>
      <c r="B271" s="7" t="s">
        <v>555</v>
      </c>
      <c r="C271" s="6" t="s">
        <v>48</v>
      </c>
      <c r="D271" s="14">
        <v>36049</v>
      </c>
      <c r="E271" s="8">
        <v>28</v>
      </c>
      <c r="F271" s="6" t="s">
        <v>34</v>
      </c>
      <c r="G271" s="8">
        <v>0</v>
      </c>
      <c r="H271" s="6" t="s">
        <v>35</v>
      </c>
      <c r="I271" s="7" t="s">
        <v>36</v>
      </c>
      <c r="J271" s="7" t="s">
        <v>37</v>
      </c>
      <c r="K271" s="6" t="s">
        <v>38</v>
      </c>
      <c r="L271" s="6" t="s">
        <v>39</v>
      </c>
      <c r="M271" s="7" t="s">
        <v>40</v>
      </c>
      <c r="N271" s="6" t="s">
        <v>67</v>
      </c>
      <c r="O271" s="14">
        <v>46090</v>
      </c>
      <c r="P271" s="6" t="s">
        <v>44</v>
      </c>
      <c r="Q271" s="7" t="s">
        <v>44</v>
      </c>
      <c r="R271" s="6" t="s">
        <v>44</v>
      </c>
      <c r="S271" s="6" t="s">
        <v>56</v>
      </c>
      <c r="T271" s="9">
        <v>27900</v>
      </c>
      <c r="U271" s="9">
        <v>0</v>
      </c>
      <c r="V271" s="8">
        <v>19</v>
      </c>
      <c r="W271" s="8">
        <v>30</v>
      </c>
      <c r="X271" s="6" t="s">
        <v>44</v>
      </c>
      <c r="Y271" s="8">
        <v>0</v>
      </c>
      <c r="Z271" s="8">
        <v>0</v>
      </c>
      <c r="AA271" s="8">
        <v>0</v>
      </c>
      <c r="AB271" s="8">
        <v>0</v>
      </c>
      <c r="AC271" s="8">
        <v>4</v>
      </c>
      <c r="AD271" s="8">
        <v>21</v>
      </c>
      <c r="AE271" s="7" t="s">
        <v>45</v>
      </c>
      <c r="AG271">
        <f t="shared" ca="1" si="12"/>
        <v>0</v>
      </c>
      <c r="AH271" s="23" t="str" cm="1">
        <f t="array" ref="AH271">_xlfn.IFS(E271&gt;49,"50+",E271&gt;39,"40-49",E271&gt;29,"30-39",E271&gt;19,"20-29")</f>
        <v>20-29</v>
      </c>
      <c r="AI271" s="24" t="str" cm="1">
        <f t="array" aca="1" ref="AI271" ca="1">_xlfn.IFS(AG271&gt;10,"10+",AG271&gt;4,"5-10 YIL",AG271&gt;2,"3-5 YIL",AG271&gt;0.9,"1-3 YIL",AG271&lt;1,"0-1 YIL")</f>
        <v>0-1 YIL</v>
      </c>
      <c r="AJ271">
        <f t="shared" si="13"/>
        <v>2026</v>
      </c>
      <c r="AK271" t="e">
        <f t="shared" si="14"/>
        <v>#VALUE!</v>
      </c>
    </row>
    <row r="272" spans="1:37" x14ac:dyDescent="0.3">
      <c r="A272" s="2" t="s">
        <v>556</v>
      </c>
      <c r="B272" s="3" t="s">
        <v>366</v>
      </c>
      <c r="C272" s="2" t="s">
        <v>33</v>
      </c>
      <c r="D272" s="13">
        <v>34104</v>
      </c>
      <c r="E272" s="4">
        <v>33</v>
      </c>
      <c r="F272" s="2" t="s">
        <v>49</v>
      </c>
      <c r="G272" s="4">
        <v>3</v>
      </c>
      <c r="H272" s="2" t="s">
        <v>184</v>
      </c>
      <c r="I272" s="3" t="s">
        <v>61</v>
      </c>
      <c r="J272" s="3" t="s">
        <v>107</v>
      </c>
      <c r="K272" s="2" t="s">
        <v>51</v>
      </c>
      <c r="L272" s="2" t="s">
        <v>63</v>
      </c>
      <c r="M272" s="3" t="s">
        <v>64</v>
      </c>
      <c r="N272" s="2" t="s">
        <v>67</v>
      </c>
      <c r="O272" s="13">
        <v>42399</v>
      </c>
      <c r="P272" s="2" t="s">
        <v>44</v>
      </c>
      <c r="Q272" s="3" t="s">
        <v>44</v>
      </c>
      <c r="R272" s="2" t="s">
        <v>44</v>
      </c>
      <c r="S272" s="2" t="s">
        <v>56</v>
      </c>
      <c r="T272" s="5">
        <v>52400</v>
      </c>
      <c r="U272" s="5">
        <v>7100</v>
      </c>
      <c r="V272" s="4">
        <v>4</v>
      </c>
      <c r="W272" s="4">
        <v>30</v>
      </c>
      <c r="X272" s="2" t="s">
        <v>44</v>
      </c>
      <c r="Y272" s="4">
        <v>0</v>
      </c>
      <c r="Z272" s="4">
        <v>4</v>
      </c>
      <c r="AA272" s="4">
        <v>0</v>
      </c>
      <c r="AB272" s="4">
        <v>0</v>
      </c>
      <c r="AC272" s="4">
        <v>4</v>
      </c>
      <c r="AD272" s="4">
        <v>38</v>
      </c>
      <c r="AE272" s="3" t="s">
        <v>82</v>
      </c>
      <c r="AG272">
        <f t="shared" ca="1" si="12"/>
        <v>10</v>
      </c>
      <c r="AH272" s="23" t="str" cm="1">
        <f t="array" ref="AH272">_xlfn.IFS(E272&gt;49,"50+",E272&gt;39,"40-49",E272&gt;29,"30-39",E272&gt;19,"20-29")</f>
        <v>30-39</v>
      </c>
      <c r="AI272" s="24" t="str" cm="1">
        <f t="array" aca="1" ref="AI272" ca="1">_xlfn.IFS(AG272&gt;10,"10+",AG272&gt;4,"5-10 YIL",AG272&gt;2,"3-5 YIL",AG272&gt;0.9,"1-3 YIL",AG272&lt;1,"0-1 YIL")</f>
        <v>5-10 YIL</v>
      </c>
      <c r="AJ272">
        <f t="shared" si="13"/>
        <v>2016</v>
      </c>
      <c r="AK272" t="e">
        <f t="shared" si="14"/>
        <v>#VALUE!</v>
      </c>
    </row>
    <row r="273" spans="1:37" x14ac:dyDescent="0.3">
      <c r="A273" s="6" t="s">
        <v>557</v>
      </c>
      <c r="B273" s="7" t="s">
        <v>84</v>
      </c>
      <c r="C273" s="6" t="s">
        <v>33</v>
      </c>
      <c r="D273" s="14">
        <v>36607</v>
      </c>
      <c r="E273" s="8">
        <v>26</v>
      </c>
      <c r="F273" s="6" t="s">
        <v>34</v>
      </c>
      <c r="G273" s="8">
        <v>0</v>
      </c>
      <c r="H273" s="6" t="s">
        <v>85</v>
      </c>
      <c r="I273" s="7" t="s">
        <v>36</v>
      </c>
      <c r="J273" s="7" t="s">
        <v>37</v>
      </c>
      <c r="K273" s="6" t="s">
        <v>38</v>
      </c>
      <c r="L273" s="6" t="s">
        <v>39</v>
      </c>
      <c r="M273" s="7" t="s">
        <v>40</v>
      </c>
      <c r="N273" s="6" t="s">
        <v>41</v>
      </c>
      <c r="O273" s="14">
        <v>44738</v>
      </c>
      <c r="P273" s="6" t="s">
        <v>44</v>
      </c>
      <c r="Q273" s="7" t="s">
        <v>44</v>
      </c>
      <c r="R273" s="6" t="s">
        <v>44</v>
      </c>
      <c r="S273" s="6" t="s">
        <v>56</v>
      </c>
      <c r="T273" s="9">
        <v>24000</v>
      </c>
      <c r="U273" s="9">
        <v>0</v>
      </c>
      <c r="V273" s="8">
        <v>40</v>
      </c>
      <c r="W273" s="8">
        <v>30</v>
      </c>
      <c r="X273" s="6" t="s">
        <v>44</v>
      </c>
      <c r="Y273" s="8">
        <v>0</v>
      </c>
      <c r="Z273" s="8">
        <v>8</v>
      </c>
      <c r="AA273" s="8">
        <v>0</v>
      </c>
      <c r="AB273" s="8">
        <v>0</v>
      </c>
      <c r="AC273" s="8">
        <v>4</v>
      </c>
      <c r="AD273" s="8">
        <v>33</v>
      </c>
      <c r="AE273" s="7" t="s">
        <v>45</v>
      </c>
      <c r="AG273">
        <f t="shared" ca="1" si="12"/>
        <v>4</v>
      </c>
      <c r="AH273" s="23" t="str" cm="1">
        <f t="array" ref="AH273">_xlfn.IFS(E273&gt;49,"50+",E273&gt;39,"40-49",E273&gt;29,"30-39",E273&gt;19,"20-29")</f>
        <v>20-29</v>
      </c>
      <c r="AI273" s="24" t="str" cm="1">
        <f t="array" aca="1" ref="AI273" ca="1">_xlfn.IFS(AG273&gt;10,"10+",AG273&gt;4,"5-10 YIL",AG273&gt;2,"3-5 YIL",AG273&gt;0.9,"1-3 YIL",AG273&lt;1,"0-1 YIL")</f>
        <v>3-5 YIL</v>
      </c>
      <c r="AJ273">
        <f t="shared" si="13"/>
        <v>2022</v>
      </c>
      <c r="AK273" t="e">
        <f t="shared" si="14"/>
        <v>#VALUE!</v>
      </c>
    </row>
    <row r="274" spans="1:37" x14ac:dyDescent="0.3">
      <c r="A274" s="2" t="s">
        <v>558</v>
      </c>
      <c r="B274" s="3" t="s">
        <v>559</v>
      </c>
      <c r="C274" s="2" t="s">
        <v>33</v>
      </c>
      <c r="D274" s="13">
        <v>31072</v>
      </c>
      <c r="E274" s="4">
        <v>41</v>
      </c>
      <c r="F274" s="2" t="s">
        <v>49</v>
      </c>
      <c r="G274" s="4">
        <v>1</v>
      </c>
      <c r="H274" s="2" t="s">
        <v>85</v>
      </c>
      <c r="I274" s="3" t="s">
        <v>139</v>
      </c>
      <c r="J274" s="3" t="s">
        <v>161</v>
      </c>
      <c r="K274" s="2" t="s">
        <v>51</v>
      </c>
      <c r="L274" s="2" t="s">
        <v>63</v>
      </c>
      <c r="M274" s="3" t="s">
        <v>162</v>
      </c>
      <c r="N274" s="2" t="s">
        <v>41</v>
      </c>
      <c r="O274" s="13">
        <v>43545</v>
      </c>
      <c r="P274" s="2" t="s">
        <v>44</v>
      </c>
      <c r="Q274" s="3" t="s">
        <v>44</v>
      </c>
      <c r="R274" s="2" t="s">
        <v>44</v>
      </c>
      <c r="S274" s="2" t="s">
        <v>56</v>
      </c>
      <c r="T274" s="5">
        <v>86200</v>
      </c>
      <c r="U274" s="5">
        <v>0</v>
      </c>
      <c r="V274" s="4">
        <v>0</v>
      </c>
      <c r="W274" s="4">
        <v>30</v>
      </c>
      <c r="X274" s="2" t="s">
        <v>44</v>
      </c>
      <c r="Y274" s="4">
        <v>0</v>
      </c>
      <c r="Z274" s="4">
        <v>6</v>
      </c>
      <c r="AA274" s="4">
        <v>0</v>
      </c>
      <c r="AB274" s="4">
        <v>0</v>
      </c>
      <c r="AC274" s="4">
        <v>3</v>
      </c>
      <c r="AD274" s="4">
        <v>11</v>
      </c>
      <c r="AE274" s="3" t="s">
        <v>45</v>
      </c>
      <c r="AG274">
        <f t="shared" ca="1" si="12"/>
        <v>7</v>
      </c>
      <c r="AH274" s="23" t="str" cm="1">
        <f t="array" ref="AH274">_xlfn.IFS(E274&gt;49,"50+",E274&gt;39,"40-49",E274&gt;29,"30-39",E274&gt;19,"20-29")</f>
        <v>40-49</v>
      </c>
      <c r="AI274" s="24" t="str" cm="1">
        <f t="array" aca="1" ref="AI274" ca="1">_xlfn.IFS(AG274&gt;10,"10+",AG274&gt;4,"5-10 YIL",AG274&gt;2,"3-5 YIL",AG274&gt;0.9,"1-3 YIL",AG274&lt;1,"0-1 YIL")</f>
        <v>5-10 YIL</v>
      </c>
      <c r="AJ274">
        <f t="shared" si="13"/>
        <v>2019</v>
      </c>
      <c r="AK274" t="e">
        <f t="shared" si="14"/>
        <v>#VALUE!</v>
      </c>
    </row>
    <row r="275" spans="1:37" x14ac:dyDescent="0.3">
      <c r="A275" s="6" t="s">
        <v>560</v>
      </c>
      <c r="B275" s="7" t="s">
        <v>561</v>
      </c>
      <c r="C275" s="6" t="s">
        <v>33</v>
      </c>
      <c r="D275" s="14">
        <v>36225</v>
      </c>
      <c r="E275" s="8">
        <v>27</v>
      </c>
      <c r="F275" s="6" t="s">
        <v>49</v>
      </c>
      <c r="G275" s="8">
        <v>1</v>
      </c>
      <c r="H275" s="6" t="s">
        <v>85</v>
      </c>
      <c r="I275" s="7" t="s">
        <v>61</v>
      </c>
      <c r="J275" s="7" t="s">
        <v>62</v>
      </c>
      <c r="K275" s="6" t="s">
        <v>38</v>
      </c>
      <c r="L275" s="6" t="s">
        <v>63</v>
      </c>
      <c r="M275" s="7" t="s">
        <v>64</v>
      </c>
      <c r="N275" s="6" t="s">
        <v>52</v>
      </c>
      <c r="O275" s="14">
        <v>46049</v>
      </c>
      <c r="P275" s="6" t="s">
        <v>44</v>
      </c>
      <c r="Q275" s="7" t="s">
        <v>44</v>
      </c>
      <c r="R275" s="6" t="s">
        <v>44</v>
      </c>
      <c r="S275" s="6" t="s">
        <v>56</v>
      </c>
      <c r="T275" s="9">
        <v>30900</v>
      </c>
      <c r="U275" s="9">
        <v>8200</v>
      </c>
      <c r="V275" s="8">
        <v>5</v>
      </c>
      <c r="W275" s="8">
        <v>29</v>
      </c>
      <c r="X275" s="6" t="s">
        <v>57</v>
      </c>
      <c r="Y275" s="8">
        <v>1</v>
      </c>
      <c r="Z275" s="8">
        <v>0</v>
      </c>
      <c r="AA275" s="8">
        <v>0</v>
      </c>
      <c r="AB275" s="8">
        <v>0</v>
      </c>
      <c r="AC275" s="8">
        <v>3</v>
      </c>
      <c r="AD275" s="8">
        <v>2</v>
      </c>
      <c r="AE275" s="7" t="s">
        <v>45</v>
      </c>
      <c r="AG275">
        <f t="shared" ca="1" si="12"/>
        <v>0</v>
      </c>
      <c r="AH275" s="23" t="str" cm="1">
        <f t="array" ref="AH275">_xlfn.IFS(E275&gt;49,"50+",E275&gt;39,"40-49",E275&gt;29,"30-39",E275&gt;19,"20-29")</f>
        <v>20-29</v>
      </c>
      <c r="AI275" s="24" t="str" cm="1">
        <f t="array" aca="1" ref="AI275" ca="1">_xlfn.IFS(AG275&gt;10,"10+",AG275&gt;4,"5-10 YIL",AG275&gt;2,"3-5 YIL",AG275&gt;0.9,"1-3 YIL",AG275&lt;1,"0-1 YIL")</f>
        <v>0-1 YIL</v>
      </c>
      <c r="AJ275">
        <f t="shared" si="13"/>
        <v>2026</v>
      </c>
      <c r="AK275" t="e">
        <f t="shared" si="14"/>
        <v>#VALUE!</v>
      </c>
    </row>
    <row r="276" spans="1:37" x14ac:dyDescent="0.3">
      <c r="A276" s="2" t="s">
        <v>562</v>
      </c>
      <c r="B276" s="3" t="s">
        <v>563</v>
      </c>
      <c r="C276" s="2" t="s">
        <v>48</v>
      </c>
      <c r="D276" s="13">
        <v>35716</v>
      </c>
      <c r="E276" s="4">
        <v>29</v>
      </c>
      <c r="F276" s="2" t="s">
        <v>34</v>
      </c>
      <c r="G276" s="4">
        <v>0</v>
      </c>
      <c r="H276" s="2" t="s">
        <v>35</v>
      </c>
      <c r="I276" s="3" t="s">
        <v>61</v>
      </c>
      <c r="J276" s="3" t="s">
        <v>62</v>
      </c>
      <c r="K276" s="2" t="s">
        <v>38</v>
      </c>
      <c r="L276" s="2" t="s">
        <v>63</v>
      </c>
      <c r="M276" s="3" t="s">
        <v>64</v>
      </c>
      <c r="N276" s="2" t="s">
        <v>95</v>
      </c>
      <c r="O276" s="13">
        <v>45055</v>
      </c>
      <c r="P276" s="2" t="s">
        <v>44</v>
      </c>
      <c r="Q276" s="3" t="s">
        <v>44</v>
      </c>
      <c r="R276" s="2" t="s">
        <v>44</v>
      </c>
      <c r="S276" s="2" t="s">
        <v>56</v>
      </c>
      <c r="T276" s="5">
        <v>35300</v>
      </c>
      <c r="U276" s="5">
        <v>7900</v>
      </c>
      <c r="V276" s="4">
        <v>2</v>
      </c>
      <c r="W276" s="4">
        <v>30</v>
      </c>
      <c r="X276" s="2" t="s">
        <v>44</v>
      </c>
      <c r="Y276" s="4">
        <v>0</v>
      </c>
      <c r="Z276" s="4">
        <v>14</v>
      </c>
      <c r="AA276" s="4">
        <v>0</v>
      </c>
      <c r="AB276" s="4">
        <v>0</v>
      </c>
      <c r="AC276" s="4">
        <v>3</v>
      </c>
      <c r="AD276" s="4">
        <v>12</v>
      </c>
      <c r="AE276" s="3" t="s">
        <v>82</v>
      </c>
      <c r="AG276">
        <f t="shared" ca="1" si="12"/>
        <v>3</v>
      </c>
      <c r="AH276" s="23" t="str" cm="1">
        <f t="array" ref="AH276">_xlfn.IFS(E276&gt;49,"50+",E276&gt;39,"40-49",E276&gt;29,"30-39",E276&gt;19,"20-29")</f>
        <v>20-29</v>
      </c>
      <c r="AI276" s="24" t="str" cm="1">
        <f t="array" aca="1" ref="AI276" ca="1">_xlfn.IFS(AG276&gt;10,"10+",AG276&gt;4,"5-10 YIL",AG276&gt;2,"3-5 YIL",AG276&gt;0.9,"1-3 YIL",AG276&lt;1,"0-1 YIL")</f>
        <v>3-5 YIL</v>
      </c>
      <c r="AJ276">
        <f t="shared" si="13"/>
        <v>2023</v>
      </c>
      <c r="AK276" t="e">
        <f t="shared" si="14"/>
        <v>#VALUE!</v>
      </c>
    </row>
    <row r="277" spans="1:37" x14ac:dyDescent="0.3">
      <c r="A277" s="6" t="s">
        <v>564</v>
      </c>
      <c r="B277" s="7" t="s">
        <v>565</v>
      </c>
      <c r="C277" s="6" t="s">
        <v>48</v>
      </c>
      <c r="D277" s="14">
        <v>27237</v>
      </c>
      <c r="E277" s="8">
        <v>52</v>
      </c>
      <c r="F277" s="6" t="s">
        <v>34</v>
      </c>
      <c r="G277" s="8">
        <v>0</v>
      </c>
      <c r="H277" s="6" t="s">
        <v>35</v>
      </c>
      <c r="I277" s="7" t="s">
        <v>70</v>
      </c>
      <c r="J277" s="7" t="s">
        <v>129</v>
      </c>
      <c r="K277" s="6" t="s">
        <v>79</v>
      </c>
      <c r="L277" s="6" t="s">
        <v>63</v>
      </c>
      <c r="M277" s="7" t="s">
        <v>80</v>
      </c>
      <c r="N277" s="6" t="s">
        <v>41</v>
      </c>
      <c r="O277" s="14">
        <v>42118</v>
      </c>
      <c r="P277" s="14">
        <v>44202</v>
      </c>
      <c r="Q277" s="7" t="s">
        <v>566</v>
      </c>
      <c r="R277" s="6">
        <v>8</v>
      </c>
      <c r="S277" s="6" t="s">
        <v>43</v>
      </c>
      <c r="T277" s="9">
        <v>123800</v>
      </c>
      <c r="U277" s="9">
        <v>8600</v>
      </c>
      <c r="V277" s="8">
        <v>1</v>
      </c>
      <c r="W277" s="8">
        <v>27</v>
      </c>
      <c r="X277" s="6" t="s">
        <v>57</v>
      </c>
      <c r="Y277" s="8">
        <v>3</v>
      </c>
      <c r="Z277" s="8">
        <v>3</v>
      </c>
      <c r="AA277" s="8">
        <v>0</v>
      </c>
      <c r="AB277" s="8">
        <v>0</v>
      </c>
      <c r="AC277" s="8">
        <v>3</v>
      </c>
      <c r="AD277" s="8">
        <v>5</v>
      </c>
      <c r="AE277" s="7" t="s">
        <v>45</v>
      </c>
      <c r="AG277">
        <f t="shared" ca="1" si="12"/>
        <v>11</v>
      </c>
      <c r="AH277" s="23" t="str" cm="1">
        <f t="array" ref="AH277">_xlfn.IFS(E277&gt;49,"50+",E277&gt;39,"40-49",E277&gt;29,"30-39",E277&gt;19,"20-29")</f>
        <v>50+</v>
      </c>
      <c r="AI277" s="24" t="str" cm="1">
        <f t="array" aca="1" ref="AI277" ca="1">_xlfn.IFS(AG277&gt;10,"10+",AG277&gt;4,"5-10 YIL",AG277&gt;2,"3-5 YIL",AG277&gt;0.9,"1-3 YIL",AG277&lt;1,"0-1 YIL")</f>
        <v>10+</v>
      </c>
      <c r="AJ277">
        <f t="shared" si="13"/>
        <v>2015</v>
      </c>
      <c r="AK277">
        <f t="shared" si="14"/>
        <v>2021</v>
      </c>
    </row>
    <row r="278" spans="1:37" x14ac:dyDescent="0.3">
      <c r="A278" s="2" t="s">
        <v>567</v>
      </c>
      <c r="B278" s="3" t="s">
        <v>421</v>
      </c>
      <c r="C278" s="2" t="s">
        <v>48</v>
      </c>
      <c r="D278" s="13">
        <v>36607</v>
      </c>
      <c r="E278" s="4">
        <v>26</v>
      </c>
      <c r="F278" s="2" t="s">
        <v>49</v>
      </c>
      <c r="G278" s="4">
        <v>2</v>
      </c>
      <c r="H278" s="2" t="s">
        <v>35</v>
      </c>
      <c r="I278" s="3" t="s">
        <v>36</v>
      </c>
      <c r="J278" s="3" t="s">
        <v>37</v>
      </c>
      <c r="K278" s="2" t="s">
        <v>38</v>
      </c>
      <c r="L278" s="2" t="s">
        <v>39</v>
      </c>
      <c r="M278" s="3" t="s">
        <v>40</v>
      </c>
      <c r="N278" s="2" t="s">
        <v>67</v>
      </c>
      <c r="O278" s="13">
        <v>44863</v>
      </c>
      <c r="P278" s="2" t="s">
        <v>44</v>
      </c>
      <c r="Q278" s="3" t="s">
        <v>44</v>
      </c>
      <c r="R278" s="2" t="s">
        <v>44</v>
      </c>
      <c r="S278" s="2" t="s">
        <v>56</v>
      </c>
      <c r="T278" s="5">
        <v>24700</v>
      </c>
      <c r="U278" s="5">
        <v>0</v>
      </c>
      <c r="V278" s="4">
        <v>13</v>
      </c>
      <c r="W278" s="4">
        <v>27</v>
      </c>
      <c r="X278" s="2" t="s">
        <v>57</v>
      </c>
      <c r="Y278" s="4">
        <v>3</v>
      </c>
      <c r="Z278" s="4">
        <v>1</v>
      </c>
      <c r="AA278" s="4">
        <v>0</v>
      </c>
      <c r="AB278" s="4">
        <v>0</v>
      </c>
      <c r="AC278" s="4">
        <v>3</v>
      </c>
      <c r="AD278" s="4">
        <v>3</v>
      </c>
      <c r="AE278" s="3" t="s">
        <v>58</v>
      </c>
      <c r="AG278">
        <f t="shared" ca="1" si="12"/>
        <v>3</v>
      </c>
      <c r="AH278" s="23" t="str" cm="1">
        <f t="array" ref="AH278">_xlfn.IFS(E278&gt;49,"50+",E278&gt;39,"40-49",E278&gt;29,"30-39",E278&gt;19,"20-29")</f>
        <v>20-29</v>
      </c>
      <c r="AI278" s="24" t="str" cm="1">
        <f t="array" aca="1" ref="AI278" ca="1">_xlfn.IFS(AG278&gt;10,"10+",AG278&gt;4,"5-10 YIL",AG278&gt;2,"3-5 YIL",AG278&gt;0.9,"1-3 YIL",AG278&lt;1,"0-1 YIL")</f>
        <v>3-5 YIL</v>
      </c>
      <c r="AJ278">
        <f t="shared" si="13"/>
        <v>2022</v>
      </c>
      <c r="AK278" t="e">
        <f t="shared" si="14"/>
        <v>#VALUE!</v>
      </c>
    </row>
    <row r="279" spans="1:37" x14ac:dyDescent="0.3">
      <c r="A279" s="6" t="s">
        <v>568</v>
      </c>
      <c r="B279" s="7" t="s">
        <v>569</v>
      </c>
      <c r="C279" s="6" t="s">
        <v>48</v>
      </c>
      <c r="D279" s="14">
        <v>31169</v>
      </c>
      <c r="E279" s="8">
        <v>41</v>
      </c>
      <c r="F279" s="6" t="s">
        <v>49</v>
      </c>
      <c r="G279" s="8">
        <v>0</v>
      </c>
      <c r="H279" s="6" t="s">
        <v>35</v>
      </c>
      <c r="I279" s="7" t="s">
        <v>36</v>
      </c>
      <c r="J279" s="7" t="s">
        <v>50</v>
      </c>
      <c r="K279" s="6" t="s">
        <v>51</v>
      </c>
      <c r="L279" s="6" t="s">
        <v>39</v>
      </c>
      <c r="M279" s="7" t="s">
        <v>40</v>
      </c>
      <c r="N279" s="6" t="s">
        <v>89</v>
      </c>
      <c r="O279" s="14">
        <v>44835</v>
      </c>
      <c r="P279" s="6" t="s">
        <v>44</v>
      </c>
      <c r="Q279" s="7" t="s">
        <v>44</v>
      </c>
      <c r="R279" s="6" t="s">
        <v>44</v>
      </c>
      <c r="S279" s="6" t="s">
        <v>56</v>
      </c>
      <c r="T279" s="9">
        <v>41700</v>
      </c>
      <c r="U279" s="9">
        <v>0</v>
      </c>
      <c r="V279" s="8">
        <v>42</v>
      </c>
      <c r="W279" s="8">
        <v>20</v>
      </c>
      <c r="X279" s="6" t="s">
        <v>57</v>
      </c>
      <c r="Y279" s="8">
        <v>10</v>
      </c>
      <c r="Z279" s="8">
        <v>14</v>
      </c>
      <c r="AA279" s="8">
        <v>0</v>
      </c>
      <c r="AB279" s="8">
        <v>0</v>
      </c>
      <c r="AC279" s="8">
        <v>3</v>
      </c>
      <c r="AD279" s="8">
        <v>10</v>
      </c>
      <c r="AE279" s="7" t="s">
        <v>82</v>
      </c>
      <c r="AG279">
        <f t="shared" ca="1" si="12"/>
        <v>3</v>
      </c>
      <c r="AH279" s="23" t="str" cm="1">
        <f t="array" ref="AH279">_xlfn.IFS(E279&gt;49,"50+",E279&gt;39,"40-49",E279&gt;29,"30-39",E279&gt;19,"20-29")</f>
        <v>40-49</v>
      </c>
      <c r="AI279" s="24" t="str" cm="1">
        <f t="array" aca="1" ref="AI279" ca="1">_xlfn.IFS(AG279&gt;10,"10+",AG279&gt;4,"5-10 YIL",AG279&gt;2,"3-5 YIL",AG279&gt;0.9,"1-3 YIL",AG279&lt;1,"0-1 YIL")</f>
        <v>3-5 YIL</v>
      </c>
      <c r="AJ279">
        <f t="shared" si="13"/>
        <v>2022</v>
      </c>
      <c r="AK279" t="e">
        <f t="shared" si="14"/>
        <v>#VALUE!</v>
      </c>
    </row>
    <row r="280" spans="1:37" x14ac:dyDescent="0.3">
      <c r="A280" s="2" t="s">
        <v>570</v>
      </c>
      <c r="B280" s="3" t="s">
        <v>571</v>
      </c>
      <c r="C280" s="2" t="s">
        <v>48</v>
      </c>
      <c r="D280" s="13">
        <v>32276</v>
      </c>
      <c r="E280" s="4">
        <v>38</v>
      </c>
      <c r="F280" s="2" t="s">
        <v>49</v>
      </c>
      <c r="G280" s="4">
        <v>0</v>
      </c>
      <c r="H280" s="2" t="s">
        <v>88</v>
      </c>
      <c r="I280" s="3" t="s">
        <v>139</v>
      </c>
      <c r="J280" s="3" t="s">
        <v>161</v>
      </c>
      <c r="K280" s="2" t="s">
        <v>51</v>
      </c>
      <c r="L280" s="2" t="s">
        <v>63</v>
      </c>
      <c r="M280" s="3" t="s">
        <v>162</v>
      </c>
      <c r="N280" s="2" t="s">
        <v>67</v>
      </c>
      <c r="O280" s="13">
        <v>44717</v>
      </c>
      <c r="P280" s="2" t="s">
        <v>44</v>
      </c>
      <c r="Q280" s="3" t="s">
        <v>44</v>
      </c>
      <c r="R280" s="2" t="s">
        <v>44</v>
      </c>
      <c r="S280" s="2" t="s">
        <v>56</v>
      </c>
      <c r="T280" s="5">
        <v>75000</v>
      </c>
      <c r="U280" s="5">
        <v>0</v>
      </c>
      <c r="V280" s="4">
        <v>8</v>
      </c>
      <c r="W280" s="4">
        <v>30</v>
      </c>
      <c r="X280" s="2" t="s">
        <v>44</v>
      </c>
      <c r="Y280" s="4">
        <v>0</v>
      </c>
      <c r="Z280" s="4">
        <v>8</v>
      </c>
      <c r="AA280" s="4">
        <v>0</v>
      </c>
      <c r="AB280" s="4">
        <v>0</v>
      </c>
      <c r="AC280" s="4">
        <v>3</v>
      </c>
      <c r="AD280" s="4">
        <v>11</v>
      </c>
      <c r="AE280" s="3" t="s">
        <v>45</v>
      </c>
      <c r="AG280">
        <f t="shared" ca="1" si="12"/>
        <v>4</v>
      </c>
      <c r="AH280" s="23" t="str" cm="1">
        <f t="array" ref="AH280">_xlfn.IFS(E280&gt;49,"50+",E280&gt;39,"40-49",E280&gt;29,"30-39",E280&gt;19,"20-29")</f>
        <v>30-39</v>
      </c>
      <c r="AI280" s="24" t="str" cm="1">
        <f t="array" aca="1" ref="AI280" ca="1">_xlfn.IFS(AG280&gt;10,"10+",AG280&gt;4,"5-10 YIL",AG280&gt;2,"3-5 YIL",AG280&gt;0.9,"1-3 YIL",AG280&lt;1,"0-1 YIL")</f>
        <v>3-5 YIL</v>
      </c>
      <c r="AJ280">
        <f t="shared" si="13"/>
        <v>2022</v>
      </c>
      <c r="AK280" t="e">
        <f t="shared" si="14"/>
        <v>#VALUE!</v>
      </c>
    </row>
    <row r="281" spans="1:37" x14ac:dyDescent="0.3">
      <c r="A281" s="6" t="s">
        <v>572</v>
      </c>
      <c r="B281" s="7" t="s">
        <v>573</v>
      </c>
      <c r="C281" s="6" t="s">
        <v>33</v>
      </c>
      <c r="D281" s="14">
        <v>35721</v>
      </c>
      <c r="E281" s="8">
        <v>29</v>
      </c>
      <c r="F281" s="6" t="s">
        <v>49</v>
      </c>
      <c r="G281" s="8">
        <v>2</v>
      </c>
      <c r="H281" s="6" t="s">
        <v>35</v>
      </c>
      <c r="I281" s="7" t="s">
        <v>36</v>
      </c>
      <c r="J281" s="7" t="s">
        <v>37</v>
      </c>
      <c r="K281" s="6" t="s">
        <v>38</v>
      </c>
      <c r="L281" s="6" t="s">
        <v>39</v>
      </c>
      <c r="M281" s="7" t="s">
        <v>40</v>
      </c>
      <c r="N281" s="6" t="s">
        <v>67</v>
      </c>
      <c r="O281" s="14">
        <v>45554</v>
      </c>
      <c r="P281" s="6" t="s">
        <v>44</v>
      </c>
      <c r="Q281" s="7" t="s">
        <v>44</v>
      </c>
      <c r="R281" s="6" t="s">
        <v>44</v>
      </c>
      <c r="S281" s="6" t="s">
        <v>56</v>
      </c>
      <c r="T281" s="9">
        <v>23800</v>
      </c>
      <c r="U281" s="9">
        <v>0</v>
      </c>
      <c r="V281" s="8">
        <v>22</v>
      </c>
      <c r="W281" s="8">
        <v>30</v>
      </c>
      <c r="X281" s="6" t="s">
        <v>44</v>
      </c>
      <c r="Y281" s="8">
        <v>0</v>
      </c>
      <c r="Z281" s="8">
        <v>11</v>
      </c>
      <c r="AA281" s="8">
        <v>0</v>
      </c>
      <c r="AB281" s="8">
        <v>0</v>
      </c>
      <c r="AC281" s="8">
        <v>2</v>
      </c>
      <c r="AD281" s="8">
        <v>3</v>
      </c>
      <c r="AE281" s="7" t="s">
        <v>82</v>
      </c>
      <c r="AG281">
        <f t="shared" ca="1" si="12"/>
        <v>1</v>
      </c>
      <c r="AH281" s="23" t="str" cm="1">
        <f t="array" ref="AH281">_xlfn.IFS(E281&gt;49,"50+",E281&gt;39,"40-49",E281&gt;29,"30-39",E281&gt;19,"20-29")</f>
        <v>20-29</v>
      </c>
      <c r="AI281" s="24" t="str" cm="1">
        <f t="array" aca="1" ref="AI281" ca="1">_xlfn.IFS(AG281&gt;10,"10+",AG281&gt;4,"5-10 YIL",AG281&gt;2,"3-5 YIL",AG281&gt;0.9,"1-3 YIL",AG281&lt;1,"0-1 YIL")</f>
        <v>1-3 YIL</v>
      </c>
      <c r="AJ281">
        <f t="shared" si="13"/>
        <v>2024</v>
      </c>
      <c r="AK281" t="e">
        <f t="shared" si="14"/>
        <v>#VALUE!</v>
      </c>
    </row>
    <row r="282" spans="1:37" x14ac:dyDescent="0.3">
      <c r="A282" s="2" t="s">
        <v>574</v>
      </c>
      <c r="B282" s="3" t="s">
        <v>575</v>
      </c>
      <c r="C282" s="2" t="s">
        <v>33</v>
      </c>
      <c r="D282" s="13">
        <v>37508</v>
      </c>
      <c r="E282" s="4">
        <v>24</v>
      </c>
      <c r="F282" s="2" t="s">
        <v>34</v>
      </c>
      <c r="G282" s="4">
        <v>0</v>
      </c>
      <c r="H282" s="2" t="s">
        <v>35</v>
      </c>
      <c r="I282" s="3" t="s">
        <v>139</v>
      </c>
      <c r="J282" s="3" t="s">
        <v>235</v>
      </c>
      <c r="K282" s="2" t="s">
        <v>38</v>
      </c>
      <c r="L282" s="2" t="s">
        <v>63</v>
      </c>
      <c r="M282" s="3" t="s">
        <v>162</v>
      </c>
      <c r="N282" s="2" t="s">
        <v>41</v>
      </c>
      <c r="O282" s="13">
        <v>45747</v>
      </c>
      <c r="P282" s="2" t="s">
        <v>44</v>
      </c>
      <c r="Q282" s="3" t="s">
        <v>44</v>
      </c>
      <c r="R282" s="2" t="s">
        <v>44</v>
      </c>
      <c r="S282" s="2" t="s">
        <v>56</v>
      </c>
      <c r="T282" s="5">
        <v>47400</v>
      </c>
      <c r="U282" s="5">
        <v>5700</v>
      </c>
      <c r="V282" s="4">
        <v>2</v>
      </c>
      <c r="W282" s="4">
        <v>28</v>
      </c>
      <c r="X282" s="2" t="s">
        <v>57</v>
      </c>
      <c r="Y282" s="4">
        <v>2</v>
      </c>
      <c r="Z282" s="4">
        <v>12</v>
      </c>
      <c r="AA282" s="4">
        <v>0</v>
      </c>
      <c r="AB282" s="4">
        <v>0</v>
      </c>
      <c r="AC282" s="4">
        <v>2</v>
      </c>
      <c r="AD282" s="4">
        <v>13</v>
      </c>
      <c r="AE282" s="3" t="s">
        <v>45</v>
      </c>
      <c r="AG282">
        <f t="shared" ca="1" si="12"/>
        <v>1</v>
      </c>
      <c r="AH282" s="23" t="str" cm="1">
        <f t="array" ref="AH282">_xlfn.IFS(E282&gt;49,"50+",E282&gt;39,"40-49",E282&gt;29,"30-39",E282&gt;19,"20-29")</f>
        <v>20-29</v>
      </c>
      <c r="AI282" s="24" t="str" cm="1">
        <f t="array" aca="1" ref="AI282" ca="1">_xlfn.IFS(AG282&gt;10,"10+",AG282&gt;4,"5-10 YIL",AG282&gt;2,"3-5 YIL",AG282&gt;0.9,"1-3 YIL",AG282&lt;1,"0-1 YIL")</f>
        <v>1-3 YIL</v>
      </c>
      <c r="AJ282">
        <f t="shared" si="13"/>
        <v>2025</v>
      </c>
      <c r="AK282" t="e">
        <f t="shared" si="14"/>
        <v>#VALUE!</v>
      </c>
    </row>
    <row r="283" spans="1:37" x14ac:dyDescent="0.3">
      <c r="A283" s="6" t="s">
        <v>576</v>
      </c>
      <c r="B283" s="7" t="s">
        <v>473</v>
      </c>
      <c r="C283" s="6" t="s">
        <v>48</v>
      </c>
      <c r="D283" s="14">
        <v>35617</v>
      </c>
      <c r="E283" s="8">
        <v>29</v>
      </c>
      <c r="F283" s="6" t="s">
        <v>49</v>
      </c>
      <c r="G283" s="8">
        <v>1</v>
      </c>
      <c r="H283" s="6" t="s">
        <v>88</v>
      </c>
      <c r="I283" s="7" t="s">
        <v>70</v>
      </c>
      <c r="J283" s="7" t="s">
        <v>71</v>
      </c>
      <c r="K283" s="6" t="s">
        <v>51</v>
      </c>
      <c r="L283" s="6" t="s">
        <v>63</v>
      </c>
      <c r="M283" s="7" t="s">
        <v>72</v>
      </c>
      <c r="N283" s="6" t="s">
        <v>67</v>
      </c>
      <c r="O283" s="14">
        <v>43563</v>
      </c>
      <c r="P283" s="6" t="s">
        <v>44</v>
      </c>
      <c r="Q283" s="7" t="s">
        <v>44</v>
      </c>
      <c r="R283" s="6" t="s">
        <v>44</v>
      </c>
      <c r="S283" s="6" t="s">
        <v>56</v>
      </c>
      <c r="T283" s="9">
        <v>55500</v>
      </c>
      <c r="U283" s="9">
        <v>6300</v>
      </c>
      <c r="V283" s="8">
        <v>5</v>
      </c>
      <c r="W283" s="8">
        <v>29</v>
      </c>
      <c r="X283" s="6" t="s">
        <v>57</v>
      </c>
      <c r="Y283" s="8">
        <v>1</v>
      </c>
      <c r="Z283" s="8">
        <v>9</v>
      </c>
      <c r="AA283" s="8">
        <v>0</v>
      </c>
      <c r="AB283" s="8">
        <v>0</v>
      </c>
      <c r="AC283" s="8">
        <v>4</v>
      </c>
      <c r="AD283" s="8">
        <v>15</v>
      </c>
      <c r="AE283" s="7" t="s">
        <v>58</v>
      </c>
      <c r="AG283">
        <f t="shared" ca="1" si="12"/>
        <v>7</v>
      </c>
      <c r="AH283" s="23" t="str" cm="1">
        <f t="array" ref="AH283">_xlfn.IFS(E283&gt;49,"50+",E283&gt;39,"40-49",E283&gt;29,"30-39",E283&gt;19,"20-29")</f>
        <v>20-29</v>
      </c>
      <c r="AI283" s="24" t="str" cm="1">
        <f t="array" aca="1" ref="AI283" ca="1">_xlfn.IFS(AG283&gt;10,"10+",AG283&gt;4,"5-10 YIL",AG283&gt;2,"3-5 YIL",AG283&gt;0.9,"1-3 YIL",AG283&lt;1,"0-1 YIL")</f>
        <v>5-10 YIL</v>
      </c>
      <c r="AJ283">
        <f t="shared" si="13"/>
        <v>2019</v>
      </c>
      <c r="AK283" t="e">
        <f t="shared" si="14"/>
        <v>#VALUE!</v>
      </c>
    </row>
    <row r="284" spans="1:37" x14ac:dyDescent="0.3">
      <c r="A284" s="2" t="s">
        <v>577</v>
      </c>
      <c r="B284" s="3" t="s">
        <v>425</v>
      </c>
      <c r="C284" s="2" t="s">
        <v>48</v>
      </c>
      <c r="D284" s="13">
        <v>36137</v>
      </c>
      <c r="E284" s="4">
        <v>28</v>
      </c>
      <c r="F284" s="2" t="s">
        <v>49</v>
      </c>
      <c r="G284" s="4">
        <v>0</v>
      </c>
      <c r="H284" s="2" t="s">
        <v>88</v>
      </c>
      <c r="I284" s="3" t="s">
        <v>36</v>
      </c>
      <c r="J284" s="3" t="s">
        <v>37</v>
      </c>
      <c r="K284" s="2" t="s">
        <v>38</v>
      </c>
      <c r="L284" s="2" t="s">
        <v>39</v>
      </c>
      <c r="M284" s="3" t="s">
        <v>40</v>
      </c>
      <c r="N284" s="2" t="s">
        <v>89</v>
      </c>
      <c r="O284" s="13">
        <v>46076</v>
      </c>
      <c r="P284" s="2" t="s">
        <v>44</v>
      </c>
      <c r="Q284" s="3" t="s">
        <v>44</v>
      </c>
      <c r="R284" s="2" t="s">
        <v>44</v>
      </c>
      <c r="S284" s="2" t="s">
        <v>56</v>
      </c>
      <c r="T284" s="5">
        <v>28000</v>
      </c>
      <c r="U284" s="5">
        <v>0</v>
      </c>
      <c r="V284" s="4">
        <v>34</v>
      </c>
      <c r="W284" s="4">
        <v>29</v>
      </c>
      <c r="X284" s="2" t="s">
        <v>57</v>
      </c>
      <c r="Y284" s="4">
        <v>1</v>
      </c>
      <c r="Z284" s="4">
        <v>0</v>
      </c>
      <c r="AA284" s="4">
        <v>0</v>
      </c>
      <c r="AB284" s="4">
        <v>0</v>
      </c>
      <c r="AC284" s="4">
        <v>3</v>
      </c>
      <c r="AD284" s="4">
        <v>9</v>
      </c>
      <c r="AE284" s="3" t="s">
        <v>58</v>
      </c>
      <c r="AG284">
        <f t="shared" ca="1" si="12"/>
        <v>0</v>
      </c>
      <c r="AH284" s="23" t="str" cm="1">
        <f t="array" ref="AH284">_xlfn.IFS(E284&gt;49,"50+",E284&gt;39,"40-49",E284&gt;29,"30-39",E284&gt;19,"20-29")</f>
        <v>20-29</v>
      </c>
      <c r="AI284" s="24" t="str" cm="1">
        <f t="array" aca="1" ref="AI284" ca="1">_xlfn.IFS(AG284&gt;10,"10+",AG284&gt;4,"5-10 YIL",AG284&gt;2,"3-5 YIL",AG284&gt;0.9,"1-3 YIL",AG284&lt;1,"0-1 YIL")</f>
        <v>0-1 YIL</v>
      </c>
      <c r="AJ284">
        <f t="shared" si="13"/>
        <v>2026</v>
      </c>
      <c r="AK284" t="e">
        <f t="shared" si="14"/>
        <v>#VALUE!</v>
      </c>
    </row>
    <row r="285" spans="1:37" x14ac:dyDescent="0.3">
      <c r="A285" s="6" t="s">
        <v>578</v>
      </c>
      <c r="B285" s="7" t="s">
        <v>166</v>
      </c>
      <c r="C285" s="6" t="s">
        <v>48</v>
      </c>
      <c r="D285" s="14">
        <v>36080</v>
      </c>
      <c r="E285" s="8">
        <v>28</v>
      </c>
      <c r="F285" s="6" t="s">
        <v>49</v>
      </c>
      <c r="G285" s="8">
        <v>1</v>
      </c>
      <c r="H285" s="6" t="s">
        <v>35</v>
      </c>
      <c r="I285" s="7" t="s">
        <v>61</v>
      </c>
      <c r="J285" s="7" t="s">
        <v>62</v>
      </c>
      <c r="K285" s="6" t="s">
        <v>38</v>
      </c>
      <c r="L285" s="6" t="s">
        <v>63</v>
      </c>
      <c r="M285" s="7" t="s">
        <v>64</v>
      </c>
      <c r="N285" s="6" t="s">
        <v>41</v>
      </c>
      <c r="O285" s="14">
        <v>45372</v>
      </c>
      <c r="P285" s="6" t="s">
        <v>44</v>
      </c>
      <c r="Q285" s="7" t="s">
        <v>44</v>
      </c>
      <c r="R285" s="6" t="s">
        <v>44</v>
      </c>
      <c r="S285" s="6" t="s">
        <v>56</v>
      </c>
      <c r="T285" s="9">
        <v>34400</v>
      </c>
      <c r="U285" s="9">
        <v>10600</v>
      </c>
      <c r="V285" s="8">
        <v>5</v>
      </c>
      <c r="W285" s="8">
        <v>29</v>
      </c>
      <c r="X285" s="6" t="s">
        <v>57</v>
      </c>
      <c r="Y285" s="8">
        <v>1</v>
      </c>
      <c r="Z285" s="8">
        <v>10</v>
      </c>
      <c r="AA285" s="8">
        <v>0</v>
      </c>
      <c r="AB285" s="8">
        <v>0</v>
      </c>
      <c r="AC285" s="8">
        <v>3</v>
      </c>
      <c r="AD285" s="8">
        <v>12</v>
      </c>
      <c r="AE285" s="7" t="s">
        <v>58</v>
      </c>
      <c r="AG285">
        <f t="shared" ca="1" si="12"/>
        <v>2</v>
      </c>
      <c r="AH285" s="23" t="str" cm="1">
        <f t="array" ref="AH285">_xlfn.IFS(E285&gt;49,"50+",E285&gt;39,"40-49",E285&gt;29,"30-39",E285&gt;19,"20-29")</f>
        <v>20-29</v>
      </c>
      <c r="AI285" s="24" t="str" cm="1">
        <f t="array" aca="1" ref="AI285" ca="1">_xlfn.IFS(AG285&gt;10,"10+",AG285&gt;4,"5-10 YIL",AG285&gt;2,"3-5 YIL",AG285&gt;0.9,"1-3 YIL",AG285&lt;1,"0-1 YIL")</f>
        <v>1-3 YIL</v>
      </c>
      <c r="AJ285">
        <f t="shared" si="13"/>
        <v>2024</v>
      </c>
      <c r="AK285" t="e">
        <f t="shared" si="14"/>
        <v>#VALUE!</v>
      </c>
    </row>
    <row r="286" spans="1:37" x14ac:dyDescent="0.3">
      <c r="A286" s="2" t="s">
        <v>579</v>
      </c>
      <c r="B286" s="3" t="s">
        <v>580</v>
      </c>
      <c r="C286" s="2" t="s">
        <v>33</v>
      </c>
      <c r="D286" s="13">
        <v>31208</v>
      </c>
      <c r="E286" s="4">
        <v>41</v>
      </c>
      <c r="F286" s="2" t="s">
        <v>34</v>
      </c>
      <c r="G286" s="4">
        <v>0</v>
      </c>
      <c r="H286" s="2" t="s">
        <v>35</v>
      </c>
      <c r="I286" s="3" t="s">
        <v>36</v>
      </c>
      <c r="J286" s="3" t="s">
        <v>50</v>
      </c>
      <c r="K286" s="2" t="s">
        <v>51</v>
      </c>
      <c r="L286" s="2" t="s">
        <v>39</v>
      </c>
      <c r="M286" s="3" t="s">
        <v>40</v>
      </c>
      <c r="N286" s="2" t="s">
        <v>41</v>
      </c>
      <c r="O286" s="13">
        <v>44497</v>
      </c>
      <c r="P286" s="2" t="s">
        <v>44</v>
      </c>
      <c r="Q286" s="3" t="s">
        <v>44</v>
      </c>
      <c r="R286" s="2" t="s">
        <v>44</v>
      </c>
      <c r="S286" s="2" t="s">
        <v>56</v>
      </c>
      <c r="T286" s="5">
        <v>43800</v>
      </c>
      <c r="U286" s="5">
        <v>0</v>
      </c>
      <c r="V286" s="4">
        <v>37</v>
      </c>
      <c r="W286" s="4">
        <v>30</v>
      </c>
      <c r="X286" s="2" t="s">
        <v>44</v>
      </c>
      <c r="Y286" s="4">
        <v>0</v>
      </c>
      <c r="Z286" s="4">
        <v>12</v>
      </c>
      <c r="AA286" s="4">
        <v>0</v>
      </c>
      <c r="AB286" s="4">
        <v>0</v>
      </c>
      <c r="AC286" s="4">
        <v>4</v>
      </c>
      <c r="AD286" s="4">
        <v>33</v>
      </c>
      <c r="AE286" s="3" t="s">
        <v>96</v>
      </c>
      <c r="AG286">
        <f t="shared" ca="1" si="12"/>
        <v>4</v>
      </c>
      <c r="AH286" s="23" t="str" cm="1">
        <f t="array" ref="AH286">_xlfn.IFS(E286&gt;49,"50+",E286&gt;39,"40-49",E286&gt;29,"30-39",E286&gt;19,"20-29")</f>
        <v>40-49</v>
      </c>
      <c r="AI286" s="24" t="str" cm="1">
        <f t="array" aca="1" ref="AI286" ca="1">_xlfn.IFS(AG286&gt;10,"10+",AG286&gt;4,"5-10 YIL",AG286&gt;2,"3-5 YIL",AG286&gt;0.9,"1-3 YIL",AG286&lt;1,"0-1 YIL")</f>
        <v>3-5 YIL</v>
      </c>
      <c r="AJ286">
        <f t="shared" si="13"/>
        <v>2021</v>
      </c>
      <c r="AK286" t="e">
        <f t="shared" si="14"/>
        <v>#VALUE!</v>
      </c>
    </row>
    <row r="287" spans="1:37" x14ac:dyDescent="0.3">
      <c r="A287" s="6" t="s">
        <v>581</v>
      </c>
      <c r="B287" s="7" t="s">
        <v>582</v>
      </c>
      <c r="C287" s="6" t="s">
        <v>48</v>
      </c>
      <c r="D287" s="14">
        <v>32929</v>
      </c>
      <c r="E287" s="8">
        <v>36</v>
      </c>
      <c r="F287" s="6" t="s">
        <v>49</v>
      </c>
      <c r="G287" s="8">
        <v>0</v>
      </c>
      <c r="H287" s="6" t="s">
        <v>35</v>
      </c>
      <c r="I287" s="7" t="s">
        <v>61</v>
      </c>
      <c r="J287" s="7" t="s">
        <v>107</v>
      </c>
      <c r="K287" s="6" t="s">
        <v>51</v>
      </c>
      <c r="L287" s="6" t="s">
        <v>63</v>
      </c>
      <c r="M287" s="7" t="s">
        <v>64</v>
      </c>
      <c r="N287" s="6" t="s">
        <v>41</v>
      </c>
      <c r="O287" s="14">
        <v>43714</v>
      </c>
      <c r="P287" s="14">
        <v>44953</v>
      </c>
      <c r="Q287" s="7" t="s">
        <v>53</v>
      </c>
      <c r="R287" s="6">
        <v>4</v>
      </c>
      <c r="S287" s="6" t="s">
        <v>43</v>
      </c>
      <c r="T287" s="9">
        <v>57900</v>
      </c>
      <c r="U287" s="9">
        <v>7000</v>
      </c>
      <c r="V287" s="8">
        <v>5</v>
      </c>
      <c r="W287" s="8">
        <v>30</v>
      </c>
      <c r="X287" s="6" t="s">
        <v>44</v>
      </c>
      <c r="Y287" s="8">
        <v>0</v>
      </c>
      <c r="Z287" s="8">
        <v>2</v>
      </c>
      <c r="AA287" s="8">
        <v>0</v>
      </c>
      <c r="AB287" s="8">
        <v>0</v>
      </c>
      <c r="AC287" s="8">
        <v>2</v>
      </c>
      <c r="AD287" s="8">
        <v>8</v>
      </c>
      <c r="AE287" s="7" t="s">
        <v>45</v>
      </c>
      <c r="AG287">
        <f t="shared" ca="1" si="12"/>
        <v>6</v>
      </c>
      <c r="AH287" s="23" t="str" cm="1">
        <f t="array" ref="AH287">_xlfn.IFS(E287&gt;49,"50+",E287&gt;39,"40-49",E287&gt;29,"30-39",E287&gt;19,"20-29")</f>
        <v>30-39</v>
      </c>
      <c r="AI287" s="24" t="str" cm="1">
        <f t="array" aca="1" ref="AI287" ca="1">_xlfn.IFS(AG287&gt;10,"10+",AG287&gt;4,"5-10 YIL",AG287&gt;2,"3-5 YIL",AG287&gt;0.9,"1-3 YIL",AG287&lt;1,"0-1 YIL")</f>
        <v>5-10 YIL</v>
      </c>
      <c r="AJ287">
        <f t="shared" si="13"/>
        <v>2019</v>
      </c>
      <c r="AK287">
        <f t="shared" si="14"/>
        <v>2023</v>
      </c>
    </row>
    <row r="288" spans="1:37" x14ac:dyDescent="0.3">
      <c r="A288" s="2" t="s">
        <v>583</v>
      </c>
      <c r="B288" s="3" t="s">
        <v>584</v>
      </c>
      <c r="C288" s="2" t="s">
        <v>48</v>
      </c>
      <c r="D288" s="13">
        <v>38120</v>
      </c>
      <c r="E288" s="4">
        <v>22</v>
      </c>
      <c r="F288" s="2" t="s">
        <v>49</v>
      </c>
      <c r="G288" s="4">
        <v>1</v>
      </c>
      <c r="H288" s="2" t="s">
        <v>184</v>
      </c>
      <c r="I288" s="3" t="s">
        <v>36</v>
      </c>
      <c r="J288" s="3" t="s">
        <v>37</v>
      </c>
      <c r="K288" s="2" t="s">
        <v>38</v>
      </c>
      <c r="L288" s="2" t="s">
        <v>39</v>
      </c>
      <c r="M288" s="3" t="s">
        <v>40</v>
      </c>
      <c r="N288" s="2" t="s">
        <v>41</v>
      </c>
      <c r="O288" s="13">
        <v>45601</v>
      </c>
      <c r="P288" s="13">
        <v>45729</v>
      </c>
      <c r="Q288" s="3" t="s">
        <v>53</v>
      </c>
      <c r="R288" s="2">
        <v>4</v>
      </c>
      <c r="S288" s="2" t="s">
        <v>43</v>
      </c>
      <c r="T288" s="5">
        <v>28700</v>
      </c>
      <c r="U288" s="5">
        <v>0</v>
      </c>
      <c r="V288" s="4">
        <v>38</v>
      </c>
      <c r="W288" s="4">
        <v>30</v>
      </c>
      <c r="X288" s="2" t="s">
        <v>44</v>
      </c>
      <c r="Y288" s="4">
        <v>0</v>
      </c>
      <c r="Z288" s="4">
        <v>11</v>
      </c>
      <c r="AA288" s="4">
        <v>0</v>
      </c>
      <c r="AB288" s="4">
        <v>0</v>
      </c>
      <c r="AC288" s="4">
        <v>4</v>
      </c>
      <c r="AD288" s="4">
        <v>27</v>
      </c>
      <c r="AE288" s="3" t="s">
        <v>73</v>
      </c>
      <c r="AG288">
        <f t="shared" ca="1" si="12"/>
        <v>1</v>
      </c>
      <c r="AH288" s="23" t="str" cm="1">
        <f t="array" ref="AH288">_xlfn.IFS(E288&gt;49,"50+",E288&gt;39,"40-49",E288&gt;29,"30-39",E288&gt;19,"20-29")</f>
        <v>20-29</v>
      </c>
      <c r="AI288" s="24" t="str" cm="1">
        <f t="array" aca="1" ref="AI288" ca="1">_xlfn.IFS(AG288&gt;10,"10+",AG288&gt;4,"5-10 YIL",AG288&gt;2,"3-5 YIL",AG288&gt;0.9,"1-3 YIL",AG288&lt;1,"0-1 YIL")</f>
        <v>1-3 YIL</v>
      </c>
      <c r="AJ288">
        <f t="shared" si="13"/>
        <v>2024</v>
      </c>
      <c r="AK288">
        <f t="shared" si="14"/>
        <v>2025</v>
      </c>
    </row>
    <row r="289" spans="1:37" x14ac:dyDescent="0.3">
      <c r="A289" s="6" t="s">
        <v>585</v>
      </c>
      <c r="B289" s="7" t="s">
        <v>166</v>
      </c>
      <c r="C289" s="6" t="s">
        <v>48</v>
      </c>
      <c r="D289" s="14">
        <v>30439</v>
      </c>
      <c r="E289" s="8">
        <v>43</v>
      </c>
      <c r="F289" s="6" t="s">
        <v>49</v>
      </c>
      <c r="G289" s="8">
        <v>3</v>
      </c>
      <c r="H289" s="6" t="s">
        <v>85</v>
      </c>
      <c r="I289" s="7" t="s">
        <v>70</v>
      </c>
      <c r="J289" s="7" t="s">
        <v>71</v>
      </c>
      <c r="K289" s="6" t="s">
        <v>51</v>
      </c>
      <c r="L289" s="6" t="s">
        <v>63</v>
      </c>
      <c r="M289" s="7" t="s">
        <v>72</v>
      </c>
      <c r="N289" s="6" t="s">
        <v>41</v>
      </c>
      <c r="O289" s="14">
        <v>44733</v>
      </c>
      <c r="P289" s="14">
        <v>45568</v>
      </c>
      <c r="Q289" s="7" t="s">
        <v>177</v>
      </c>
      <c r="R289" s="6">
        <v>3</v>
      </c>
      <c r="S289" s="6" t="s">
        <v>43</v>
      </c>
      <c r="T289" s="9">
        <v>64500</v>
      </c>
      <c r="U289" s="9">
        <v>5800</v>
      </c>
      <c r="V289" s="8">
        <v>5</v>
      </c>
      <c r="W289" s="8">
        <v>30</v>
      </c>
      <c r="X289" s="6" t="s">
        <v>44</v>
      </c>
      <c r="Y289" s="8">
        <v>0</v>
      </c>
      <c r="Z289" s="8">
        <v>11</v>
      </c>
      <c r="AA289" s="8">
        <v>0</v>
      </c>
      <c r="AB289" s="8">
        <v>0</v>
      </c>
      <c r="AC289" s="8">
        <v>4</v>
      </c>
      <c r="AD289" s="8">
        <v>38</v>
      </c>
      <c r="AE289" s="7" t="s">
        <v>45</v>
      </c>
      <c r="AG289">
        <f t="shared" ca="1" si="12"/>
        <v>4</v>
      </c>
      <c r="AH289" s="23" t="str" cm="1">
        <f t="array" ref="AH289">_xlfn.IFS(E289&gt;49,"50+",E289&gt;39,"40-49",E289&gt;29,"30-39",E289&gt;19,"20-29")</f>
        <v>40-49</v>
      </c>
      <c r="AI289" s="24" t="str" cm="1">
        <f t="array" aca="1" ref="AI289" ca="1">_xlfn.IFS(AG289&gt;10,"10+",AG289&gt;4,"5-10 YIL",AG289&gt;2,"3-5 YIL",AG289&gt;0.9,"1-3 YIL",AG289&lt;1,"0-1 YIL")</f>
        <v>3-5 YIL</v>
      </c>
      <c r="AJ289">
        <f t="shared" si="13"/>
        <v>2022</v>
      </c>
      <c r="AK289">
        <f t="shared" si="14"/>
        <v>2024</v>
      </c>
    </row>
    <row r="290" spans="1:37" x14ac:dyDescent="0.3">
      <c r="A290" s="2" t="s">
        <v>586</v>
      </c>
      <c r="B290" s="3" t="s">
        <v>587</v>
      </c>
      <c r="C290" s="2" t="s">
        <v>48</v>
      </c>
      <c r="D290" s="13">
        <v>37342</v>
      </c>
      <c r="E290" s="4">
        <v>24</v>
      </c>
      <c r="F290" s="2" t="s">
        <v>34</v>
      </c>
      <c r="G290" s="4">
        <v>0</v>
      </c>
      <c r="H290" s="2" t="s">
        <v>35</v>
      </c>
      <c r="I290" s="3" t="s">
        <v>148</v>
      </c>
      <c r="J290" s="3" t="s">
        <v>252</v>
      </c>
      <c r="K290" s="2" t="s">
        <v>38</v>
      </c>
      <c r="L290" s="2" t="s">
        <v>63</v>
      </c>
      <c r="M290" s="3" t="s">
        <v>150</v>
      </c>
      <c r="N290" s="2" t="s">
        <v>95</v>
      </c>
      <c r="O290" s="13">
        <v>45958</v>
      </c>
      <c r="P290" s="13">
        <v>46161</v>
      </c>
      <c r="Q290" s="3" t="s">
        <v>53</v>
      </c>
      <c r="R290" s="2">
        <v>4</v>
      </c>
      <c r="S290" s="2" t="s">
        <v>43</v>
      </c>
      <c r="T290" s="5">
        <v>37700</v>
      </c>
      <c r="U290" s="5">
        <v>0</v>
      </c>
      <c r="V290" s="4">
        <v>1</v>
      </c>
      <c r="W290" s="4">
        <v>29</v>
      </c>
      <c r="X290" s="2" t="s">
        <v>57</v>
      </c>
      <c r="Y290" s="4">
        <v>1</v>
      </c>
      <c r="Z290" s="4">
        <v>0</v>
      </c>
      <c r="AA290" s="4">
        <v>0</v>
      </c>
      <c r="AB290" s="4">
        <v>0</v>
      </c>
      <c r="AC290" s="4">
        <v>1</v>
      </c>
      <c r="AD290" s="4">
        <v>6</v>
      </c>
      <c r="AE290" s="3" t="s">
        <v>82</v>
      </c>
      <c r="AG290">
        <f t="shared" ca="1" si="12"/>
        <v>0</v>
      </c>
      <c r="AH290" s="23" t="str" cm="1">
        <f t="array" ref="AH290">_xlfn.IFS(E290&gt;49,"50+",E290&gt;39,"40-49",E290&gt;29,"30-39",E290&gt;19,"20-29")</f>
        <v>20-29</v>
      </c>
      <c r="AI290" s="24" t="str" cm="1">
        <f t="array" aca="1" ref="AI290" ca="1">_xlfn.IFS(AG290&gt;10,"10+",AG290&gt;4,"5-10 YIL",AG290&gt;2,"3-5 YIL",AG290&gt;0.9,"1-3 YIL",AG290&lt;1,"0-1 YIL")</f>
        <v>0-1 YIL</v>
      </c>
      <c r="AJ290">
        <f t="shared" si="13"/>
        <v>2025</v>
      </c>
      <c r="AK290">
        <f t="shared" si="14"/>
        <v>2026</v>
      </c>
    </row>
    <row r="291" spans="1:37" x14ac:dyDescent="0.3">
      <c r="A291" s="6" t="s">
        <v>588</v>
      </c>
      <c r="B291" s="7" t="s">
        <v>98</v>
      </c>
      <c r="C291" s="6" t="s">
        <v>33</v>
      </c>
      <c r="D291" s="14">
        <v>34215</v>
      </c>
      <c r="E291" s="8">
        <v>33</v>
      </c>
      <c r="F291" s="6" t="s">
        <v>49</v>
      </c>
      <c r="G291" s="8">
        <v>1</v>
      </c>
      <c r="H291" s="6" t="s">
        <v>88</v>
      </c>
      <c r="I291" s="7" t="s">
        <v>36</v>
      </c>
      <c r="J291" s="7" t="s">
        <v>50</v>
      </c>
      <c r="K291" s="6" t="s">
        <v>51</v>
      </c>
      <c r="L291" s="6" t="s">
        <v>39</v>
      </c>
      <c r="M291" s="7" t="s">
        <v>40</v>
      </c>
      <c r="N291" s="6" t="s">
        <v>67</v>
      </c>
      <c r="O291" s="14">
        <v>41932</v>
      </c>
      <c r="P291" s="6" t="s">
        <v>44</v>
      </c>
      <c r="Q291" s="7" t="s">
        <v>44</v>
      </c>
      <c r="R291" s="6" t="s">
        <v>44</v>
      </c>
      <c r="S291" s="6" t="s">
        <v>56</v>
      </c>
      <c r="T291" s="9">
        <v>44900</v>
      </c>
      <c r="U291" s="9">
        <v>0</v>
      </c>
      <c r="V291" s="8">
        <v>28</v>
      </c>
      <c r="W291" s="8">
        <v>30</v>
      </c>
      <c r="X291" s="6" t="s">
        <v>44</v>
      </c>
      <c r="Y291" s="8">
        <v>0</v>
      </c>
      <c r="Z291" s="8">
        <v>2</v>
      </c>
      <c r="AA291" s="8">
        <v>0</v>
      </c>
      <c r="AB291" s="8">
        <v>0</v>
      </c>
      <c r="AC291" s="8">
        <v>4</v>
      </c>
      <c r="AD291" s="8">
        <v>13</v>
      </c>
      <c r="AE291" s="7" t="s">
        <v>58</v>
      </c>
      <c r="AG291">
        <f t="shared" ca="1" si="12"/>
        <v>11</v>
      </c>
      <c r="AH291" s="23" t="str" cm="1">
        <f t="array" ref="AH291">_xlfn.IFS(E291&gt;49,"50+",E291&gt;39,"40-49",E291&gt;29,"30-39",E291&gt;19,"20-29")</f>
        <v>30-39</v>
      </c>
      <c r="AI291" s="24" t="str" cm="1">
        <f t="array" aca="1" ref="AI291" ca="1">_xlfn.IFS(AG291&gt;10,"10+",AG291&gt;4,"5-10 YIL",AG291&gt;2,"3-5 YIL",AG291&gt;0.9,"1-3 YIL",AG291&lt;1,"0-1 YIL")</f>
        <v>10+</v>
      </c>
      <c r="AJ291">
        <f t="shared" si="13"/>
        <v>2014</v>
      </c>
      <c r="AK291" t="e">
        <f t="shared" si="14"/>
        <v>#VALUE!</v>
      </c>
    </row>
    <row r="292" spans="1:37" x14ac:dyDescent="0.3">
      <c r="A292" s="2" t="s">
        <v>589</v>
      </c>
      <c r="B292" s="3" t="s">
        <v>590</v>
      </c>
      <c r="C292" s="2" t="s">
        <v>33</v>
      </c>
      <c r="D292" s="13">
        <v>33289</v>
      </c>
      <c r="E292" s="4">
        <v>35</v>
      </c>
      <c r="F292" s="2" t="s">
        <v>34</v>
      </c>
      <c r="G292" s="4">
        <v>0</v>
      </c>
      <c r="H292" s="2" t="s">
        <v>184</v>
      </c>
      <c r="I292" s="3" t="s">
        <v>36</v>
      </c>
      <c r="J292" s="3" t="s">
        <v>50</v>
      </c>
      <c r="K292" s="2" t="s">
        <v>51</v>
      </c>
      <c r="L292" s="2" t="s">
        <v>39</v>
      </c>
      <c r="M292" s="3" t="s">
        <v>40</v>
      </c>
      <c r="N292" s="2" t="s">
        <v>41</v>
      </c>
      <c r="O292" s="13">
        <v>42506</v>
      </c>
      <c r="P292" s="2" t="s">
        <v>44</v>
      </c>
      <c r="Q292" s="3" t="s">
        <v>44</v>
      </c>
      <c r="R292" s="2" t="s">
        <v>44</v>
      </c>
      <c r="S292" s="2" t="s">
        <v>56</v>
      </c>
      <c r="T292" s="5">
        <v>41300</v>
      </c>
      <c r="U292" s="5">
        <v>0</v>
      </c>
      <c r="V292" s="4">
        <v>34</v>
      </c>
      <c r="W292" s="4">
        <v>30</v>
      </c>
      <c r="X292" s="2" t="s">
        <v>44</v>
      </c>
      <c r="Y292" s="4">
        <v>0</v>
      </c>
      <c r="Z292" s="4">
        <v>7</v>
      </c>
      <c r="AA292" s="4">
        <v>0</v>
      </c>
      <c r="AB292" s="4">
        <v>0</v>
      </c>
      <c r="AC292" s="4">
        <v>3</v>
      </c>
      <c r="AD292" s="4">
        <v>9</v>
      </c>
      <c r="AE292" s="3" t="s">
        <v>58</v>
      </c>
      <c r="AG292">
        <f t="shared" ca="1" si="12"/>
        <v>10</v>
      </c>
      <c r="AH292" s="23" t="str" cm="1">
        <f t="array" ref="AH292">_xlfn.IFS(E292&gt;49,"50+",E292&gt;39,"40-49",E292&gt;29,"30-39",E292&gt;19,"20-29")</f>
        <v>30-39</v>
      </c>
      <c r="AI292" s="24" t="str" cm="1">
        <f t="array" aca="1" ref="AI292" ca="1">_xlfn.IFS(AG292&gt;10,"10+",AG292&gt;4,"5-10 YIL",AG292&gt;2,"3-5 YIL",AG292&gt;0.9,"1-3 YIL",AG292&lt;1,"0-1 YIL")</f>
        <v>5-10 YIL</v>
      </c>
      <c r="AJ292">
        <f t="shared" si="13"/>
        <v>2016</v>
      </c>
      <c r="AK292" t="e">
        <f t="shared" si="14"/>
        <v>#VALUE!</v>
      </c>
    </row>
    <row r="293" spans="1:37" x14ac:dyDescent="0.3">
      <c r="A293" s="6" t="s">
        <v>591</v>
      </c>
      <c r="B293" s="7" t="s">
        <v>126</v>
      </c>
      <c r="C293" s="6" t="s">
        <v>33</v>
      </c>
      <c r="D293" s="14">
        <v>29624</v>
      </c>
      <c r="E293" s="8">
        <v>45</v>
      </c>
      <c r="F293" s="6" t="s">
        <v>49</v>
      </c>
      <c r="G293" s="8">
        <v>2</v>
      </c>
      <c r="H293" s="6" t="s">
        <v>35</v>
      </c>
      <c r="I293" s="7" t="s">
        <v>36</v>
      </c>
      <c r="J293" s="7" t="s">
        <v>50</v>
      </c>
      <c r="K293" s="6" t="s">
        <v>51</v>
      </c>
      <c r="L293" s="6" t="s">
        <v>39</v>
      </c>
      <c r="M293" s="7" t="s">
        <v>40</v>
      </c>
      <c r="N293" s="6" t="s">
        <v>67</v>
      </c>
      <c r="O293" s="14">
        <v>45075</v>
      </c>
      <c r="P293" s="6" t="s">
        <v>44</v>
      </c>
      <c r="Q293" s="7" t="s">
        <v>44</v>
      </c>
      <c r="R293" s="6" t="s">
        <v>44</v>
      </c>
      <c r="S293" s="6" t="s">
        <v>56</v>
      </c>
      <c r="T293" s="9">
        <v>39000</v>
      </c>
      <c r="U293" s="9">
        <v>0</v>
      </c>
      <c r="V293" s="8">
        <v>25</v>
      </c>
      <c r="W293" s="8">
        <v>30</v>
      </c>
      <c r="X293" s="6" t="s">
        <v>44</v>
      </c>
      <c r="Y293" s="8">
        <v>0</v>
      </c>
      <c r="Z293" s="8">
        <v>12</v>
      </c>
      <c r="AA293" s="8">
        <v>0</v>
      </c>
      <c r="AB293" s="8">
        <v>0</v>
      </c>
      <c r="AC293" s="8">
        <v>2</v>
      </c>
      <c r="AD293" s="8">
        <v>18</v>
      </c>
      <c r="AE293" s="7" t="s">
        <v>45</v>
      </c>
      <c r="AG293">
        <f t="shared" ca="1" si="12"/>
        <v>3</v>
      </c>
      <c r="AH293" s="23" t="str" cm="1">
        <f t="array" ref="AH293">_xlfn.IFS(E293&gt;49,"50+",E293&gt;39,"40-49",E293&gt;29,"30-39",E293&gt;19,"20-29")</f>
        <v>40-49</v>
      </c>
      <c r="AI293" s="24" t="str" cm="1">
        <f t="array" aca="1" ref="AI293" ca="1">_xlfn.IFS(AG293&gt;10,"10+",AG293&gt;4,"5-10 YIL",AG293&gt;2,"3-5 YIL",AG293&gt;0.9,"1-3 YIL",AG293&lt;1,"0-1 YIL")</f>
        <v>3-5 YIL</v>
      </c>
      <c r="AJ293">
        <f t="shared" si="13"/>
        <v>2023</v>
      </c>
      <c r="AK293" t="e">
        <f t="shared" si="14"/>
        <v>#VALUE!</v>
      </c>
    </row>
    <row r="294" spans="1:37" x14ac:dyDescent="0.3">
      <c r="A294" s="2" t="s">
        <v>592</v>
      </c>
      <c r="B294" s="3" t="s">
        <v>593</v>
      </c>
      <c r="C294" s="2" t="s">
        <v>33</v>
      </c>
      <c r="D294" s="13">
        <v>37628</v>
      </c>
      <c r="E294" s="4">
        <v>23</v>
      </c>
      <c r="F294" s="2" t="s">
        <v>49</v>
      </c>
      <c r="G294" s="4">
        <v>1</v>
      </c>
      <c r="H294" s="2" t="s">
        <v>35</v>
      </c>
      <c r="I294" s="3" t="s">
        <v>61</v>
      </c>
      <c r="J294" s="3" t="s">
        <v>62</v>
      </c>
      <c r="K294" s="2" t="s">
        <v>38</v>
      </c>
      <c r="L294" s="2" t="s">
        <v>63</v>
      </c>
      <c r="M294" s="3" t="s">
        <v>64</v>
      </c>
      <c r="N294" s="2" t="s">
        <v>67</v>
      </c>
      <c r="O294" s="13">
        <v>45426</v>
      </c>
      <c r="P294" s="2" t="s">
        <v>44</v>
      </c>
      <c r="Q294" s="3" t="s">
        <v>44</v>
      </c>
      <c r="R294" s="2" t="s">
        <v>44</v>
      </c>
      <c r="S294" s="2" t="s">
        <v>56</v>
      </c>
      <c r="T294" s="5">
        <v>36400</v>
      </c>
      <c r="U294" s="5">
        <v>10200</v>
      </c>
      <c r="V294" s="4">
        <v>5</v>
      </c>
      <c r="W294" s="4">
        <v>29</v>
      </c>
      <c r="X294" s="2" t="s">
        <v>57</v>
      </c>
      <c r="Y294" s="4">
        <v>1</v>
      </c>
      <c r="Z294" s="4">
        <v>3</v>
      </c>
      <c r="AA294" s="4">
        <v>0</v>
      </c>
      <c r="AB294" s="4">
        <v>0</v>
      </c>
      <c r="AC294" s="4">
        <v>3</v>
      </c>
      <c r="AD294" s="4">
        <v>11</v>
      </c>
      <c r="AE294" s="3" t="s">
        <v>45</v>
      </c>
      <c r="AG294">
        <f t="shared" ca="1" si="12"/>
        <v>2</v>
      </c>
      <c r="AH294" s="23" t="str" cm="1">
        <f t="array" ref="AH294">_xlfn.IFS(E294&gt;49,"50+",E294&gt;39,"40-49",E294&gt;29,"30-39",E294&gt;19,"20-29")</f>
        <v>20-29</v>
      </c>
      <c r="AI294" s="24" t="str" cm="1">
        <f t="array" aca="1" ref="AI294" ca="1">_xlfn.IFS(AG294&gt;10,"10+",AG294&gt;4,"5-10 YIL",AG294&gt;2,"3-5 YIL",AG294&gt;0.9,"1-3 YIL",AG294&lt;1,"0-1 YIL")</f>
        <v>1-3 YIL</v>
      </c>
      <c r="AJ294">
        <f t="shared" si="13"/>
        <v>2024</v>
      </c>
      <c r="AK294" t="e">
        <f t="shared" si="14"/>
        <v>#VALUE!</v>
      </c>
    </row>
    <row r="295" spans="1:37" x14ac:dyDescent="0.3">
      <c r="A295" s="6" t="s">
        <v>594</v>
      </c>
      <c r="B295" s="7" t="s">
        <v>348</v>
      </c>
      <c r="C295" s="6" t="s">
        <v>48</v>
      </c>
      <c r="D295" s="14">
        <v>36236</v>
      </c>
      <c r="E295" s="8">
        <v>27</v>
      </c>
      <c r="F295" s="6" t="s">
        <v>49</v>
      </c>
      <c r="G295" s="8">
        <v>1</v>
      </c>
      <c r="H295" s="6" t="s">
        <v>35</v>
      </c>
      <c r="I295" s="7" t="s">
        <v>148</v>
      </c>
      <c r="J295" s="7" t="s">
        <v>252</v>
      </c>
      <c r="K295" s="6" t="s">
        <v>38</v>
      </c>
      <c r="L295" s="6" t="s">
        <v>63</v>
      </c>
      <c r="M295" s="7" t="s">
        <v>150</v>
      </c>
      <c r="N295" s="6" t="s">
        <v>67</v>
      </c>
      <c r="O295" s="14">
        <v>45058</v>
      </c>
      <c r="P295" s="14">
        <v>45315</v>
      </c>
      <c r="Q295" s="7" t="s">
        <v>53</v>
      </c>
      <c r="R295" s="6">
        <v>4</v>
      </c>
      <c r="S295" s="6" t="s">
        <v>43</v>
      </c>
      <c r="T295" s="9">
        <v>32600</v>
      </c>
      <c r="U295" s="9">
        <v>0</v>
      </c>
      <c r="V295" s="8">
        <v>8</v>
      </c>
      <c r="W295" s="8">
        <v>30</v>
      </c>
      <c r="X295" s="6" t="s">
        <v>44</v>
      </c>
      <c r="Y295" s="8">
        <v>0</v>
      </c>
      <c r="Z295" s="8">
        <v>12</v>
      </c>
      <c r="AA295" s="8">
        <v>0</v>
      </c>
      <c r="AB295" s="8">
        <v>0</v>
      </c>
      <c r="AC295" s="8">
        <v>3</v>
      </c>
      <c r="AD295" s="8">
        <v>7</v>
      </c>
      <c r="AE295" s="7" t="s">
        <v>45</v>
      </c>
      <c r="AG295">
        <f t="shared" ca="1" si="12"/>
        <v>3</v>
      </c>
      <c r="AH295" s="23" t="str" cm="1">
        <f t="array" ref="AH295">_xlfn.IFS(E295&gt;49,"50+",E295&gt;39,"40-49",E295&gt;29,"30-39",E295&gt;19,"20-29")</f>
        <v>20-29</v>
      </c>
      <c r="AI295" s="24" t="str" cm="1">
        <f t="array" aca="1" ref="AI295" ca="1">_xlfn.IFS(AG295&gt;10,"10+",AG295&gt;4,"5-10 YIL",AG295&gt;2,"3-5 YIL",AG295&gt;0.9,"1-3 YIL",AG295&lt;1,"0-1 YIL")</f>
        <v>3-5 YIL</v>
      </c>
      <c r="AJ295">
        <f t="shared" si="13"/>
        <v>2023</v>
      </c>
      <c r="AK295">
        <f t="shared" si="14"/>
        <v>2024</v>
      </c>
    </row>
    <row r="296" spans="1:37" x14ac:dyDescent="0.3">
      <c r="A296" s="2" t="s">
        <v>595</v>
      </c>
      <c r="B296" s="3" t="s">
        <v>145</v>
      </c>
      <c r="C296" s="2" t="s">
        <v>48</v>
      </c>
      <c r="D296" s="13">
        <v>33918</v>
      </c>
      <c r="E296" s="4">
        <v>34</v>
      </c>
      <c r="F296" s="2" t="s">
        <v>34</v>
      </c>
      <c r="G296" s="4">
        <v>0</v>
      </c>
      <c r="H296" s="2" t="s">
        <v>35</v>
      </c>
      <c r="I296" s="3" t="s">
        <v>61</v>
      </c>
      <c r="J296" s="3" t="s">
        <v>107</v>
      </c>
      <c r="K296" s="2" t="s">
        <v>51</v>
      </c>
      <c r="L296" s="2" t="s">
        <v>63</v>
      </c>
      <c r="M296" s="3" t="s">
        <v>64</v>
      </c>
      <c r="N296" s="2" t="s">
        <v>41</v>
      </c>
      <c r="O296" s="13">
        <v>42298</v>
      </c>
      <c r="P296" s="2" t="s">
        <v>44</v>
      </c>
      <c r="Q296" s="3" t="s">
        <v>44</v>
      </c>
      <c r="R296" s="2" t="s">
        <v>44</v>
      </c>
      <c r="S296" s="2" t="s">
        <v>56</v>
      </c>
      <c r="T296" s="5">
        <v>57700</v>
      </c>
      <c r="U296" s="5">
        <v>0</v>
      </c>
      <c r="V296" s="4">
        <v>4</v>
      </c>
      <c r="W296" s="4">
        <v>30</v>
      </c>
      <c r="X296" s="2" t="s">
        <v>44</v>
      </c>
      <c r="Y296" s="4">
        <v>0</v>
      </c>
      <c r="Z296" s="4">
        <v>10</v>
      </c>
      <c r="AA296" s="4">
        <v>0</v>
      </c>
      <c r="AB296" s="4">
        <v>0</v>
      </c>
      <c r="AC296" s="4">
        <v>4</v>
      </c>
      <c r="AD296" s="4">
        <v>29</v>
      </c>
      <c r="AE296" s="3" t="s">
        <v>45</v>
      </c>
      <c r="AG296">
        <f t="shared" ca="1" si="12"/>
        <v>10</v>
      </c>
      <c r="AH296" s="23" t="str" cm="1">
        <f t="array" ref="AH296">_xlfn.IFS(E296&gt;49,"50+",E296&gt;39,"40-49",E296&gt;29,"30-39",E296&gt;19,"20-29")</f>
        <v>30-39</v>
      </c>
      <c r="AI296" s="24" t="str" cm="1">
        <f t="array" aca="1" ref="AI296" ca="1">_xlfn.IFS(AG296&gt;10,"10+",AG296&gt;4,"5-10 YIL",AG296&gt;2,"3-5 YIL",AG296&gt;0.9,"1-3 YIL",AG296&lt;1,"0-1 YIL")</f>
        <v>5-10 YIL</v>
      </c>
      <c r="AJ296">
        <f t="shared" si="13"/>
        <v>2015</v>
      </c>
      <c r="AK296" t="e">
        <f t="shared" si="14"/>
        <v>#VALUE!</v>
      </c>
    </row>
    <row r="297" spans="1:37" x14ac:dyDescent="0.3">
      <c r="A297" s="6" t="s">
        <v>596</v>
      </c>
      <c r="B297" s="7" t="s">
        <v>379</v>
      </c>
      <c r="C297" s="6" t="s">
        <v>48</v>
      </c>
      <c r="D297" s="14">
        <v>37577</v>
      </c>
      <c r="E297" s="8">
        <v>24</v>
      </c>
      <c r="F297" s="6" t="s">
        <v>49</v>
      </c>
      <c r="G297" s="8">
        <v>0</v>
      </c>
      <c r="H297" s="6" t="s">
        <v>35</v>
      </c>
      <c r="I297" s="7" t="s">
        <v>36</v>
      </c>
      <c r="J297" s="7" t="s">
        <v>37</v>
      </c>
      <c r="K297" s="6" t="s">
        <v>38</v>
      </c>
      <c r="L297" s="6" t="s">
        <v>39</v>
      </c>
      <c r="M297" s="7" t="s">
        <v>40</v>
      </c>
      <c r="N297" s="6" t="s">
        <v>41</v>
      </c>
      <c r="O297" s="14">
        <v>45344</v>
      </c>
      <c r="P297" s="6" t="s">
        <v>44</v>
      </c>
      <c r="Q297" s="7" t="s">
        <v>44</v>
      </c>
      <c r="R297" s="6" t="s">
        <v>44</v>
      </c>
      <c r="S297" s="6" t="s">
        <v>56</v>
      </c>
      <c r="T297" s="9">
        <v>24300</v>
      </c>
      <c r="U297" s="9">
        <v>0</v>
      </c>
      <c r="V297" s="8">
        <v>24</v>
      </c>
      <c r="W297" s="8">
        <v>30</v>
      </c>
      <c r="X297" s="6" t="s">
        <v>44</v>
      </c>
      <c r="Y297" s="8">
        <v>0</v>
      </c>
      <c r="Z297" s="8">
        <v>14</v>
      </c>
      <c r="AA297" s="8">
        <v>0</v>
      </c>
      <c r="AB297" s="8">
        <v>0</v>
      </c>
      <c r="AC297" s="8">
        <v>2</v>
      </c>
      <c r="AD297" s="8">
        <v>13</v>
      </c>
      <c r="AE297" s="7" t="s">
        <v>45</v>
      </c>
      <c r="AG297">
        <f t="shared" ca="1" si="12"/>
        <v>2</v>
      </c>
      <c r="AH297" s="23" t="str" cm="1">
        <f t="array" ref="AH297">_xlfn.IFS(E297&gt;49,"50+",E297&gt;39,"40-49",E297&gt;29,"30-39",E297&gt;19,"20-29")</f>
        <v>20-29</v>
      </c>
      <c r="AI297" s="24" t="str" cm="1">
        <f t="array" aca="1" ref="AI297" ca="1">_xlfn.IFS(AG297&gt;10,"10+",AG297&gt;4,"5-10 YIL",AG297&gt;2,"3-5 YIL",AG297&gt;0.9,"1-3 YIL",AG297&lt;1,"0-1 YIL")</f>
        <v>1-3 YIL</v>
      </c>
      <c r="AJ297">
        <f t="shared" si="13"/>
        <v>2024</v>
      </c>
      <c r="AK297" t="e">
        <f t="shared" si="14"/>
        <v>#VALUE!</v>
      </c>
    </row>
    <row r="298" spans="1:37" x14ac:dyDescent="0.3">
      <c r="A298" s="2" t="s">
        <v>597</v>
      </c>
      <c r="B298" s="3" t="s">
        <v>598</v>
      </c>
      <c r="C298" s="2" t="s">
        <v>33</v>
      </c>
      <c r="D298" s="13">
        <v>37565</v>
      </c>
      <c r="E298" s="4">
        <v>24</v>
      </c>
      <c r="F298" s="2" t="s">
        <v>34</v>
      </c>
      <c r="G298" s="4">
        <v>0</v>
      </c>
      <c r="H298" s="2" t="s">
        <v>35</v>
      </c>
      <c r="I298" s="3" t="s">
        <v>36</v>
      </c>
      <c r="J298" s="3" t="s">
        <v>37</v>
      </c>
      <c r="K298" s="2" t="s">
        <v>38</v>
      </c>
      <c r="L298" s="2" t="s">
        <v>39</v>
      </c>
      <c r="M298" s="3" t="s">
        <v>40</v>
      </c>
      <c r="N298" s="2" t="s">
        <v>95</v>
      </c>
      <c r="O298" s="13">
        <v>44805</v>
      </c>
      <c r="P298" s="2" t="s">
        <v>44</v>
      </c>
      <c r="Q298" s="3" t="s">
        <v>44</v>
      </c>
      <c r="R298" s="2" t="s">
        <v>44</v>
      </c>
      <c r="S298" s="2" t="s">
        <v>56</v>
      </c>
      <c r="T298" s="5">
        <v>26300</v>
      </c>
      <c r="U298" s="5">
        <v>0</v>
      </c>
      <c r="V298" s="4">
        <v>19</v>
      </c>
      <c r="W298" s="4">
        <v>29</v>
      </c>
      <c r="X298" s="2" t="s">
        <v>81</v>
      </c>
      <c r="Y298" s="4">
        <v>0</v>
      </c>
      <c r="Z298" s="4">
        <v>14</v>
      </c>
      <c r="AA298" s="4">
        <v>1</v>
      </c>
      <c r="AB298" s="4">
        <v>0</v>
      </c>
      <c r="AC298" s="4">
        <v>2</v>
      </c>
      <c r="AD298" s="4">
        <v>8</v>
      </c>
      <c r="AE298" s="3" t="s">
        <v>45</v>
      </c>
      <c r="AG298">
        <f t="shared" ca="1" si="12"/>
        <v>3</v>
      </c>
      <c r="AH298" s="23" t="str" cm="1">
        <f t="array" ref="AH298">_xlfn.IFS(E298&gt;49,"50+",E298&gt;39,"40-49",E298&gt;29,"30-39",E298&gt;19,"20-29")</f>
        <v>20-29</v>
      </c>
      <c r="AI298" s="24" t="str" cm="1">
        <f t="array" aca="1" ref="AI298" ca="1">_xlfn.IFS(AG298&gt;10,"10+",AG298&gt;4,"5-10 YIL",AG298&gt;2,"3-5 YIL",AG298&gt;0.9,"1-3 YIL",AG298&lt;1,"0-1 YIL")</f>
        <v>3-5 YIL</v>
      </c>
      <c r="AJ298">
        <f t="shared" si="13"/>
        <v>2022</v>
      </c>
      <c r="AK298" t="e">
        <f t="shared" si="14"/>
        <v>#VALUE!</v>
      </c>
    </row>
    <row r="299" spans="1:37" x14ac:dyDescent="0.3">
      <c r="A299" s="6" t="s">
        <v>599</v>
      </c>
      <c r="B299" s="7" t="s">
        <v>593</v>
      </c>
      <c r="C299" s="6" t="s">
        <v>33</v>
      </c>
      <c r="D299" s="14">
        <v>36945</v>
      </c>
      <c r="E299" s="8">
        <v>25</v>
      </c>
      <c r="F299" s="6" t="s">
        <v>34</v>
      </c>
      <c r="G299" s="8">
        <v>0</v>
      </c>
      <c r="H299" s="6" t="s">
        <v>35</v>
      </c>
      <c r="I299" s="7" t="s">
        <v>148</v>
      </c>
      <c r="J299" s="7" t="s">
        <v>252</v>
      </c>
      <c r="K299" s="6" t="s">
        <v>38</v>
      </c>
      <c r="L299" s="6" t="s">
        <v>63</v>
      </c>
      <c r="M299" s="7" t="s">
        <v>150</v>
      </c>
      <c r="N299" s="6" t="s">
        <v>41</v>
      </c>
      <c r="O299" s="14">
        <v>44938</v>
      </c>
      <c r="P299" s="14">
        <v>45813</v>
      </c>
      <c r="Q299" s="7" t="s">
        <v>53</v>
      </c>
      <c r="R299" s="6">
        <v>4</v>
      </c>
      <c r="S299" s="6" t="s">
        <v>43</v>
      </c>
      <c r="T299" s="9">
        <v>32700</v>
      </c>
      <c r="U299" s="9">
        <v>0</v>
      </c>
      <c r="V299" s="8">
        <v>1</v>
      </c>
      <c r="W299" s="8">
        <v>30</v>
      </c>
      <c r="X299" s="6" t="s">
        <v>44</v>
      </c>
      <c r="Y299" s="8">
        <v>0</v>
      </c>
      <c r="Z299" s="8">
        <v>0</v>
      </c>
      <c r="AA299" s="8">
        <v>0</v>
      </c>
      <c r="AB299" s="8">
        <v>0</v>
      </c>
      <c r="AC299" s="8">
        <v>4</v>
      </c>
      <c r="AD299" s="8">
        <v>13</v>
      </c>
      <c r="AE299" s="7" t="s">
        <v>73</v>
      </c>
      <c r="AG299">
        <f t="shared" ca="1" si="12"/>
        <v>3</v>
      </c>
      <c r="AH299" s="23" t="str" cm="1">
        <f t="array" ref="AH299">_xlfn.IFS(E299&gt;49,"50+",E299&gt;39,"40-49",E299&gt;29,"30-39",E299&gt;19,"20-29")</f>
        <v>20-29</v>
      </c>
      <c r="AI299" s="24" t="str" cm="1">
        <f t="array" aca="1" ref="AI299" ca="1">_xlfn.IFS(AG299&gt;10,"10+",AG299&gt;4,"5-10 YIL",AG299&gt;2,"3-5 YIL",AG299&gt;0.9,"1-3 YIL",AG299&lt;1,"0-1 YIL")</f>
        <v>3-5 YIL</v>
      </c>
      <c r="AJ299">
        <f t="shared" si="13"/>
        <v>2023</v>
      </c>
      <c r="AK299">
        <f t="shared" si="14"/>
        <v>2025</v>
      </c>
    </row>
    <row r="300" spans="1:37" x14ac:dyDescent="0.3">
      <c r="A300" s="2" t="s">
        <v>600</v>
      </c>
      <c r="B300" s="3" t="s">
        <v>601</v>
      </c>
      <c r="C300" s="2" t="s">
        <v>33</v>
      </c>
      <c r="D300" s="13">
        <v>36174</v>
      </c>
      <c r="E300" s="4">
        <v>27</v>
      </c>
      <c r="F300" s="2" t="s">
        <v>49</v>
      </c>
      <c r="G300" s="4">
        <v>1</v>
      </c>
      <c r="H300" s="2" t="s">
        <v>35</v>
      </c>
      <c r="I300" s="3" t="s">
        <v>36</v>
      </c>
      <c r="J300" s="3" t="s">
        <v>37</v>
      </c>
      <c r="K300" s="2" t="s">
        <v>38</v>
      </c>
      <c r="L300" s="2" t="s">
        <v>39</v>
      </c>
      <c r="M300" s="3" t="s">
        <v>40</v>
      </c>
      <c r="N300" s="2" t="s">
        <v>41</v>
      </c>
      <c r="O300" s="13">
        <v>44753</v>
      </c>
      <c r="P300" s="2" t="s">
        <v>44</v>
      </c>
      <c r="Q300" s="3" t="s">
        <v>44</v>
      </c>
      <c r="R300" s="2" t="s">
        <v>44</v>
      </c>
      <c r="S300" s="2" t="s">
        <v>56</v>
      </c>
      <c r="T300" s="5">
        <v>24400</v>
      </c>
      <c r="U300" s="5">
        <v>0</v>
      </c>
      <c r="V300" s="4">
        <v>27</v>
      </c>
      <c r="W300" s="4">
        <v>30</v>
      </c>
      <c r="X300" s="2" t="s">
        <v>44</v>
      </c>
      <c r="Y300" s="4">
        <v>0</v>
      </c>
      <c r="Z300" s="4">
        <v>5</v>
      </c>
      <c r="AA300" s="4">
        <v>0</v>
      </c>
      <c r="AB300" s="4">
        <v>0</v>
      </c>
      <c r="AC300" s="4">
        <v>4</v>
      </c>
      <c r="AD300" s="4">
        <v>22</v>
      </c>
      <c r="AE300" s="3" t="s">
        <v>58</v>
      </c>
      <c r="AG300">
        <f t="shared" ca="1" si="12"/>
        <v>3</v>
      </c>
      <c r="AH300" s="23" t="str" cm="1">
        <f t="array" ref="AH300">_xlfn.IFS(E300&gt;49,"50+",E300&gt;39,"40-49",E300&gt;29,"30-39",E300&gt;19,"20-29")</f>
        <v>20-29</v>
      </c>
      <c r="AI300" s="24" t="str" cm="1">
        <f t="array" aca="1" ref="AI300" ca="1">_xlfn.IFS(AG300&gt;10,"10+",AG300&gt;4,"5-10 YIL",AG300&gt;2,"3-5 YIL",AG300&gt;0.9,"1-3 YIL",AG300&lt;1,"0-1 YIL")</f>
        <v>3-5 YIL</v>
      </c>
      <c r="AJ300">
        <f t="shared" si="13"/>
        <v>2022</v>
      </c>
      <c r="AK300" t="e">
        <f t="shared" si="14"/>
        <v>#VALUE!</v>
      </c>
    </row>
    <row r="301" spans="1:37" x14ac:dyDescent="0.3">
      <c r="A301" s="6" t="s">
        <v>602</v>
      </c>
      <c r="B301" s="7" t="s">
        <v>120</v>
      </c>
      <c r="C301" s="6" t="s">
        <v>33</v>
      </c>
      <c r="D301" s="14">
        <v>32608</v>
      </c>
      <c r="E301" s="8">
        <v>37</v>
      </c>
      <c r="F301" s="6" t="s">
        <v>49</v>
      </c>
      <c r="G301" s="8">
        <v>3</v>
      </c>
      <c r="H301" s="6" t="s">
        <v>35</v>
      </c>
      <c r="I301" s="7" t="s">
        <v>70</v>
      </c>
      <c r="J301" s="7" t="s">
        <v>71</v>
      </c>
      <c r="K301" s="6" t="s">
        <v>51</v>
      </c>
      <c r="L301" s="6" t="s">
        <v>63</v>
      </c>
      <c r="M301" s="7" t="s">
        <v>72</v>
      </c>
      <c r="N301" s="6" t="s">
        <v>41</v>
      </c>
      <c r="O301" s="14">
        <v>44064</v>
      </c>
      <c r="P301" s="6" t="s">
        <v>44</v>
      </c>
      <c r="Q301" s="7" t="s">
        <v>44</v>
      </c>
      <c r="R301" s="6" t="s">
        <v>44</v>
      </c>
      <c r="S301" s="6" t="s">
        <v>56</v>
      </c>
      <c r="T301" s="9">
        <v>58800</v>
      </c>
      <c r="U301" s="9">
        <v>0</v>
      </c>
      <c r="V301" s="8">
        <v>5</v>
      </c>
      <c r="W301" s="8">
        <v>30</v>
      </c>
      <c r="X301" s="6" t="s">
        <v>44</v>
      </c>
      <c r="Y301" s="8">
        <v>0</v>
      </c>
      <c r="Z301" s="8">
        <v>10</v>
      </c>
      <c r="AA301" s="8">
        <v>0</v>
      </c>
      <c r="AB301" s="8">
        <v>0</v>
      </c>
      <c r="AC301" s="8">
        <v>4</v>
      </c>
      <c r="AD301" s="8">
        <v>12</v>
      </c>
      <c r="AE301" s="7" t="s">
        <v>82</v>
      </c>
      <c r="AG301">
        <f t="shared" ca="1" si="12"/>
        <v>5</v>
      </c>
      <c r="AH301" s="23" t="str" cm="1">
        <f t="array" ref="AH301">_xlfn.IFS(E301&gt;49,"50+",E301&gt;39,"40-49",E301&gt;29,"30-39",E301&gt;19,"20-29")</f>
        <v>30-39</v>
      </c>
      <c r="AI301" s="24" t="str" cm="1">
        <f t="array" aca="1" ref="AI301" ca="1">_xlfn.IFS(AG301&gt;10,"10+",AG301&gt;4,"5-10 YIL",AG301&gt;2,"3-5 YIL",AG301&gt;0.9,"1-3 YIL",AG301&lt;1,"0-1 YIL")</f>
        <v>5-10 YIL</v>
      </c>
      <c r="AJ301">
        <f t="shared" si="13"/>
        <v>2020</v>
      </c>
      <c r="AK301" t="e">
        <f t="shared" si="14"/>
        <v>#VALUE!</v>
      </c>
    </row>
    <row r="302" spans="1:37" x14ac:dyDescent="0.3">
      <c r="A302" s="2" t="s">
        <v>603</v>
      </c>
      <c r="B302" s="3" t="s">
        <v>604</v>
      </c>
      <c r="C302" s="2" t="s">
        <v>33</v>
      </c>
      <c r="D302" s="13">
        <v>37029</v>
      </c>
      <c r="E302" s="4">
        <v>25</v>
      </c>
      <c r="F302" s="2" t="s">
        <v>49</v>
      </c>
      <c r="G302" s="4">
        <v>0</v>
      </c>
      <c r="H302" s="2" t="s">
        <v>35</v>
      </c>
      <c r="I302" s="3" t="s">
        <v>36</v>
      </c>
      <c r="J302" s="3" t="s">
        <v>37</v>
      </c>
      <c r="K302" s="2" t="s">
        <v>38</v>
      </c>
      <c r="L302" s="2" t="s">
        <v>39</v>
      </c>
      <c r="M302" s="3" t="s">
        <v>40</v>
      </c>
      <c r="N302" s="2" t="s">
        <v>95</v>
      </c>
      <c r="O302" s="13">
        <v>45312</v>
      </c>
      <c r="P302" s="2" t="s">
        <v>44</v>
      </c>
      <c r="Q302" s="3" t="s">
        <v>44</v>
      </c>
      <c r="R302" s="2" t="s">
        <v>44</v>
      </c>
      <c r="S302" s="2" t="s">
        <v>56</v>
      </c>
      <c r="T302" s="5">
        <v>25500</v>
      </c>
      <c r="U302" s="5">
        <v>0</v>
      </c>
      <c r="V302" s="4">
        <v>34</v>
      </c>
      <c r="W302" s="4">
        <v>30</v>
      </c>
      <c r="X302" s="2" t="s">
        <v>44</v>
      </c>
      <c r="Y302" s="4">
        <v>0</v>
      </c>
      <c r="Z302" s="4">
        <v>2</v>
      </c>
      <c r="AA302" s="4">
        <v>0</v>
      </c>
      <c r="AB302" s="4">
        <v>0</v>
      </c>
      <c r="AC302" s="4">
        <v>3</v>
      </c>
      <c r="AD302" s="4">
        <v>17</v>
      </c>
      <c r="AE302" s="3" t="s">
        <v>58</v>
      </c>
      <c r="AG302">
        <f t="shared" ca="1" si="12"/>
        <v>2</v>
      </c>
      <c r="AH302" s="23" t="str" cm="1">
        <f t="array" ref="AH302">_xlfn.IFS(E302&gt;49,"50+",E302&gt;39,"40-49",E302&gt;29,"30-39",E302&gt;19,"20-29")</f>
        <v>20-29</v>
      </c>
      <c r="AI302" s="24" t="str" cm="1">
        <f t="array" aca="1" ref="AI302" ca="1">_xlfn.IFS(AG302&gt;10,"10+",AG302&gt;4,"5-10 YIL",AG302&gt;2,"3-5 YIL",AG302&gt;0.9,"1-3 YIL",AG302&lt;1,"0-1 YIL")</f>
        <v>1-3 YIL</v>
      </c>
      <c r="AJ302">
        <f t="shared" si="13"/>
        <v>2024</v>
      </c>
      <c r="AK302" t="e">
        <f t="shared" si="14"/>
        <v>#VALUE!</v>
      </c>
    </row>
    <row r="303" spans="1:37" x14ac:dyDescent="0.3">
      <c r="A303" s="6" t="s">
        <v>605</v>
      </c>
      <c r="B303" s="7" t="s">
        <v>66</v>
      </c>
      <c r="C303" s="6" t="s">
        <v>33</v>
      </c>
      <c r="D303" s="14">
        <v>29480</v>
      </c>
      <c r="E303" s="8">
        <v>46</v>
      </c>
      <c r="F303" s="6" t="s">
        <v>34</v>
      </c>
      <c r="G303" s="8">
        <v>0</v>
      </c>
      <c r="H303" s="6" t="s">
        <v>35</v>
      </c>
      <c r="I303" s="7" t="s">
        <v>61</v>
      </c>
      <c r="J303" s="7" t="s">
        <v>107</v>
      </c>
      <c r="K303" s="6" t="s">
        <v>51</v>
      </c>
      <c r="L303" s="6" t="s">
        <v>63</v>
      </c>
      <c r="M303" s="7" t="s">
        <v>64</v>
      </c>
      <c r="N303" s="6" t="s">
        <v>41</v>
      </c>
      <c r="O303" s="14">
        <v>44540</v>
      </c>
      <c r="P303" s="6" t="s">
        <v>44</v>
      </c>
      <c r="Q303" s="7" t="s">
        <v>44</v>
      </c>
      <c r="R303" s="6" t="s">
        <v>44</v>
      </c>
      <c r="S303" s="6" t="s">
        <v>56</v>
      </c>
      <c r="T303" s="9">
        <v>60200</v>
      </c>
      <c r="U303" s="9">
        <v>7300</v>
      </c>
      <c r="V303" s="8">
        <v>2</v>
      </c>
      <c r="W303" s="8">
        <v>30</v>
      </c>
      <c r="X303" s="6" t="s">
        <v>44</v>
      </c>
      <c r="Y303" s="8">
        <v>0</v>
      </c>
      <c r="Z303" s="8">
        <v>2</v>
      </c>
      <c r="AA303" s="8">
        <v>0</v>
      </c>
      <c r="AB303" s="8">
        <v>0</v>
      </c>
      <c r="AC303" s="8">
        <v>1</v>
      </c>
      <c r="AD303" s="8">
        <v>16</v>
      </c>
      <c r="AE303" s="7" t="s">
        <v>96</v>
      </c>
      <c r="AG303">
        <f t="shared" ca="1" si="12"/>
        <v>4</v>
      </c>
      <c r="AH303" s="23" t="str" cm="1">
        <f t="array" ref="AH303">_xlfn.IFS(E303&gt;49,"50+",E303&gt;39,"40-49",E303&gt;29,"30-39",E303&gt;19,"20-29")</f>
        <v>40-49</v>
      </c>
      <c r="AI303" s="24" t="str" cm="1">
        <f t="array" aca="1" ref="AI303" ca="1">_xlfn.IFS(AG303&gt;10,"10+",AG303&gt;4,"5-10 YIL",AG303&gt;2,"3-5 YIL",AG303&gt;0.9,"1-3 YIL",AG303&lt;1,"0-1 YIL")</f>
        <v>3-5 YIL</v>
      </c>
      <c r="AJ303">
        <f t="shared" si="13"/>
        <v>2021</v>
      </c>
      <c r="AK303" t="e">
        <f t="shared" si="14"/>
        <v>#VALUE!</v>
      </c>
    </row>
    <row r="304" spans="1:37" x14ac:dyDescent="0.3">
      <c r="A304" s="2" t="s">
        <v>606</v>
      </c>
      <c r="B304" s="3" t="s">
        <v>582</v>
      </c>
      <c r="C304" s="2" t="s">
        <v>48</v>
      </c>
      <c r="D304" s="13">
        <v>30988</v>
      </c>
      <c r="E304" s="4">
        <v>42</v>
      </c>
      <c r="F304" s="2" t="s">
        <v>49</v>
      </c>
      <c r="G304" s="4">
        <v>0</v>
      </c>
      <c r="H304" s="2" t="s">
        <v>35</v>
      </c>
      <c r="I304" s="3" t="s">
        <v>139</v>
      </c>
      <c r="J304" s="3" t="s">
        <v>140</v>
      </c>
      <c r="K304" s="2" t="s">
        <v>79</v>
      </c>
      <c r="L304" s="2" t="s">
        <v>63</v>
      </c>
      <c r="M304" s="3" t="s">
        <v>80</v>
      </c>
      <c r="N304" s="2" t="s">
        <v>89</v>
      </c>
      <c r="O304" s="13">
        <v>40129</v>
      </c>
      <c r="P304" s="2" t="s">
        <v>44</v>
      </c>
      <c r="Q304" s="3" t="s">
        <v>44</v>
      </c>
      <c r="R304" s="2" t="s">
        <v>44</v>
      </c>
      <c r="S304" s="2" t="s">
        <v>56</v>
      </c>
      <c r="T304" s="5">
        <v>124900</v>
      </c>
      <c r="U304" s="5">
        <v>16700</v>
      </c>
      <c r="V304" s="4">
        <v>7</v>
      </c>
      <c r="W304" s="4">
        <v>30</v>
      </c>
      <c r="X304" s="2" t="s">
        <v>44</v>
      </c>
      <c r="Y304" s="4">
        <v>0</v>
      </c>
      <c r="Z304" s="4">
        <v>14</v>
      </c>
      <c r="AA304" s="4">
        <v>0</v>
      </c>
      <c r="AB304" s="4">
        <v>0</v>
      </c>
      <c r="AC304" s="4">
        <v>4</v>
      </c>
      <c r="AD304" s="4">
        <v>19</v>
      </c>
      <c r="AE304" s="3" t="s">
        <v>82</v>
      </c>
      <c r="AG304">
        <f t="shared" ca="1" si="12"/>
        <v>16</v>
      </c>
      <c r="AH304" s="23" t="str" cm="1">
        <f t="array" ref="AH304">_xlfn.IFS(E304&gt;49,"50+",E304&gt;39,"40-49",E304&gt;29,"30-39",E304&gt;19,"20-29")</f>
        <v>40-49</v>
      </c>
      <c r="AI304" s="24" t="str" cm="1">
        <f t="array" aca="1" ref="AI304" ca="1">_xlfn.IFS(AG304&gt;10,"10+",AG304&gt;4,"5-10 YIL",AG304&gt;2,"3-5 YIL",AG304&gt;0.9,"1-3 YIL",AG304&lt;1,"0-1 YIL")</f>
        <v>10+</v>
      </c>
      <c r="AJ304">
        <f t="shared" si="13"/>
        <v>2009</v>
      </c>
      <c r="AK304" t="e">
        <f t="shared" si="14"/>
        <v>#VALUE!</v>
      </c>
    </row>
    <row r="305" spans="1:37" x14ac:dyDescent="0.3">
      <c r="A305" s="6" t="s">
        <v>607</v>
      </c>
      <c r="B305" s="7" t="s">
        <v>337</v>
      </c>
      <c r="C305" s="6" t="s">
        <v>48</v>
      </c>
      <c r="D305" s="14">
        <v>38171</v>
      </c>
      <c r="E305" s="8">
        <v>22</v>
      </c>
      <c r="F305" s="6" t="s">
        <v>49</v>
      </c>
      <c r="G305" s="8">
        <v>1</v>
      </c>
      <c r="H305" s="6" t="s">
        <v>88</v>
      </c>
      <c r="I305" s="7" t="s">
        <v>36</v>
      </c>
      <c r="J305" s="7" t="s">
        <v>37</v>
      </c>
      <c r="K305" s="6" t="s">
        <v>38</v>
      </c>
      <c r="L305" s="6" t="s">
        <v>39</v>
      </c>
      <c r="M305" s="7" t="s">
        <v>40</v>
      </c>
      <c r="N305" s="6" t="s">
        <v>41</v>
      </c>
      <c r="O305" s="14">
        <v>44837</v>
      </c>
      <c r="P305" s="14">
        <v>45303</v>
      </c>
      <c r="Q305" s="7" t="s">
        <v>121</v>
      </c>
      <c r="R305" s="6">
        <v>17</v>
      </c>
      <c r="S305" s="6" t="s">
        <v>43</v>
      </c>
      <c r="T305" s="9">
        <v>27200</v>
      </c>
      <c r="U305" s="9">
        <v>0</v>
      </c>
      <c r="V305" s="8">
        <v>12</v>
      </c>
      <c r="W305" s="8">
        <v>30</v>
      </c>
      <c r="X305" s="6" t="s">
        <v>44</v>
      </c>
      <c r="Y305" s="8">
        <v>0</v>
      </c>
      <c r="Z305" s="8">
        <v>7</v>
      </c>
      <c r="AA305" s="8">
        <v>0</v>
      </c>
      <c r="AB305" s="8">
        <v>0</v>
      </c>
      <c r="AC305" s="8">
        <v>1</v>
      </c>
      <c r="AD305" s="8">
        <v>17</v>
      </c>
      <c r="AE305" s="7" t="s">
        <v>58</v>
      </c>
      <c r="AG305">
        <f t="shared" ca="1" si="12"/>
        <v>3</v>
      </c>
      <c r="AH305" s="23" t="str" cm="1">
        <f t="array" ref="AH305">_xlfn.IFS(E305&gt;49,"50+",E305&gt;39,"40-49",E305&gt;29,"30-39",E305&gt;19,"20-29")</f>
        <v>20-29</v>
      </c>
      <c r="AI305" s="24" t="str" cm="1">
        <f t="array" aca="1" ref="AI305" ca="1">_xlfn.IFS(AG305&gt;10,"10+",AG305&gt;4,"5-10 YIL",AG305&gt;2,"3-5 YIL",AG305&gt;0.9,"1-3 YIL",AG305&lt;1,"0-1 YIL")</f>
        <v>3-5 YIL</v>
      </c>
      <c r="AJ305">
        <f t="shared" si="13"/>
        <v>2022</v>
      </c>
      <c r="AK305">
        <f t="shared" si="14"/>
        <v>2024</v>
      </c>
    </row>
    <row r="306" spans="1:37" x14ac:dyDescent="0.3">
      <c r="A306" s="2" t="s">
        <v>608</v>
      </c>
      <c r="B306" s="3" t="s">
        <v>136</v>
      </c>
      <c r="C306" s="2" t="s">
        <v>48</v>
      </c>
      <c r="D306" s="13">
        <v>30063</v>
      </c>
      <c r="E306" s="4">
        <v>44</v>
      </c>
      <c r="F306" s="2" t="s">
        <v>49</v>
      </c>
      <c r="G306" s="4">
        <v>1</v>
      </c>
      <c r="H306" s="2" t="s">
        <v>35</v>
      </c>
      <c r="I306" s="3" t="s">
        <v>36</v>
      </c>
      <c r="J306" s="3" t="s">
        <v>50</v>
      </c>
      <c r="K306" s="2" t="s">
        <v>51</v>
      </c>
      <c r="L306" s="2" t="s">
        <v>39</v>
      </c>
      <c r="M306" s="3" t="s">
        <v>40</v>
      </c>
      <c r="N306" s="2" t="s">
        <v>41</v>
      </c>
      <c r="O306" s="13">
        <v>44858</v>
      </c>
      <c r="P306" s="2" t="s">
        <v>44</v>
      </c>
      <c r="Q306" s="3" t="s">
        <v>44</v>
      </c>
      <c r="R306" s="2" t="s">
        <v>44</v>
      </c>
      <c r="S306" s="2" t="s">
        <v>56</v>
      </c>
      <c r="T306" s="5">
        <v>45500</v>
      </c>
      <c r="U306" s="5">
        <v>0</v>
      </c>
      <c r="V306" s="4">
        <v>38</v>
      </c>
      <c r="W306" s="4">
        <v>30</v>
      </c>
      <c r="X306" s="2" t="s">
        <v>44</v>
      </c>
      <c r="Y306" s="4">
        <v>0</v>
      </c>
      <c r="Z306" s="4">
        <v>4</v>
      </c>
      <c r="AA306" s="4">
        <v>0</v>
      </c>
      <c r="AB306" s="4">
        <v>0</v>
      </c>
      <c r="AC306" s="4">
        <v>3</v>
      </c>
      <c r="AD306" s="4">
        <v>14</v>
      </c>
      <c r="AE306" s="3" t="s">
        <v>58</v>
      </c>
      <c r="AG306">
        <f t="shared" ca="1" si="12"/>
        <v>3</v>
      </c>
      <c r="AH306" s="23" t="str" cm="1">
        <f t="array" ref="AH306">_xlfn.IFS(E306&gt;49,"50+",E306&gt;39,"40-49",E306&gt;29,"30-39",E306&gt;19,"20-29")</f>
        <v>40-49</v>
      </c>
      <c r="AI306" s="24" t="str" cm="1">
        <f t="array" aca="1" ref="AI306" ca="1">_xlfn.IFS(AG306&gt;10,"10+",AG306&gt;4,"5-10 YIL",AG306&gt;2,"3-5 YIL",AG306&gt;0.9,"1-3 YIL",AG306&lt;1,"0-1 YIL")</f>
        <v>3-5 YIL</v>
      </c>
      <c r="AJ306">
        <f t="shared" si="13"/>
        <v>2022</v>
      </c>
      <c r="AK306" t="e">
        <f t="shared" si="14"/>
        <v>#VALUE!</v>
      </c>
    </row>
    <row r="307" spans="1:37" x14ac:dyDescent="0.3">
      <c r="A307" s="6" t="s">
        <v>609</v>
      </c>
      <c r="B307" s="7" t="s">
        <v>610</v>
      </c>
      <c r="C307" s="6" t="s">
        <v>33</v>
      </c>
      <c r="D307" s="14">
        <v>37411</v>
      </c>
      <c r="E307" s="8">
        <v>24</v>
      </c>
      <c r="F307" s="6" t="s">
        <v>49</v>
      </c>
      <c r="G307" s="8">
        <v>3</v>
      </c>
      <c r="H307" s="6" t="s">
        <v>35</v>
      </c>
      <c r="I307" s="7" t="s">
        <v>139</v>
      </c>
      <c r="J307" s="7" t="s">
        <v>235</v>
      </c>
      <c r="K307" s="6" t="s">
        <v>38</v>
      </c>
      <c r="L307" s="6" t="s">
        <v>63</v>
      </c>
      <c r="M307" s="7" t="s">
        <v>162</v>
      </c>
      <c r="N307" s="6" t="s">
        <v>41</v>
      </c>
      <c r="O307" s="14">
        <v>45770</v>
      </c>
      <c r="P307" s="6" t="s">
        <v>44</v>
      </c>
      <c r="Q307" s="7" t="s">
        <v>44</v>
      </c>
      <c r="R307" s="6" t="s">
        <v>44</v>
      </c>
      <c r="S307" s="6" t="s">
        <v>56</v>
      </c>
      <c r="T307" s="9">
        <v>43600</v>
      </c>
      <c r="U307" s="9">
        <v>0</v>
      </c>
      <c r="V307" s="8">
        <v>5</v>
      </c>
      <c r="W307" s="8">
        <v>30</v>
      </c>
      <c r="X307" s="6" t="s">
        <v>44</v>
      </c>
      <c r="Y307" s="8">
        <v>0</v>
      </c>
      <c r="Z307" s="8">
        <v>7</v>
      </c>
      <c r="AA307" s="8">
        <v>0</v>
      </c>
      <c r="AB307" s="8">
        <v>0</v>
      </c>
      <c r="AC307" s="8">
        <v>2</v>
      </c>
      <c r="AD307" s="8">
        <v>7</v>
      </c>
      <c r="AE307" s="7" t="s">
        <v>82</v>
      </c>
      <c r="AG307">
        <f t="shared" ca="1" si="12"/>
        <v>1</v>
      </c>
      <c r="AH307" s="23" t="str" cm="1">
        <f t="array" ref="AH307">_xlfn.IFS(E307&gt;49,"50+",E307&gt;39,"40-49",E307&gt;29,"30-39",E307&gt;19,"20-29")</f>
        <v>20-29</v>
      </c>
      <c r="AI307" s="24" t="str" cm="1">
        <f t="array" aca="1" ref="AI307" ca="1">_xlfn.IFS(AG307&gt;10,"10+",AG307&gt;4,"5-10 YIL",AG307&gt;2,"3-5 YIL",AG307&gt;0.9,"1-3 YIL",AG307&lt;1,"0-1 YIL")</f>
        <v>1-3 YIL</v>
      </c>
      <c r="AJ307">
        <f t="shared" si="13"/>
        <v>2025</v>
      </c>
      <c r="AK307" t="e">
        <f t="shared" si="14"/>
        <v>#VALUE!</v>
      </c>
    </row>
    <row r="308" spans="1:37" x14ac:dyDescent="0.3">
      <c r="A308" s="2" t="s">
        <v>611</v>
      </c>
      <c r="B308" s="3" t="s">
        <v>612</v>
      </c>
      <c r="C308" s="2" t="s">
        <v>33</v>
      </c>
      <c r="D308" s="13">
        <v>37447</v>
      </c>
      <c r="E308" s="4">
        <v>24</v>
      </c>
      <c r="F308" s="2" t="s">
        <v>49</v>
      </c>
      <c r="G308" s="4">
        <v>1</v>
      </c>
      <c r="H308" s="2" t="s">
        <v>35</v>
      </c>
      <c r="I308" s="3" t="s">
        <v>36</v>
      </c>
      <c r="J308" s="3" t="s">
        <v>37</v>
      </c>
      <c r="K308" s="2" t="s">
        <v>38</v>
      </c>
      <c r="L308" s="2" t="s">
        <v>39</v>
      </c>
      <c r="M308" s="3" t="s">
        <v>40</v>
      </c>
      <c r="N308" s="2" t="s">
        <v>52</v>
      </c>
      <c r="O308" s="13">
        <v>45382</v>
      </c>
      <c r="P308" s="13">
        <v>45643</v>
      </c>
      <c r="Q308" s="3" t="s">
        <v>121</v>
      </c>
      <c r="R308" s="2">
        <v>17</v>
      </c>
      <c r="S308" s="2" t="s">
        <v>43</v>
      </c>
      <c r="T308" s="5">
        <v>28300</v>
      </c>
      <c r="U308" s="5">
        <v>0</v>
      </c>
      <c r="V308" s="4">
        <v>22</v>
      </c>
      <c r="W308" s="4">
        <v>29</v>
      </c>
      <c r="X308" s="2" t="s">
        <v>57</v>
      </c>
      <c r="Y308" s="4">
        <v>1</v>
      </c>
      <c r="Z308" s="4">
        <v>7</v>
      </c>
      <c r="AA308" s="4">
        <v>0</v>
      </c>
      <c r="AB308" s="4">
        <v>0</v>
      </c>
      <c r="AC308" s="4">
        <v>3</v>
      </c>
      <c r="AD308" s="4">
        <v>19</v>
      </c>
      <c r="AE308" s="3" t="s">
        <v>58</v>
      </c>
      <c r="AG308">
        <f t="shared" ca="1" si="12"/>
        <v>2</v>
      </c>
      <c r="AH308" s="23" t="str" cm="1">
        <f t="array" ref="AH308">_xlfn.IFS(E308&gt;49,"50+",E308&gt;39,"40-49",E308&gt;29,"30-39",E308&gt;19,"20-29")</f>
        <v>20-29</v>
      </c>
      <c r="AI308" s="24" t="str" cm="1">
        <f t="array" aca="1" ref="AI308" ca="1">_xlfn.IFS(AG308&gt;10,"10+",AG308&gt;4,"5-10 YIL",AG308&gt;2,"3-5 YIL",AG308&gt;0.9,"1-3 YIL",AG308&lt;1,"0-1 YIL")</f>
        <v>1-3 YIL</v>
      </c>
      <c r="AJ308">
        <f t="shared" si="13"/>
        <v>2024</v>
      </c>
      <c r="AK308">
        <f t="shared" si="14"/>
        <v>2024</v>
      </c>
    </row>
    <row r="309" spans="1:37" x14ac:dyDescent="0.3">
      <c r="A309" s="6" t="s">
        <v>613</v>
      </c>
      <c r="B309" s="7" t="s">
        <v>614</v>
      </c>
      <c r="C309" s="6" t="s">
        <v>33</v>
      </c>
      <c r="D309" s="14">
        <v>28988</v>
      </c>
      <c r="E309" s="8">
        <v>47</v>
      </c>
      <c r="F309" s="6" t="s">
        <v>49</v>
      </c>
      <c r="G309" s="8">
        <v>2</v>
      </c>
      <c r="H309" s="6" t="s">
        <v>35</v>
      </c>
      <c r="I309" s="7" t="s">
        <v>70</v>
      </c>
      <c r="J309" s="7" t="s">
        <v>129</v>
      </c>
      <c r="K309" s="6" t="s">
        <v>79</v>
      </c>
      <c r="L309" s="6" t="s">
        <v>63</v>
      </c>
      <c r="M309" s="7" t="s">
        <v>80</v>
      </c>
      <c r="N309" s="6" t="s">
        <v>41</v>
      </c>
      <c r="O309" s="14">
        <v>42126</v>
      </c>
      <c r="P309" s="14">
        <v>44069</v>
      </c>
      <c r="Q309" s="7" t="s">
        <v>42</v>
      </c>
      <c r="R309" s="6">
        <v>3</v>
      </c>
      <c r="S309" s="6" t="s">
        <v>43</v>
      </c>
      <c r="T309" s="9">
        <v>117700</v>
      </c>
      <c r="U309" s="9">
        <v>0</v>
      </c>
      <c r="V309" s="8">
        <v>2</v>
      </c>
      <c r="W309" s="8">
        <v>28</v>
      </c>
      <c r="X309" s="6" t="s">
        <v>57</v>
      </c>
      <c r="Y309" s="8">
        <v>2</v>
      </c>
      <c r="Z309" s="8">
        <v>2</v>
      </c>
      <c r="AA309" s="8">
        <v>0</v>
      </c>
      <c r="AB309" s="8">
        <v>0</v>
      </c>
      <c r="AC309" s="8">
        <v>5</v>
      </c>
      <c r="AD309" s="8">
        <v>18</v>
      </c>
      <c r="AE309" s="7" t="s">
        <v>45</v>
      </c>
      <c r="AG309">
        <f t="shared" ca="1" si="12"/>
        <v>11</v>
      </c>
      <c r="AH309" s="23" t="str" cm="1">
        <f t="array" ref="AH309">_xlfn.IFS(E309&gt;49,"50+",E309&gt;39,"40-49",E309&gt;29,"30-39",E309&gt;19,"20-29")</f>
        <v>40-49</v>
      </c>
      <c r="AI309" s="24" t="str" cm="1">
        <f t="array" aca="1" ref="AI309" ca="1">_xlfn.IFS(AG309&gt;10,"10+",AG309&gt;4,"5-10 YIL",AG309&gt;2,"3-5 YIL",AG309&gt;0.9,"1-3 YIL",AG309&lt;1,"0-1 YIL")</f>
        <v>10+</v>
      </c>
      <c r="AJ309">
        <f t="shared" si="13"/>
        <v>2015</v>
      </c>
      <c r="AK309">
        <f t="shared" si="14"/>
        <v>2020</v>
      </c>
    </row>
    <row r="310" spans="1:37" x14ac:dyDescent="0.3">
      <c r="A310" s="2" t="s">
        <v>615</v>
      </c>
      <c r="B310" s="3" t="s">
        <v>616</v>
      </c>
      <c r="C310" s="2" t="s">
        <v>48</v>
      </c>
      <c r="D310" s="13">
        <v>35621</v>
      </c>
      <c r="E310" s="4">
        <v>29</v>
      </c>
      <c r="F310" s="2" t="s">
        <v>49</v>
      </c>
      <c r="G310" s="4">
        <v>2</v>
      </c>
      <c r="H310" s="2" t="s">
        <v>35</v>
      </c>
      <c r="I310" s="3" t="s">
        <v>36</v>
      </c>
      <c r="J310" s="3" t="s">
        <v>37</v>
      </c>
      <c r="K310" s="2" t="s">
        <v>38</v>
      </c>
      <c r="L310" s="2" t="s">
        <v>39</v>
      </c>
      <c r="M310" s="3" t="s">
        <v>40</v>
      </c>
      <c r="N310" s="2" t="s">
        <v>52</v>
      </c>
      <c r="O310" s="13">
        <v>45015</v>
      </c>
      <c r="P310" s="13">
        <v>45064</v>
      </c>
      <c r="Q310" s="3" t="s">
        <v>121</v>
      </c>
      <c r="R310" s="2">
        <v>17</v>
      </c>
      <c r="S310" s="2" t="s">
        <v>43</v>
      </c>
      <c r="T310" s="5">
        <v>27100</v>
      </c>
      <c r="U310" s="5">
        <v>0</v>
      </c>
      <c r="V310" s="4">
        <v>17</v>
      </c>
      <c r="W310" s="4">
        <v>30</v>
      </c>
      <c r="X310" s="2" t="s">
        <v>44</v>
      </c>
      <c r="Y310" s="4">
        <v>0</v>
      </c>
      <c r="Z310" s="4">
        <v>8</v>
      </c>
      <c r="AA310" s="4">
        <v>0</v>
      </c>
      <c r="AB310" s="4">
        <v>0</v>
      </c>
      <c r="AC310" s="4">
        <v>3</v>
      </c>
      <c r="AD310" s="4">
        <v>13</v>
      </c>
      <c r="AE310" s="3" t="s">
        <v>45</v>
      </c>
      <c r="AG310">
        <f t="shared" ca="1" si="12"/>
        <v>3</v>
      </c>
      <c r="AH310" s="23" t="str" cm="1">
        <f t="array" ref="AH310">_xlfn.IFS(E310&gt;49,"50+",E310&gt;39,"40-49",E310&gt;29,"30-39",E310&gt;19,"20-29")</f>
        <v>20-29</v>
      </c>
      <c r="AI310" s="24" t="str" cm="1">
        <f t="array" aca="1" ref="AI310" ca="1">_xlfn.IFS(AG310&gt;10,"10+",AG310&gt;4,"5-10 YIL",AG310&gt;2,"3-5 YIL",AG310&gt;0.9,"1-3 YIL",AG310&lt;1,"0-1 YIL")</f>
        <v>3-5 YIL</v>
      </c>
      <c r="AJ310">
        <f t="shared" si="13"/>
        <v>2023</v>
      </c>
      <c r="AK310">
        <f t="shared" si="14"/>
        <v>2023</v>
      </c>
    </row>
    <row r="311" spans="1:37" x14ac:dyDescent="0.3">
      <c r="A311" s="6" t="s">
        <v>617</v>
      </c>
      <c r="B311" s="7" t="s">
        <v>323</v>
      </c>
      <c r="C311" s="6" t="s">
        <v>33</v>
      </c>
      <c r="D311" s="14">
        <v>36984</v>
      </c>
      <c r="E311" s="8">
        <v>25</v>
      </c>
      <c r="F311" s="6" t="s">
        <v>34</v>
      </c>
      <c r="G311" s="8">
        <v>0</v>
      </c>
      <c r="H311" s="6" t="s">
        <v>35</v>
      </c>
      <c r="I311" s="7" t="s">
        <v>61</v>
      </c>
      <c r="J311" s="7" t="s">
        <v>62</v>
      </c>
      <c r="K311" s="6" t="s">
        <v>38</v>
      </c>
      <c r="L311" s="6" t="s">
        <v>63</v>
      </c>
      <c r="M311" s="7" t="s">
        <v>64</v>
      </c>
      <c r="N311" s="6" t="s">
        <v>95</v>
      </c>
      <c r="O311" s="14">
        <v>45218</v>
      </c>
      <c r="P311" s="6" t="s">
        <v>44</v>
      </c>
      <c r="Q311" s="7" t="s">
        <v>44</v>
      </c>
      <c r="R311" s="6" t="s">
        <v>44</v>
      </c>
      <c r="S311" s="6" t="s">
        <v>56</v>
      </c>
      <c r="T311" s="9">
        <v>33200</v>
      </c>
      <c r="U311" s="9">
        <v>4600</v>
      </c>
      <c r="V311" s="8">
        <v>0</v>
      </c>
      <c r="W311" s="8">
        <v>30</v>
      </c>
      <c r="X311" s="6" t="s">
        <v>44</v>
      </c>
      <c r="Y311" s="8">
        <v>0</v>
      </c>
      <c r="Z311" s="8">
        <v>5</v>
      </c>
      <c r="AA311" s="8">
        <v>0</v>
      </c>
      <c r="AB311" s="8">
        <v>0</v>
      </c>
      <c r="AC311" s="8">
        <v>3</v>
      </c>
      <c r="AD311" s="8">
        <v>11</v>
      </c>
      <c r="AE311" s="7" t="s">
        <v>73</v>
      </c>
      <c r="AG311">
        <f t="shared" ca="1" si="12"/>
        <v>2</v>
      </c>
      <c r="AH311" s="23" t="str" cm="1">
        <f t="array" ref="AH311">_xlfn.IFS(E311&gt;49,"50+",E311&gt;39,"40-49",E311&gt;29,"30-39",E311&gt;19,"20-29")</f>
        <v>20-29</v>
      </c>
      <c r="AI311" s="24" t="str" cm="1">
        <f t="array" aca="1" ref="AI311" ca="1">_xlfn.IFS(AG311&gt;10,"10+",AG311&gt;4,"5-10 YIL",AG311&gt;2,"3-5 YIL",AG311&gt;0.9,"1-3 YIL",AG311&lt;1,"0-1 YIL")</f>
        <v>1-3 YIL</v>
      </c>
      <c r="AJ311">
        <f t="shared" si="13"/>
        <v>2023</v>
      </c>
      <c r="AK311" t="e">
        <f t="shared" si="14"/>
        <v>#VALUE!</v>
      </c>
    </row>
    <row r="312" spans="1:37" x14ac:dyDescent="0.3">
      <c r="A312" s="2" t="s">
        <v>618</v>
      </c>
      <c r="B312" s="3" t="s">
        <v>222</v>
      </c>
      <c r="C312" s="2" t="s">
        <v>48</v>
      </c>
      <c r="D312" s="13">
        <v>35754</v>
      </c>
      <c r="E312" s="4">
        <v>29</v>
      </c>
      <c r="F312" s="2" t="s">
        <v>49</v>
      </c>
      <c r="G312" s="4">
        <v>1</v>
      </c>
      <c r="H312" s="2" t="s">
        <v>88</v>
      </c>
      <c r="I312" s="3" t="s">
        <v>36</v>
      </c>
      <c r="J312" s="3" t="s">
        <v>37</v>
      </c>
      <c r="K312" s="2" t="s">
        <v>38</v>
      </c>
      <c r="L312" s="2" t="s">
        <v>39</v>
      </c>
      <c r="M312" s="3" t="s">
        <v>40</v>
      </c>
      <c r="N312" s="2" t="s">
        <v>41</v>
      </c>
      <c r="O312" s="13">
        <v>44900</v>
      </c>
      <c r="P312" s="2" t="s">
        <v>44</v>
      </c>
      <c r="Q312" s="3" t="s">
        <v>44</v>
      </c>
      <c r="R312" s="2" t="s">
        <v>44</v>
      </c>
      <c r="S312" s="2" t="s">
        <v>56</v>
      </c>
      <c r="T312" s="5">
        <v>24500</v>
      </c>
      <c r="U312" s="5">
        <v>0</v>
      </c>
      <c r="V312" s="4">
        <v>43</v>
      </c>
      <c r="W312" s="4">
        <v>25</v>
      </c>
      <c r="X312" s="2" t="s">
        <v>57</v>
      </c>
      <c r="Y312" s="4">
        <v>5</v>
      </c>
      <c r="Z312" s="4">
        <v>14</v>
      </c>
      <c r="AA312" s="4">
        <v>0</v>
      </c>
      <c r="AB312" s="4">
        <v>0</v>
      </c>
      <c r="AC312" s="4">
        <v>3</v>
      </c>
      <c r="AD312" s="4">
        <v>19</v>
      </c>
      <c r="AE312" s="3" t="s">
        <v>96</v>
      </c>
      <c r="AG312">
        <f t="shared" ca="1" si="12"/>
        <v>3</v>
      </c>
      <c r="AH312" s="23" t="str" cm="1">
        <f t="array" ref="AH312">_xlfn.IFS(E312&gt;49,"50+",E312&gt;39,"40-49",E312&gt;29,"30-39",E312&gt;19,"20-29")</f>
        <v>20-29</v>
      </c>
      <c r="AI312" s="24" t="str" cm="1">
        <f t="array" aca="1" ref="AI312" ca="1">_xlfn.IFS(AG312&gt;10,"10+",AG312&gt;4,"5-10 YIL",AG312&gt;2,"3-5 YIL",AG312&gt;0.9,"1-3 YIL",AG312&lt;1,"0-1 YIL")</f>
        <v>3-5 YIL</v>
      </c>
      <c r="AJ312">
        <f t="shared" si="13"/>
        <v>2022</v>
      </c>
      <c r="AK312" t="e">
        <f t="shared" si="14"/>
        <v>#VALUE!</v>
      </c>
    </row>
    <row r="313" spans="1:37" x14ac:dyDescent="0.3">
      <c r="A313" s="6" t="s">
        <v>619</v>
      </c>
      <c r="B313" s="7" t="s">
        <v>620</v>
      </c>
      <c r="C313" s="6" t="s">
        <v>48</v>
      </c>
      <c r="D313" s="14">
        <v>37967</v>
      </c>
      <c r="E313" s="8">
        <v>23</v>
      </c>
      <c r="F313" s="6" t="s">
        <v>34</v>
      </c>
      <c r="G313" s="8">
        <v>0</v>
      </c>
      <c r="H313" s="6" t="s">
        <v>35</v>
      </c>
      <c r="I313" s="7" t="s">
        <v>36</v>
      </c>
      <c r="J313" s="7" t="s">
        <v>37</v>
      </c>
      <c r="K313" s="6" t="s">
        <v>38</v>
      </c>
      <c r="L313" s="6" t="s">
        <v>39</v>
      </c>
      <c r="M313" s="7" t="s">
        <v>40</v>
      </c>
      <c r="N313" s="6" t="s">
        <v>67</v>
      </c>
      <c r="O313" s="14">
        <v>46016</v>
      </c>
      <c r="P313" s="14">
        <v>46129</v>
      </c>
      <c r="Q313" s="7" t="s">
        <v>177</v>
      </c>
      <c r="R313" s="6">
        <v>3</v>
      </c>
      <c r="S313" s="6" t="s">
        <v>43</v>
      </c>
      <c r="T313" s="9">
        <v>28000</v>
      </c>
      <c r="U313" s="9">
        <v>0</v>
      </c>
      <c r="V313" s="8">
        <v>36</v>
      </c>
      <c r="W313" s="8">
        <v>29</v>
      </c>
      <c r="X313" s="6" t="s">
        <v>81</v>
      </c>
      <c r="Y313" s="8">
        <v>0</v>
      </c>
      <c r="Z313" s="8">
        <v>0</v>
      </c>
      <c r="AA313" s="8">
        <v>1</v>
      </c>
      <c r="AB313" s="8">
        <v>0</v>
      </c>
      <c r="AC313" s="8">
        <v>3</v>
      </c>
      <c r="AD313" s="8">
        <v>11</v>
      </c>
      <c r="AE313" s="7" t="s">
        <v>58</v>
      </c>
      <c r="AG313">
        <f t="shared" ca="1" si="12"/>
        <v>0</v>
      </c>
      <c r="AH313" s="23" t="str" cm="1">
        <f t="array" ref="AH313">_xlfn.IFS(E313&gt;49,"50+",E313&gt;39,"40-49",E313&gt;29,"30-39",E313&gt;19,"20-29")</f>
        <v>20-29</v>
      </c>
      <c r="AI313" s="24" t="str" cm="1">
        <f t="array" aca="1" ref="AI313" ca="1">_xlfn.IFS(AG313&gt;10,"10+",AG313&gt;4,"5-10 YIL",AG313&gt;2,"3-5 YIL",AG313&gt;0.9,"1-3 YIL",AG313&lt;1,"0-1 YIL")</f>
        <v>0-1 YIL</v>
      </c>
      <c r="AJ313">
        <f t="shared" si="13"/>
        <v>2025</v>
      </c>
      <c r="AK313">
        <f t="shared" si="14"/>
        <v>2026</v>
      </c>
    </row>
    <row r="314" spans="1:37" x14ac:dyDescent="0.3">
      <c r="A314" s="2" t="s">
        <v>621</v>
      </c>
      <c r="B314" s="3" t="s">
        <v>622</v>
      </c>
      <c r="C314" s="2" t="s">
        <v>48</v>
      </c>
      <c r="D314" s="13">
        <v>33315</v>
      </c>
      <c r="E314" s="4">
        <v>35</v>
      </c>
      <c r="F314" s="2" t="s">
        <v>34</v>
      </c>
      <c r="G314" s="4">
        <v>0</v>
      </c>
      <c r="H314" s="2" t="s">
        <v>35</v>
      </c>
      <c r="I314" s="3" t="s">
        <v>36</v>
      </c>
      <c r="J314" s="3" t="s">
        <v>50</v>
      </c>
      <c r="K314" s="2" t="s">
        <v>51</v>
      </c>
      <c r="L314" s="2" t="s">
        <v>39</v>
      </c>
      <c r="M314" s="3" t="s">
        <v>40</v>
      </c>
      <c r="N314" s="2" t="s">
        <v>67</v>
      </c>
      <c r="O314" s="13">
        <v>44167</v>
      </c>
      <c r="P314" s="2" t="s">
        <v>44</v>
      </c>
      <c r="Q314" s="3" t="s">
        <v>44</v>
      </c>
      <c r="R314" s="2" t="s">
        <v>44</v>
      </c>
      <c r="S314" s="2" t="s">
        <v>56</v>
      </c>
      <c r="T314" s="5">
        <v>38100</v>
      </c>
      <c r="U314" s="5">
        <v>0</v>
      </c>
      <c r="V314" s="4">
        <v>15</v>
      </c>
      <c r="W314" s="4">
        <v>30</v>
      </c>
      <c r="X314" s="2" t="s">
        <v>44</v>
      </c>
      <c r="Y314" s="4">
        <v>0</v>
      </c>
      <c r="Z314" s="4">
        <v>3</v>
      </c>
      <c r="AA314" s="4">
        <v>0</v>
      </c>
      <c r="AB314" s="4">
        <v>0</v>
      </c>
      <c r="AC314" s="4">
        <v>3</v>
      </c>
      <c r="AD314" s="4">
        <v>18</v>
      </c>
      <c r="AE314" s="3" t="s">
        <v>45</v>
      </c>
      <c r="AG314">
        <f t="shared" ca="1" si="12"/>
        <v>5</v>
      </c>
      <c r="AH314" s="23" t="str" cm="1">
        <f t="array" ref="AH314">_xlfn.IFS(E314&gt;49,"50+",E314&gt;39,"40-49",E314&gt;29,"30-39",E314&gt;19,"20-29")</f>
        <v>30-39</v>
      </c>
      <c r="AI314" s="24" t="str" cm="1">
        <f t="array" aca="1" ref="AI314" ca="1">_xlfn.IFS(AG314&gt;10,"10+",AG314&gt;4,"5-10 YIL",AG314&gt;2,"3-5 YIL",AG314&gt;0.9,"1-3 YIL",AG314&lt;1,"0-1 YIL")</f>
        <v>5-10 YIL</v>
      </c>
      <c r="AJ314">
        <f t="shared" si="13"/>
        <v>2020</v>
      </c>
      <c r="AK314" t="e">
        <f t="shared" si="14"/>
        <v>#VALUE!</v>
      </c>
    </row>
    <row r="315" spans="1:37" x14ac:dyDescent="0.3">
      <c r="A315" s="6" t="s">
        <v>623</v>
      </c>
      <c r="B315" s="7" t="s">
        <v>624</v>
      </c>
      <c r="C315" s="6" t="s">
        <v>33</v>
      </c>
      <c r="D315" s="14">
        <v>37803</v>
      </c>
      <c r="E315" s="8">
        <v>23</v>
      </c>
      <c r="F315" s="6" t="s">
        <v>49</v>
      </c>
      <c r="G315" s="8">
        <v>1</v>
      </c>
      <c r="H315" s="6" t="s">
        <v>35</v>
      </c>
      <c r="I315" s="7" t="s">
        <v>36</v>
      </c>
      <c r="J315" s="7" t="s">
        <v>37</v>
      </c>
      <c r="K315" s="6" t="s">
        <v>38</v>
      </c>
      <c r="L315" s="6" t="s">
        <v>39</v>
      </c>
      <c r="M315" s="7" t="s">
        <v>40</v>
      </c>
      <c r="N315" s="6" t="s">
        <v>89</v>
      </c>
      <c r="O315" s="14">
        <v>45894</v>
      </c>
      <c r="P315" s="14">
        <v>46114</v>
      </c>
      <c r="Q315" s="7" t="s">
        <v>53</v>
      </c>
      <c r="R315" s="6">
        <v>4</v>
      </c>
      <c r="S315" s="6" t="s">
        <v>43</v>
      </c>
      <c r="T315" s="9">
        <v>26500</v>
      </c>
      <c r="U315" s="9">
        <v>0</v>
      </c>
      <c r="V315" s="8">
        <v>22</v>
      </c>
      <c r="W315" s="8">
        <v>28</v>
      </c>
      <c r="X315" s="6" t="s">
        <v>57</v>
      </c>
      <c r="Y315" s="8">
        <v>2</v>
      </c>
      <c r="Z315" s="8">
        <v>0</v>
      </c>
      <c r="AA315" s="8">
        <v>0</v>
      </c>
      <c r="AB315" s="8">
        <v>0</v>
      </c>
      <c r="AC315" s="8">
        <v>4</v>
      </c>
      <c r="AD315" s="8">
        <v>23</v>
      </c>
      <c r="AE315" s="7" t="s">
        <v>45</v>
      </c>
      <c r="AG315">
        <f t="shared" ca="1" si="12"/>
        <v>0</v>
      </c>
      <c r="AH315" s="23" t="str" cm="1">
        <f t="array" ref="AH315">_xlfn.IFS(E315&gt;49,"50+",E315&gt;39,"40-49",E315&gt;29,"30-39",E315&gt;19,"20-29")</f>
        <v>20-29</v>
      </c>
      <c r="AI315" s="24" t="str" cm="1">
        <f t="array" aca="1" ref="AI315" ca="1">_xlfn.IFS(AG315&gt;10,"10+",AG315&gt;4,"5-10 YIL",AG315&gt;2,"3-5 YIL",AG315&gt;0.9,"1-3 YIL",AG315&lt;1,"0-1 YIL")</f>
        <v>0-1 YIL</v>
      </c>
      <c r="AJ315">
        <f t="shared" si="13"/>
        <v>2025</v>
      </c>
      <c r="AK315">
        <f t="shared" si="14"/>
        <v>2026</v>
      </c>
    </row>
    <row r="316" spans="1:37" x14ac:dyDescent="0.3">
      <c r="A316" s="2" t="s">
        <v>625</v>
      </c>
      <c r="B316" s="3" t="s">
        <v>211</v>
      </c>
      <c r="C316" s="2" t="s">
        <v>33</v>
      </c>
      <c r="D316" s="13">
        <v>37303</v>
      </c>
      <c r="E316" s="4">
        <v>24</v>
      </c>
      <c r="F316" s="2" t="s">
        <v>34</v>
      </c>
      <c r="G316" s="4">
        <v>0</v>
      </c>
      <c r="H316" s="2" t="s">
        <v>35</v>
      </c>
      <c r="I316" s="3" t="s">
        <v>36</v>
      </c>
      <c r="J316" s="3" t="s">
        <v>37</v>
      </c>
      <c r="K316" s="2" t="s">
        <v>38</v>
      </c>
      <c r="L316" s="2" t="s">
        <v>39</v>
      </c>
      <c r="M316" s="3" t="s">
        <v>40</v>
      </c>
      <c r="N316" s="2" t="s">
        <v>52</v>
      </c>
      <c r="O316" s="13">
        <v>46097</v>
      </c>
      <c r="P316" s="13">
        <v>46145</v>
      </c>
      <c r="Q316" s="3" t="s">
        <v>53</v>
      </c>
      <c r="R316" s="2">
        <v>4</v>
      </c>
      <c r="S316" s="2" t="s">
        <v>43</v>
      </c>
      <c r="T316" s="5">
        <v>25500</v>
      </c>
      <c r="U316" s="5">
        <v>0</v>
      </c>
      <c r="V316" s="4">
        <v>11</v>
      </c>
      <c r="W316" s="4">
        <v>30</v>
      </c>
      <c r="X316" s="2" t="s">
        <v>44</v>
      </c>
      <c r="Y316" s="4">
        <v>0</v>
      </c>
      <c r="Z316" s="4">
        <v>0</v>
      </c>
      <c r="AA316" s="4">
        <v>0</v>
      </c>
      <c r="AB316" s="4">
        <v>0</v>
      </c>
      <c r="AC316" s="4">
        <v>3</v>
      </c>
      <c r="AD316" s="4">
        <v>8</v>
      </c>
      <c r="AE316" s="3" t="s">
        <v>82</v>
      </c>
      <c r="AG316">
        <f t="shared" ca="1" si="12"/>
        <v>0</v>
      </c>
      <c r="AH316" s="23" t="str" cm="1">
        <f t="array" ref="AH316">_xlfn.IFS(E316&gt;49,"50+",E316&gt;39,"40-49",E316&gt;29,"30-39",E316&gt;19,"20-29")</f>
        <v>20-29</v>
      </c>
      <c r="AI316" s="24" t="str" cm="1">
        <f t="array" aca="1" ref="AI316" ca="1">_xlfn.IFS(AG316&gt;10,"10+",AG316&gt;4,"5-10 YIL",AG316&gt;2,"3-5 YIL",AG316&gt;0.9,"1-3 YIL",AG316&lt;1,"0-1 YIL")</f>
        <v>0-1 YIL</v>
      </c>
      <c r="AJ316">
        <f t="shared" si="13"/>
        <v>2026</v>
      </c>
      <c r="AK316">
        <f t="shared" si="14"/>
        <v>2026</v>
      </c>
    </row>
    <row r="317" spans="1:37" x14ac:dyDescent="0.3">
      <c r="A317" s="6" t="s">
        <v>626</v>
      </c>
      <c r="B317" s="7" t="s">
        <v>497</v>
      </c>
      <c r="C317" s="6" t="s">
        <v>48</v>
      </c>
      <c r="D317" s="14">
        <v>36428</v>
      </c>
      <c r="E317" s="8">
        <v>27</v>
      </c>
      <c r="F317" s="6" t="s">
        <v>34</v>
      </c>
      <c r="G317" s="8">
        <v>0</v>
      </c>
      <c r="H317" s="6" t="s">
        <v>35</v>
      </c>
      <c r="I317" s="7" t="s">
        <v>36</v>
      </c>
      <c r="J317" s="7" t="s">
        <v>37</v>
      </c>
      <c r="K317" s="6" t="s">
        <v>38</v>
      </c>
      <c r="L317" s="6" t="s">
        <v>39</v>
      </c>
      <c r="M317" s="7" t="s">
        <v>40</v>
      </c>
      <c r="N317" s="6" t="s">
        <v>52</v>
      </c>
      <c r="O317" s="14">
        <v>45219</v>
      </c>
      <c r="P317" s="6" t="s">
        <v>44</v>
      </c>
      <c r="Q317" s="7" t="s">
        <v>44</v>
      </c>
      <c r="R317" s="6" t="s">
        <v>44</v>
      </c>
      <c r="S317" s="6" t="s">
        <v>56</v>
      </c>
      <c r="T317" s="9">
        <v>26300</v>
      </c>
      <c r="U317" s="9">
        <v>0</v>
      </c>
      <c r="V317" s="8">
        <v>27</v>
      </c>
      <c r="W317" s="8">
        <v>29</v>
      </c>
      <c r="X317" s="6" t="s">
        <v>57</v>
      </c>
      <c r="Y317" s="8">
        <v>1</v>
      </c>
      <c r="Z317" s="8">
        <v>0</v>
      </c>
      <c r="AA317" s="8">
        <v>0</v>
      </c>
      <c r="AB317" s="8">
        <v>0</v>
      </c>
      <c r="AC317" s="8">
        <v>3</v>
      </c>
      <c r="AD317" s="8">
        <v>4</v>
      </c>
      <c r="AE317" s="7" t="s">
        <v>82</v>
      </c>
      <c r="AG317">
        <f t="shared" ca="1" si="12"/>
        <v>2</v>
      </c>
      <c r="AH317" s="23" t="str" cm="1">
        <f t="array" ref="AH317">_xlfn.IFS(E317&gt;49,"50+",E317&gt;39,"40-49",E317&gt;29,"30-39",E317&gt;19,"20-29")</f>
        <v>20-29</v>
      </c>
      <c r="AI317" s="24" t="str" cm="1">
        <f t="array" aca="1" ref="AI317" ca="1">_xlfn.IFS(AG317&gt;10,"10+",AG317&gt;4,"5-10 YIL",AG317&gt;2,"3-5 YIL",AG317&gt;0.9,"1-3 YIL",AG317&lt;1,"0-1 YIL")</f>
        <v>1-3 YIL</v>
      </c>
      <c r="AJ317">
        <f t="shared" si="13"/>
        <v>2023</v>
      </c>
      <c r="AK317" t="e">
        <f t="shared" si="14"/>
        <v>#VALUE!</v>
      </c>
    </row>
    <row r="318" spans="1:37" x14ac:dyDescent="0.3">
      <c r="A318" s="2" t="s">
        <v>627</v>
      </c>
      <c r="B318" s="3" t="s">
        <v>628</v>
      </c>
      <c r="C318" s="2" t="s">
        <v>48</v>
      </c>
      <c r="D318" s="13">
        <v>35919</v>
      </c>
      <c r="E318" s="4">
        <v>28</v>
      </c>
      <c r="F318" s="2" t="s">
        <v>49</v>
      </c>
      <c r="G318" s="4">
        <v>2</v>
      </c>
      <c r="H318" s="2" t="s">
        <v>85</v>
      </c>
      <c r="I318" s="3" t="s">
        <v>36</v>
      </c>
      <c r="J318" s="3" t="s">
        <v>37</v>
      </c>
      <c r="K318" s="2" t="s">
        <v>38</v>
      </c>
      <c r="L318" s="2" t="s">
        <v>39</v>
      </c>
      <c r="M318" s="3" t="s">
        <v>40</v>
      </c>
      <c r="N318" s="2" t="s">
        <v>41</v>
      </c>
      <c r="O318" s="13">
        <v>45645</v>
      </c>
      <c r="P318" s="2" t="s">
        <v>44</v>
      </c>
      <c r="Q318" s="3" t="s">
        <v>44</v>
      </c>
      <c r="R318" s="2" t="s">
        <v>44</v>
      </c>
      <c r="S318" s="2" t="s">
        <v>56</v>
      </c>
      <c r="T318" s="5">
        <v>24300</v>
      </c>
      <c r="U318" s="5">
        <v>0</v>
      </c>
      <c r="V318" s="4">
        <v>34</v>
      </c>
      <c r="W318" s="4">
        <v>29</v>
      </c>
      <c r="X318" s="2" t="s">
        <v>57</v>
      </c>
      <c r="Y318" s="4">
        <v>1</v>
      </c>
      <c r="Z318" s="4">
        <v>0</v>
      </c>
      <c r="AA318" s="4">
        <v>0</v>
      </c>
      <c r="AB318" s="4">
        <v>0</v>
      </c>
      <c r="AC318" s="4">
        <v>4</v>
      </c>
      <c r="AD318" s="4">
        <v>32</v>
      </c>
      <c r="AE318" s="3" t="s">
        <v>96</v>
      </c>
      <c r="AG318">
        <f t="shared" ca="1" si="12"/>
        <v>1</v>
      </c>
      <c r="AH318" s="23" t="str" cm="1">
        <f t="array" ref="AH318">_xlfn.IFS(E318&gt;49,"50+",E318&gt;39,"40-49",E318&gt;29,"30-39",E318&gt;19,"20-29")</f>
        <v>20-29</v>
      </c>
      <c r="AI318" s="24" t="str" cm="1">
        <f t="array" aca="1" ref="AI318" ca="1">_xlfn.IFS(AG318&gt;10,"10+",AG318&gt;4,"5-10 YIL",AG318&gt;2,"3-5 YIL",AG318&gt;0.9,"1-3 YIL",AG318&lt;1,"0-1 YIL")</f>
        <v>1-3 YIL</v>
      </c>
      <c r="AJ318">
        <f t="shared" si="13"/>
        <v>2024</v>
      </c>
      <c r="AK318" t="e">
        <f t="shared" si="14"/>
        <v>#VALUE!</v>
      </c>
    </row>
    <row r="319" spans="1:37" x14ac:dyDescent="0.3">
      <c r="A319" s="6" t="s">
        <v>629</v>
      </c>
      <c r="B319" s="7" t="s">
        <v>344</v>
      </c>
      <c r="C319" s="6" t="s">
        <v>48</v>
      </c>
      <c r="D319" s="14">
        <v>30116</v>
      </c>
      <c r="E319" s="8">
        <v>44</v>
      </c>
      <c r="F319" s="6" t="s">
        <v>49</v>
      </c>
      <c r="G319" s="8">
        <v>3</v>
      </c>
      <c r="H319" s="6" t="s">
        <v>35</v>
      </c>
      <c r="I319" s="7" t="s">
        <v>70</v>
      </c>
      <c r="J319" s="7" t="s">
        <v>129</v>
      </c>
      <c r="K319" s="6" t="s">
        <v>79</v>
      </c>
      <c r="L319" s="6" t="s">
        <v>63</v>
      </c>
      <c r="M319" s="7" t="s">
        <v>80</v>
      </c>
      <c r="N319" s="6" t="s">
        <v>67</v>
      </c>
      <c r="O319" s="14">
        <v>43870</v>
      </c>
      <c r="P319" s="6" t="s">
        <v>44</v>
      </c>
      <c r="Q319" s="7" t="s">
        <v>44</v>
      </c>
      <c r="R319" s="6" t="s">
        <v>44</v>
      </c>
      <c r="S319" s="6" t="s">
        <v>56</v>
      </c>
      <c r="T319" s="9">
        <v>105600</v>
      </c>
      <c r="U319" s="9">
        <v>0</v>
      </c>
      <c r="V319" s="8">
        <v>7</v>
      </c>
      <c r="W319" s="8">
        <v>29</v>
      </c>
      <c r="X319" s="6" t="s">
        <v>57</v>
      </c>
      <c r="Y319" s="8">
        <v>1</v>
      </c>
      <c r="Z319" s="8">
        <v>0</v>
      </c>
      <c r="AA319" s="8">
        <v>0</v>
      </c>
      <c r="AB319" s="8">
        <v>0</v>
      </c>
      <c r="AC319" s="8">
        <v>3</v>
      </c>
      <c r="AD319" s="8">
        <v>17</v>
      </c>
      <c r="AE319" s="7" t="s">
        <v>73</v>
      </c>
      <c r="AG319">
        <f t="shared" ca="1" si="12"/>
        <v>6</v>
      </c>
      <c r="AH319" s="23" t="str" cm="1">
        <f t="array" ref="AH319">_xlfn.IFS(E319&gt;49,"50+",E319&gt;39,"40-49",E319&gt;29,"30-39",E319&gt;19,"20-29")</f>
        <v>40-49</v>
      </c>
      <c r="AI319" s="24" t="str" cm="1">
        <f t="array" aca="1" ref="AI319" ca="1">_xlfn.IFS(AG319&gt;10,"10+",AG319&gt;4,"5-10 YIL",AG319&gt;2,"3-5 YIL",AG319&gt;0.9,"1-3 YIL",AG319&lt;1,"0-1 YIL")</f>
        <v>5-10 YIL</v>
      </c>
      <c r="AJ319">
        <f t="shared" si="13"/>
        <v>2020</v>
      </c>
      <c r="AK319" t="e">
        <f t="shared" si="14"/>
        <v>#VALUE!</v>
      </c>
    </row>
    <row r="320" spans="1:37" x14ac:dyDescent="0.3">
      <c r="A320" s="2" t="s">
        <v>630</v>
      </c>
      <c r="B320" s="3" t="s">
        <v>631</v>
      </c>
      <c r="C320" s="2" t="s">
        <v>33</v>
      </c>
      <c r="D320" s="13">
        <v>38027</v>
      </c>
      <c r="E320" s="4">
        <v>22</v>
      </c>
      <c r="F320" s="2" t="s">
        <v>34</v>
      </c>
      <c r="G320" s="4">
        <v>0</v>
      </c>
      <c r="H320" s="2" t="s">
        <v>35</v>
      </c>
      <c r="I320" s="3" t="s">
        <v>70</v>
      </c>
      <c r="J320" s="3" t="s">
        <v>92</v>
      </c>
      <c r="K320" s="2" t="s">
        <v>38</v>
      </c>
      <c r="L320" s="2" t="s">
        <v>63</v>
      </c>
      <c r="M320" s="3" t="s">
        <v>72</v>
      </c>
      <c r="N320" s="2" t="s">
        <v>67</v>
      </c>
      <c r="O320" s="13">
        <v>45844</v>
      </c>
      <c r="P320" s="2" t="s">
        <v>44</v>
      </c>
      <c r="Q320" s="3" t="s">
        <v>44</v>
      </c>
      <c r="R320" s="2" t="s">
        <v>44</v>
      </c>
      <c r="S320" s="2" t="s">
        <v>56</v>
      </c>
      <c r="T320" s="5">
        <v>39800</v>
      </c>
      <c r="U320" s="5">
        <v>3200</v>
      </c>
      <c r="V320" s="4">
        <v>9</v>
      </c>
      <c r="W320" s="4">
        <v>30</v>
      </c>
      <c r="X320" s="2" t="s">
        <v>44</v>
      </c>
      <c r="Y320" s="4">
        <v>0</v>
      </c>
      <c r="Z320" s="4">
        <v>0</v>
      </c>
      <c r="AA320" s="4">
        <v>0</v>
      </c>
      <c r="AB320" s="4">
        <v>0</v>
      </c>
      <c r="AC320" s="4">
        <v>3</v>
      </c>
      <c r="AD320" s="4">
        <v>19</v>
      </c>
      <c r="AE320" s="3" t="s">
        <v>58</v>
      </c>
      <c r="AG320">
        <f t="shared" ca="1" si="12"/>
        <v>0</v>
      </c>
      <c r="AH320" s="23" t="str" cm="1">
        <f t="array" ref="AH320">_xlfn.IFS(E320&gt;49,"50+",E320&gt;39,"40-49",E320&gt;29,"30-39",E320&gt;19,"20-29")</f>
        <v>20-29</v>
      </c>
      <c r="AI320" s="24" t="str" cm="1">
        <f t="array" aca="1" ref="AI320" ca="1">_xlfn.IFS(AG320&gt;10,"10+",AG320&gt;4,"5-10 YIL",AG320&gt;2,"3-5 YIL",AG320&gt;0.9,"1-3 YIL",AG320&lt;1,"0-1 YIL")</f>
        <v>0-1 YIL</v>
      </c>
      <c r="AJ320">
        <f t="shared" si="13"/>
        <v>2025</v>
      </c>
      <c r="AK320" t="e">
        <f t="shared" si="14"/>
        <v>#VALUE!</v>
      </c>
    </row>
    <row r="321" spans="1:37" x14ac:dyDescent="0.3">
      <c r="A321" s="6" t="s">
        <v>632</v>
      </c>
      <c r="B321" s="7" t="s">
        <v>32</v>
      </c>
      <c r="C321" s="6" t="s">
        <v>33</v>
      </c>
      <c r="D321" s="14">
        <v>37007</v>
      </c>
      <c r="E321" s="8">
        <v>25</v>
      </c>
      <c r="F321" s="6" t="s">
        <v>49</v>
      </c>
      <c r="G321" s="8">
        <v>2</v>
      </c>
      <c r="H321" s="6" t="s">
        <v>88</v>
      </c>
      <c r="I321" s="7" t="s">
        <v>36</v>
      </c>
      <c r="J321" s="7" t="s">
        <v>37</v>
      </c>
      <c r="K321" s="6" t="s">
        <v>38</v>
      </c>
      <c r="L321" s="6" t="s">
        <v>39</v>
      </c>
      <c r="M321" s="7" t="s">
        <v>40</v>
      </c>
      <c r="N321" s="6" t="s">
        <v>41</v>
      </c>
      <c r="O321" s="14">
        <v>45605</v>
      </c>
      <c r="P321" s="6" t="s">
        <v>44</v>
      </c>
      <c r="Q321" s="7" t="s">
        <v>44</v>
      </c>
      <c r="R321" s="6" t="s">
        <v>44</v>
      </c>
      <c r="S321" s="6" t="s">
        <v>56</v>
      </c>
      <c r="T321" s="9">
        <v>25500</v>
      </c>
      <c r="U321" s="9">
        <v>0</v>
      </c>
      <c r="V321" s="8">
        <v>16</v>
      </c>
      <c r="W321" s="8">
        <v>30</v>
      </c>
      <c r="X321" s="6" t="s">
        <v>44</v>
      </c>
      <c r="Y321" s="8">
        <v>0</v>
      </c>
      <c r="Z321" s="8">
        <v>0</v>
      </c>
      <c r="AA321" s="8">
        <v>0</v>
      </c>
      <c r="AB321" s="8">
        <v>0</v>
      </c>
      <c r="AC321" s="8">
        <v>4</v>
      </c>
      <c r="AD321" s="8">
        <v>35</v>
      </c>
      <c r="AE321" s="7" t="s">
        <v>45</v>
      </c>
      <c r="AG321">
        <f t="shared" ca="1" si="12"/>
        <v>1</v>
      </c>
      <c r="AH321" s="23" t="str" cm="1">
        <f t="array" ref="AH321">_xlfn.IFS(E321&gt;49,"50+",E321&gt;39,"40-49",E321&gt;29,"30-39",E321&gt;19,"20-29")</f>
        <v>20-29</v>
      </c>
      <c r="AI321" s="24" t="str" cm="1">
        <f t="array" aca="1" ref="AI321" ca="1">_xlfn.IFS(AG321&gt;10,"10+",AG321&gt;4,"5-10 YIL",AG321&gt;2,"3-5 YIL",AG321&gt;0.9,"1-3 YIL",AG321&lt;1,"0-1 YIL")</f>
        <v>1-3 YIL</v>
      </c>
      <c r="AJ321">
        <f t="shared" si="13"/>
        <v>2024</v>
      </c>
      <c r="AK321" t="e">
        <f t="shared" si="14"/>
        <v>#VALUE!</v>
      </c>
    </row>
    <row r="322" spans="1:37" x14ac:dyDescent="0.3">
      <c r="A322" s="2" t="s">
        <v>633</v>
      </c>
      <c r="B322" s="3" t="s">
        <v>634</v>
      </c>
      <c r="C322" s="2" t="s">
        <v>48</v>
      </c>
      <c r="D322" s="13">
        <v>32487</v>
      </c>
      <c r="E322" s="4">
        <v>38</v>
      </c>
      <c r="F322" s="2" t="s">
        <v>49</v>
      </c>
      <c r="G322" s="4">
        <v>1</v>
      </c>
      <c r="H322" s="2" t="s">
        <v>35</v>
      </c>
      <c r="I322" s="3" t="s">
        <v>36</v>
      </c>
      <c r="J322" s="3" t="s">
        <v>50</v>
      </c>
      <c r="K322" s="2" t="s">
        <v>51</v>
      </c>
      <c r="L322" s="2" t="s">
        <v>39</v>
      </c>
      <c r="M322" s="3" t="s">
        <v>40</v>
      </c>
      <c r="N322" s="2" t="s">
        <v>95</v>
      </c>
      <c r="O322" s="13">
        <v>43680</v>
      </c>
      <c r="P322" s="13">
        <v>45828</v>
      </c>
      <c r="Q322" s="3" t="s">
        <v>53</v>
      </c>
      <c r="R322" s="2">
        <v>4</v>
      </c>
      <c r="S322" s="2" t="s">
        <v>43</v>
      </c>
      <c r="T322" s="5">
        <v>41500</v>
      </c>
      <c r="U322" s="5">
        <v>0</v>
      </c>
      <c r="V322" s="4">
        <v>33</v>
      </c>
      <c r="W322" s="4">
        <v>30</v>
      </c>
      <c r="X322" s="2" t="s">
        <v>44</v>
      </c>
      <c r="Y322" s="4">
        <v>0</v>
      </c>
      <c r="Z322" s="4">
        <v>10</v>
      </c>
      <c r="AA322" s="4">
        <v>0</v>
      </c>
      <c r="AB322" s="4">
        <v>0</v>
      </c>
      <c r="AC322" s="4">
        <v>3</v>
      </c>
      <c r="AD322" s="4">
        <v>11</v>
      </c>
      <c r="AE322" s="3" t="s">
        <v>58</v>
      </c>
      <c r="AG322">
        <f t="shared" ca="1" si="12"/>
        <v>6</v>
      </c>
      <c r="AH322" s="23" t="str" cm="1">
        <f t="array" ref="AH322">_xlfn.IFS(E322&gt;49,"50+",E322&gt;39,"40-49",E322&gt;29,"30-39",E322&gt;19,"20-29")</f>
        <v>30-39</v>
      </c>
      <c r="AI322" s="24" t="str" cm="1">
        <f t="array" aca="1" ref="AI322" ca="1">_xlfn.IFS(AG322&gt;10,"10+",AG322&gt;4,"5-10 YIL",AG322&gt;2,"3-5 YIL",AG322&gt;0.9,"1-3 YIL",AG322&lt;1,"0-1 YIL")</f>
        <v>5-10 YIL</v>
      </c>
      <c r="AJ322">
        <f t="shared" si="13"/>
        <v>2019</v>
      </c>
      <c r="AK322">
        <f t="shared" si="14"/>
        <v>2025</v>
      </c>
    </row>
    <row r="323" spans="1:37" x14ac:dyDescent="0.3">
      <c r="A323" s="6" t="s">
        <v>635</v>
      </c>
      <c r="B323" s="7" t="s">
        <v>172</v>
      </c>
      <c r="C323" s="6" t="s">
        <v>48</v>
      </c>
      <c r="D323" s="14">
        <v>36999</v>
      </c>
      <c r="E323" s="8">
        <v>25</v>
      </c>
      <c r="F323" s="6" t="s">
        <v>34</v>
      </c>
      <c r="G323" s="8">
        <v>0</v>
      </c>
      <c r="H323" s="6" t="s">
        <v>35</v>
      </c>
      <c r="I323" s="7" t="s">
        <v>36</v>
      </c>
      <c r="J323" s="7" t="s">
        <v>37</v>
      </c>
      <c r="K323" s="6" t="s">
        <v>38</v>
      </c>
      <c r="L323" s="6" t="s">
        <v>39</v>
      </c>
      <c r="M323" s="7" t="s">
        <v>40</v>
      </c>
      <c r="N323" s="6" t="s">
        <v>95</v>
      </c>
      <c r="O323" s="14">
        <v>45680</v>
      </c>
      <c r="P323" s="6" t="s">
        <v>44</v>
      </c>
      <c r="Q323" s="7" t="s">
        <v>44</v>
      </c>
      <c r="R323" s="6" t="s">
        <v>44</v>
      </c>
      <c r="S323" s="6" t="s">
        <v>56</v>
      </c>
      <c r="T323" s="9">
        <v>25500</v>
      </c>
      <c r="U323" s="9">
        <v>0</v>
      </c>
      <c r="V323" s="8">
        <v>23</v>
      </c>
      <c r="W323" s="8">
        <v>28</v>
      </c>
      <c r="X323" s="6" t="s">
        <v>57</v>
      </c>
      <c r="Y323" s="8">
        <v>2</v>
      </c>
      <c r="Z323" s="8">
        <v>11</v>
      </c>
      <c r="AA323" s="8">
        <v>0</v>
      </c>
      <c r="AB323" s="8">
        <v>0</v>
      </c>
      <c r="AC323" s="8">
        <v>4</v>
      </c>
      <c r="AD323" s="8">
        <v>35</v>
      </c>
      <c r="AE323" s="7" t="s">
        <v>58</v>
      </c>
      <c r="AG323">
        <f t="shared" ref="AG323:AG386" ca="1" si="15">DATEDIF(O323,TODAY(),"Y")</f>
        <v>1</v>
      </c>
      <c r="AH323" s="23" t="str" cm="1">
        <f t="array" ref="AH323">_xlfn.IFS(E323&gt;49,"50+",E323&gt;39,"40-49",E323&gt;29,"30-39",E323&gt;19,"20-29")</f>
        <v>20-29</v>
      </c>
      <c r="AI323" s="24" t="str" cm="1">
        <f t="array" aca="1" ref="AI323" ca="1">_xlfn.IFS(AG323&gt;10,"10+",AG323&gt;4,"5-10 YIL",AG323&gt;2,"3-5 YIL",AG323&gt;0.9,"1-3 YIL",AG323&lt;1,"0-1 YIL")</f>
        <v>1-3 YIL</v>
      </c>
      <c r="AJ323">
        <f t="shared" ref="AJ323:AJ386" si="16">YEAR(O323)</f>
        <v>2025</v>
      </c>
      <c r="AK323" t="e">
        <f t="shared" ref="AK323:AK386" si="17">YEAR(P323)</f>
        <v>#VALUE!</v>
      </c>
    </row>
    <row r="324" spans="1:37" x14ac:dyDescent="0.3">
      <c r="A324" s="2" t="s">
        <v>636</v>
      </c>
      <c r="B324" s="3" t="s">
        <v>637</v>
      </c>
      <c r="C324" s="2" t="s">
        <v>48</v>
      </c>
      <c r="D324" s="13">
        <v>37812</v>
      </c>
      <c r="E324" s="4">
        <v>23</v>
      </c>
      <c r="F324" s="2" t="s">
        <v>34</v>
      </c>
      <c r="G324" s="4">
        <v>0</v>
      </c>
      <c r="H324" s="2" t="s">
        <v>35</v>
      </c>
      <c r="I324" s="3" t="s">
        <v>36</v>
      </c>
      <c r="J324" s="3" t="s">
        <v>37</v>
      </c>
      <c r="K324" s="2" t="s">
        <v>38</v>
      </c>
      <c r="L324" s="2" t="s">
        <v>39</v>
      </c>
      <c r="M324" s="3" t="s">
        <v>40</v>
      </c>
      <c r="N324" s="2" t="s">
        <v>89</v>
      </c>
      <c r="O324" s="13">
        <v>45524</v>
      </c>
      <c r="P324" s="2" t="s">
        <v>44</v>
      </c>
      <c r="Q324" s="3" t="s">
        <v>44</v>
      </c>
      <c r="R324" s="2" t="s">
        <v>44</v>
      </c>
      <c r="S324" s="2" t="s">
        <v>56</v>
      </c>
      <c r="T324" s="5">
        <v>24100</v>
      </c>
      <c r="U324" s="5">
        <v>0</v>
      </c>
      <c r="V324" s="4">
        <v>23</v>
      </c>
      <c r="W324" s="4">
        <v>30</v>
      </c>
      <c r="X324" s="2" t="s">
        <v>44</v>
      </c>
      <c r="Y324" s="4">
        <v>0</v>
      </c>
      <c r="Z324" s="4">
        <v>9</v>
      </c>
      <c r="AA324" s="4">
        <v>0</v>
      </c>
      <c r="AB324" s="4">
        <v>0</v>
      </c>
      <c r="AC324" s="4">
        <v>3</v>
      </c>
      <c r="AD324" s="4">
        <v>11</v>
      </c>
      <c r="AE324" s="3" t="s">
        <v>45</v>
      </c>
      <c r="AG324">
        <f t="shared" ca="1" si="15"/>
        <v>1</v>
      </c>
      <c r="AH324" s="23" t="str" cm="1">
        <f t="array" ref="AH324">_xlfn.IFS(E324&gt;49,"50+",E324&gt;39,"40-49",E324&gt;29,"30-39",E324&gt;19,"20-29")</f>
        <v>20-29</v>
      </c>
      <c r="AI324" s="24" t="str" cm="1">
        <f t="array" aca="1" ref="AI324" ca="1">_xlfn.IFS(AG324&gt;10,"10+",AG324&gt;4,"5-10 YIL",AG324&gt;2,"3-5 YIL",AG324&gt;0.9,"1-3 YIL",AG324&lt;1,"0-1 YIL")</f>
        <v>1-3 YIL</v>
      </c>
      <c r="AJ324">
        <f t="shared" si="16"/>
        <v>2024</v>
      </c>
      <c r="AK324" t="e">
        <f t="shared" si="17"/>
        <v>#VALUE!</v>
      </c>
    </row>
    <row r="325" spans="1:37" x14ac:dyDescent="0.3">
      <c r="A325" s="6" t="s">
        <v>638</v>
      </c>
      <c r="B325" s="7" t="s">
        <v>543</v>
      </c>
      <c r="C325" s="6" t="s">
        <v>48</v>
      </c>
      <c r="D325" s="14">
        <v>34798</v>
      </c>
      <c r="E325" s="8">
        <v>31</v>
      </c>
      <c r="F325" s="6" t="s">
        <v>49</v>
      </c>
      <c r="G325" s="8">
        <v>1</v>
      </c>
      <c r="H325" s="6" t="s">
        <v>35</v>
      </c>
      <c r="I325" s="7" t="s">
        <v>70</v>
      </c>
      <c r="J325" s="7" t="s">
        <v>71</v>
      </c>
      <c r="K325" s="6" t="s">
        <v>51</v>
      </c>
      <c r="L325" s="6" t="s">
        <v>63</v>
      </c>
      <c r="M325" s="7" t="s">
        <v>72</v>
      </c>
      <c r="N325" s="6" t="s">
        <v>95</v>
      </c>
      <c r="O325" s="14">
        <v>42417</v>
      </c>
      <c r="P325" s="6" t="s">
        <v>44</v>
      </c>
      <c r="Q325" s="7" t="s">
        <v>44</v>
      </c>
      <c r="R325" s="6" t="s">
        <v>44</v>
      </c>
      <c r="S325" s="6" t="s">
        <v>56</v>
      </c>
      <c r="T325" s="9">
        <v>57600</v>
      </c>
      <c r="U325" s="9">
        <v>0</v>
      </c>
      <c r="V325" s="8">
        <v>5</v>
      </c>
      <c r="W325" s="8">
        <v>30</v>
      </c>
      <c r="X325" s="6" t="s">
        <v>44</v>
      </c>
      <c r="Y325" s="8">
        <v>0</v>
      </c>
      <c r="Z325" s="8">
        <v>6</v>
      </c>
      <c r="AA325" s="8">
        <v>0</v>
      </c>
      <c r="AB325" s="8">
        <v>0</v>
      </c>
      <c r="AC325" s="8">
        <v>3</v>
      </c>
      <c r="AD325" s="8">
        <v>17</v>
      </c>
      <c r="AE325" s="7" t="s">
        <v>82</v>
      </c>
      <c r="AG325">
        <f t="shared" ca="1" si="15"/>
        <v>10</v>
      </c>
      <c r="AH325" s="23" t="str" cm="1">
        <f t="array" ref="AH325">_xlfn.IFS(E325&gt;49,"50+",E325&gt;39,"40-49",E325&gt;29,"30-39",E325&gt;19,"20-29")</f>
        <v>30-39</v>
      </c>
      <c r="AI325" s="24" t="str" cm="1">
        <f t="array" aca="1" ref="AI325" ca="1">_xlfn.IFS(AG325&gt;10,"10+",AG325&gt;4,"5-10 YIL",AG325&gt;2,"3-5 YIL",AG325&gt;0.9,"1-3 YIL",AG325&lt;1,"0-1 YIL")</f>
        <v>5-10 YIL</v>
      </c>
      <c r="AJ325">
        <f t="shared" si="16"/>
        <v>2016</v>
      </c>
      <c r="AK325" t="e">
        <f t="shared" si="17"/>
        <v>#VALUE!</v>
      </c>
    </row>
    <row r="326" spans="1:37" x14ac:dyDescent="0.3">
      <c r="A326" s="2" t="s">
        <v>639</v>
      </c>
      <c r="B326" s="3" t="s">
        <v>640</v>
      </c>
      <c r="C326" s="2" t="s">
        <v>33</v>
      </c>
      <c r="D326" s="13">
        <v>28477</v>
      </c>
      <c r="E326" s="4">
        <v>49</v>
      </c>
      <c r="F326" s="2" t="s">
        <v>49</v>
      </c>
      <c r="G326" s="4">
        <v>1</v>
      </c>
      <c r="H326" s="2" t="s">
        <v>88</v>
      </c>
      <c r="I326" s="3" t="s">
        <v>139</v>
      </c>
      <c r="J326" s="3" t="s">
        <v>140</v>
      </c>
      <c r="K326" s="2" t="s">
        <v>79</v>
      </c>
      <c r="L326" s="2" t="s">
        <v>63</v>
      </c>
      <c r="M326" s="3" t="s">
        <v>80</v>
      </c>
      <c r="N326" s="2" t="s">
        <v>41</v>
      </c>
      <c r="O326" s="13">
        <v>42889</v>
      </c>
      <c r="P326" s="13">
        <v>45886</v>
      </c>
      <c r="Q326" s="3" t="s">
        <v>53</v>
      </c>
      <c r="R326" s="2">
        <v>4</v>
      </c>
      <c r="S326" s="2" t="s">
        <v>43</v>
      </c>
      <c r="T326" s="5">
        <v>129900</v>
      </c>
      <c r="U326" s="5">
        <v>0</v>
      </c>
      <c r="V326" s="4">
        <v>7</v>
      </c>
      <c r="W326" s="4">
        <v>27</v>
      </c>
      <c r="X326" s="2" t="s">
        <v>57</v>
      </c>
      <c r="Y326" s="4">
        <v>3</v>
      </c>
      <c r="Z326" s="4">
        <v>2</v>
      </c>
      <c r="AA326" s="4">
        <v>0</v>
      </c>
      <c r="AB326" s="4">
        <v>0</v>
      </c>
      <c r="AC326" s="4">
        <v>4</v>
      </c>
      <c r="AD326" s="4">
        <v>14</v>
      </c>
      <c r="AE326" s="3" t="s">
        <v>82</v>
      </c>
      <c r="AG326">
        <f t="shared" ca="1" si="15"/>
        <v>9</v>
      </c>
      <c r="AH326" s="23" t="str" cm="1">
        <f t="array" ref="AH326">_xlfn.IFS(E326&gt;49,"50+",E326&gt;39,"40-49",E326&gt;29,"30-39",E326&gt;19,"20-29")</f>
        <v>40-49</v>
      </c>
      <c r="AI326" s="24" t="str" cm="1">
        <f t="array" aca="1" ref="AI326" ca="1">_xlfn.IFS(AG326&gt;10,"10+",AG326&gt;4,"5-10 YIL",AG326&gt;2,"3-5 YIL",AG326&gt;0.9,"1-3 YIL",AG326&lt;1,"0-1 YIL")</f>
        <v>5-10 YIL</v>
      </c>
      <c r="AJ326">
        <f t="shared" si="16"/>
        <v>2017</v>
      </c>
      <c r="AK326">
        <f t="shared" si="17"/>
        <v>2025</v>
      </c>
    </row>
    <row r="327" spans="1:37" x14ac:dyDescent="0.3">
      <c r="A327" s="6" t="s">
        <v>641</v>
      </c>
      <c r="B327" s="7" t="s">
        <v>642</v>
      </c>
      <c r="C327" s="6" t="s">
        <v>48</v>
      </c>
      <c r="D327" s="14">
        <v>36426</v>
      </c>
      <c r="E327" s="8">
        <v>27</v>
      </c>
      <c r="F327" s="6" t="s">
        <v>34</v>
      </c>
      <c r="G327" s="8">
        <v>0</v>
      </c>
      <c r="H327" s="6" t="s">
        <v>88</v>
      </c>
      <c r="I327" s="7" t="s">
        <v>36</v>
      </c>
      <c r="J327" s="7" t="s">
        <v>37</v>
      </c>
      <c r="K327" s="6" t="s">
        <v>38</v>
      </c>
      <c r="L327" s="6" t="s">
        <v>39</v>
      </c>
      <c r="M327" s="7" t="s">
        <v>40</v>
      </c>
      <c r="N327" s="6" t="s">
        <v>52</v>
      </c>
      <c r="O327" s="14">
        <v>45008</v>
      </c>
      <c r="P327" s="6" t="s">
        <v>44</v>
      </c>
      <c r="Q327" s="7" t="s">
        <v>44</v>
      </c>
      <c r="R327" s="6" t="s">
        <v>44</v>
      </c>
      <c r="S327" s="6" t="s">
        <v>56</v>
      </c>
      <c r="T327" s="9">
        <v>28600</v>
      </c>
      <c r="U327" s="9">
        <v>0</v>
      </c>
      <c r="V327" s="8">
        <v>36</v>
      </c>
      <c r="W327" s="8">
        <v>28</v>
      </c>
      <c r="X327" s="6" t="s">
        <v>57</v>
      </c>
      <c r="Y327" s="8">
        <v>2</v>
      </c>
      <c r="Z327" s="8">
        <v>14</v>
      </c>
      <c r="AA327" s="8">
        <v>0</v>
      </c>
      <c r="AB327" s="8">
        <v>0</v>
      </c>
      <c r="AC327" s="8">
        <v>2</v>
      </c>
      <c r="AD327" s="8">
        <v>2</v>
      </c>
      <c r="AE327" s="7" t="s">
        <v>45</v>
      </c>
      <c r="AG327">
        <f t="shared" ca="1" si="15"/>
        <v>3</v>
      </c>
      <c r="AH327" s="23" t="str" cm="1">
        <f t="array" ref="AH327">_xlfn.IFS(E327&gt;49,"50+",E327&gt;39,"40-49",E327&gt;29,"30-39",E327&gt;19,"20-29")</f>
        <v>20-29</v>
      </c>
      <c r="AI327" s="24" t="str" cm="1">
        <f t="array" aca="1" ref="AI327" ca="1">_xlfn.IFS(AG327&gt;10,"10+",AG327&gt;4,"5-10 YIL",AG327&gt;2,"3-5 YIL",AG327&gt;0.9,"1-3 YIL",AG327&lt;1,"0-1 YIL")</f>
        <v>3-5 YIL</v>
      </c>
      <c r="AJ327">
        <f t="shared" si="16"/>
        <v>2023</v>
      </c>
      <c r="AK327" t="e">
        <f t="shared" si="17"/>
        <v>#VALUE!</v>
      </c>
    </row>
    <row r="328" spans="1:37" x14ac:dyDescent="0.3">
      <c r="A328" s="2" t="s">
        <v>643</v>
      </c>
      <c r="B328" s="3" t="s">
        <v>493</v>
      </c>
      <c r="C328" s="2" t="s">
        <v>33</v>
      </c>
      <c r="D328" s="13">
        <v>35037</v>
      </c>
      <c r="E328" s="4">
        <v>31</v>
      </c>
      <c r="F328" s="2" t="s">
        <v>34</v>
      </c>
      <c r="G328" s="4">
        <v>0</v>
      </c>
      <c r="H328" s="2" t="s">
        <v>85</v>
      </c>
      <c r="I328" s="3" t="s">
        <v>36</v>
      </c>
      <c r="J328" s="3" t="s">
        <v>50</v>
      </c>
      <c r="K328" s="2" t="s">
        <v>51</v>
      </c>
      <c r="L328" s="2" t="s">
        <v>39</v>
      </c>
      <c r="M328" s="3" t="s">
        <v>40</v>
      </c>
      <c r="N328" s="2" t="s">
        <v>52</v>
      </c>
      <c r="O328" s="13">
        <v>43410</v>
      </c>
      <c r="P328" s="2" t="s">
        <v>44</v>
      </c>
      <c r="Q328" s="3" t="s">
        <v>44</v>
      </c>
      <c r="R328" s="2" t="s">
        <v>44</v>
      </c>
      <c r="S328" s="2" t="s">
        <v>56</v>
      </c>
      <c r="T328" s="5">
        <v>41400</v>
      </c>
      <c r="U328" s="5">
        <v>0</v>
      </c>
      <c r="V328" s="4">
        <v>38</v>
      </c>
      <c r="W328" s="4">
        <v>30</v>
      </c>
      <c r="X328" s="2" t="s">
        <v>44</v>
      </c>
      <c r="Y328" s="4">
        <v>0</v>
      </c>
      <c r="Z328" s="4">
        <v>6</v>
      </c>
      <c r="AA328" s="4">
        <v>0</v>
      </c>
      <c r="AB328" s="4">
        <v>0</v>
      </c>
      <c r="AC328" s="4">
        <v>3</v>
      </c>
      <c r="AD328" s="4">
        <v>2</v>
      </c>
      <c r="AE328" s="3" t="s">
        <v>58</v>
      </c>
      <c r="AG328">
        <f t="shared" ca="1" si="15"/>
        <v>7</v>
      </c>
      <c r="AH328" s="23" t="str" cm="1">
        <f t="array" ref="AH328">_xlfn.IFS(E328&gt;49,"50+",E328&gt;39,"40-49",E328&gt;29,"30-39",E328&gt;19,"20-29")</f>
        <v>30-39</v>
      </c>
      <c r="AI328" s="24" t="str" cm="1">
        <f t="array" aca="1" ref="AI328" ca="1">_xlfn.IFS(AG328&gt;10,"10+",AG328&gt;4,"5-10 YIL",AG328&gt;2,"3-5 YIL",AG328&gt;0.9,"1-3 YIL",AG328&lt;1,"0-1 YIL")</f>
        <v>5-10 YIL</v>
      </c>
      <c r="AJ328">
        <f t="shared" si="16"/>
        <v>2018</v>
      </c>
      <c r="AK328" t="e">
        <f t="shared" si="17"/>
        <v>#VALUE!</v>
      </c>
    </row>
    <row r="329" spans="1:37" x14ac:dyDescent="0.3">
      <c r="A329" s="6" t="s">
        <v>644</v>
      </c>
      <c r="B329" s="7" t="s">
        <v>645</v>
      </c>
      <c r="C329" s="6" t="s">
        <v>33</v>
      </c>
      <c r="D329" s="14">
        <v>37712</v>
      </c>
      <c r="E329" s="8">
        <v>23</v>
      </c>
      <c r="F329" s="6" t="s">
        <v>34</v>
      </c>
      <c r="G329" s="8">
        <v>0</v>
      </c>
      <c r="H329" s="6" t="s">
        <v>85</v>
      </c>
      <c r="I329" s="7" t="s">
        <v>36</v>
      </c>
      <c r="J329" s="7" t="s">
        <v>37</v>
      </c>
      <c r="K329" s="6" t="s">
        <v>38</v>
      </c>
      <c r="L329" s="6" t="s">
        <v>39</v>
      </c>
      <c r="M329" s="7" t="s">
        <v>40</v>
      </c>
      <c r="N329" s="6" t="s">
        <v>89</v>
      </c>
      <c r="O329" s="14">
        <v>45476</v>
      </c>
      <c r="P329" s="6" t="s">
        <v>44</v>
      </c>
      <c r="Q329" s="7" t="s">
        <v>44</v>
      </c>
      <c r="R329" s="6" t="s">
        <v>44</v>
      </c>
      <c r="S329" s="6" t="s">
        <v>56</v>
      </c>
      <c r="T329" s="9">
        <v>26100</v>
      </c>
      <c r="U329" s="9">
        <v>0</v>
      </c>
      <c r="V329" s="8">
        <v>37</v>
      </c>
      <c r="W329" s="8">
        <v>25</v>
      </c>
      <c r="X329" s="6" t="s">
        <v>57</v>
      </c>
      <c r="Y329" s="8">
        <v>5</v>
      </c>
      <c r="Z329" s="8">
        <v>10</v>
      </c>
      <c r="AA329" s="8">
        <v>0</v>
      </c>
      <c r="AB329" s="8">
        <v>0</v>
      </c>
      <c r="AC329" s="8">
        <v>2</v>
      </c>
      <c r="AD329" s="8">
        <v>15</v>
      </c>
      <c r="AE329" s="7" t="s">
        <v>45</v>
      </c>
      <c r="AG329">
        <f t="shared" ca="1" si="15"/>
        <v>1</v>
      </c>
      <c r="AH329" s="23" t="str" cm="1">
        <f t="array" ref="AH329">_xlfn.IFS(E329&gt;49,"50+",E329&gt;39,"40-49",E329&gt;29,"30-39",E329&gt;19,"20-29")</f>
        <v>20-29</v>
      </c>
      <c r="AI329" s="24" t="str" cm="1">
        <f t="array" aca="1" ref="AI329" ca="1">_xlfn.IFS(AG329&gt;10,"10+",AG329&gt;4,"5-10 YIL",AG329&gt;2,"3-5 YIL",AG329&gt;0.9,"1-3 YIL",AG329&lt;1,"0-1 YIL")</f>
        <v>1-3 YIL</v>
      </c>
      <c r="AJ329">
        <f t="shared" si="16"/>
        <v>2024</v>
      </c>
      <c r="AK329" t="e">
        <f t="shared" si="17"/>
        <v>#VALUE!</v>
      </c>
    </row>
    <row r="330" spans="1:37" x14ac:dyDescent="0.3">
      <c r="A330" s="2" t="s">
        <v>646</v>
      </c>
      <c r="B330" s="3" t="s">
        <v>647</v>
      </c>
      <c r="C330" s="2" t="s">
        <v>33</v>
      </c>
      <c r="D330" s="13">
        <v>36536</v>
      </c>
      <c r="E330" s="4">
        <v>26</v>
      </c>
      <c r="F330" s="2" t="s">
        <v>49</v>
      </c>
      <c r="G330" s="4">
        <v>2</v>
      </c>
      <c r="H330" s="2" t="s">
        <v>35</v>
      </c>
      <c r="I330" s="3" t="s">
        <v>36</v>
      </c>
      <c r="J330" s="3" t="s">
        <v>37</v>
      </c>
      <c r="K330" s="2" t="s">
        <v>38</v>
      </c>
      <c r="L330" s="2" t="s">
        <v>39</v>
      </c>
      <c r="M330" s="3" t="s">
        <v>40</v>
      </c>
      <c r="N330" s="2" t="s">
        <v>41</v>
      </c>
      <c r="O330" s="13">
        <v>45789</v>
      </c>
      <c r="P330" s="2" t="s">
        <v>44</v>
      </c>
      <c r="Q330" s="3" t="s">
        <v>44</v>
      </c>
      <c r="R330" s="2" t="s">
        <v>44</v>
      </c>
      <c r="S330" s="2" t="s">
        <v>56</v>
      </c>
      <c r="T330" s="5">
        <v>26300</v>
      </c>
      <c r="U330" s="5">
        <v>0</v>
      </c>
      <c r="V330" s="4">
        <v>10</v>
      </c>
      <c r="W330" s="4">
        <v>29</v>
      </c>
      <c r="X330" s="2" t="s">
        <v>81</v>
      </c>
      <c r="Y330" s="4">
        <v>0</v>
      </c>
      <c r="Z330" s="4">
        <v>8</v>
      </c>
      <c r="AA330" s="4">
        <v>1</v>
      </c>
      <c r="AB330" s="4">
        <v>0</v>
      </c>
      <c r="AC330" s="4">
        <v>4</v>
      </c>
      <c r="AD330" s="4">
        <v>23</v>
      </c>
      <c r="AE330" s="3" t="s">
        <v>58</v>
      </c>
      <c r="AG330">
        <f t="shared" ca="1" si="15"/>
        <v>1</v>
      </c>
      <c r="AH330" s="23" t="str" cm="1">
        <f t="array" ref="AH330">_xlfn.IFS(E330&gt;49,"50+",E330&gt;39,"40-49",E330&gt;29,"30-39",E330&gt;19,"20-29")</f>
        <v>20-29</v>
      </c>
      <c r="AI330" s="24" t="str" cm="1">
        <f t="array" aca="1" ref="AI330" ca="1">_xlfn.IFS(AG330&gt;10,"10+",AG330&gt;4,"5-10 YIL",AG330&gt;2,"3-5 YIL",AG330&gt;0.9,"1-3 YIL",AG330&lt;1,"0-1 YIL")</f>
        <v>1-3 YIL</v>
      </c>
      <c r="AJ330">
        <f t="shared" si="16"/>
        <v>2025</v>
      </c>
      <c r="AK330" t="e">
        <f t="shared" si="17"/>
        <v>#VALUE!</v>
      </c>
    </row>
    <row r="331" spans="1:37" x14ac:dyDescent="0.3">
      <c r="A331" s="6" t="s">
        <v>648</v>
      </c>
      <c r="B331" s="7" t="s">
        <v>649</v>
      </c>
      <c r="C331" s="6" t="s">
        <v>48</v>
      </c>
      <c r="D331" s="14">
        <v>30448</v>
      </c>
      <c r="E331" s="8">
        <v>43</v>
      </c>
      <c r="F331" s="6" t="s">
        <v>49</v>
      </c>
      <c r="G331" s="8">
        <v>2</v>
      </c>
      <c r="H331" s="6" t="s">
        <v>35</v>
      </c>
      <c r="I331" s="7" t="s">
        <v>61</v>
      </c>
      <c r="J331" s="7" t="s">
        <v>107</v>
      </c>
      <c r="K331" s="6" t="s">
        <v>51</v>
      </c>
      <c r="L331" s="6" t="s">
        <v>63</v>
      </c>
      <c r="M331" s="7" t="s">
        <v>64</v>
      </c>
      <c r="N331" s="6" t="s">
        <v>41</v>
      </c>
      <c r="O331" s="14">
        <v>44705</v>
      </c>
      <c r="P331" s="14">
        <v>46083</v>
      </c>
      <c r="Q331" s="7" t="s">
        <v>53</v>
      </c>
      <c r="R331" s="6">
        <v>4</v>
      </c>
      <c r="S331" s="6" t="s">
        <v>43</v>
      </c>
      <c r="T331" s="9">
        <v>56300</v>
      </c>
      <c r="U331" s="9">
        <v>0</v>
      </c>
      <c r="V331" s="8">
        <v>3</v>
      </c>
      <c r="W331" s="8">
        <v>30</v>
      </c>
      <c r="X331" s="6" t="s">
        <v>44</v>
      </c>
      <c r="Y331" s="8">
        <v>0</v>
      </c>
      <c r="Z331" s="8">
        <v>1</v>
      </c>
      <c r="AA331" s="8">
        <v>0</v>
      </c>
      <c r="AB331" s="8">
        <v>0</v>
      </c>
      <c r="AC331" s="8">
        <v>2</v>
      </c>
      <c r="AD331" s="8">
        <v>10</v>
      </c>
      <c r="AE331" s="7" t="s">
        <v>45</v>
      </c>
      <c r="AG331">
        <f t="shared" ca="1" si="15"/>
        <v>4</v>
      </c>
      <c r="AH331" s="23" t="str" cm="1">
        <f t="array" ref="AH331">_xlfn.IFS(E331&gt;49,"50+",E331&gt;39,"40-49",E331&gt;29,"30-39",E331&gt;19,"20-29")</f>
        <v>40-49</v>
      </c>
      <c r="AI331" s="24" t="str" cm="1">
        <f t="array" aca="1" ref="AI331" ca="1">_xlfn.IFS(AG331&gt;10,"10+",AG331&gt;4,"5-10 YIL",AG331&gt;2,"3-5 YIL",AG331&gt;0.9,"1-3 YIL",AG331&lt;1,"0-1 YIL")</f>
        <v>3-5 YIL</v>
      </c>
      <c r="AJ331">
        <f t="shared" si="16"/>
        <v>2022</v>
      </c>
      <c r="AK331">
        <f t="shared" si="17"/>
        <v>2026</v>
      </c>
    </row>
    <row r="332" spans="1:37" x14ac:dyDescent="0.3">
      <c r="A332" s="2" t="s">
        <v>650</v>
      </c>
      <c r="B332" s="3" t="s">
        <v>651</v>
      </c>
      <c r="C332" s="2" t="s">
        <v>48</v>
      </c>
      <c r="D332" s="13">
        <v>37418</v>
      </c>
      <c r="E332" s="4">
        <v>24</v>
      </c>
      <c r="F332" s="2" t="s">
        <v>49</v>
      </c>
      <c r="G332" s="4">
        <v>1</v>
      </c>
      <c r="H332" s="2" t="s">
        <v>85</v>
      </c>
      <c r="I332" s="3" t="s">
        <v>36</v>
      </c>
      <c r="J332" s="3" t="s">
        <v>37</v>
      </c>
      <c r="K332" s="2" t="s">
        <v>38</v>
      </c>
      <c r="L332" s="2" t="s">
        <v>39</v>
      </c>
      <c r="M332" s="3" t="s">
        <v>40</v>
      </c>
      <c r="N332" s="2" t="s">
        <v>41</v>
      </c>
      <c r="O332" s="13">
        <v>46021</v>
      </c>
      <c r="P332" s="13">
        <v>46076</v>
      </c>
      <c r="Q332" s="3" t="s">
        <v>53</v>
      </c>
      <c r="R332" s="2">
        <v>4</v>
      </c>
      <c r="S332" s="2" t="s">
        <v>43</v>
      </c>
      <c r="T332" s="5">
        <v>28100</v>
      </c>
      <c r="U332" s="5">
        <v>0</v>
      </c>
      <c r="V332" s="4">
        <v>40</v>
      </c>
      <c r="W332" s="4">
        <v>30</v>
      </c>
      <c r="X332" s="2" t="s">
        <v>44</v>
      </c>
      <c r="Y332" s="4">
        <v>0</v>
      </c>
      <c r="Z332" s="4">
        <v>0</v>
      </c>
      <c r="AA332" s="4">
        <v>0</v>
      </c>
      <c r="AB332" s="4">
        <v>0</v>
      </c>
      <c r="AC332" s="4">
        <v>3</v>
      </c>
      <c r="AD332" s="4">
        <v>3</v>
      </c>
      <c r="AE332" s="3" t="s">
        <v>45</v>
      </c>
      <c r="AG332">
        <f t="shared" ca="1" si="15"/>
        <v>0</v>
      </c>
      <c r="AH332" s="23" t="str" cm="1">
        <f t="array" ref="AH332">_xlfn.IFS(E332&gt;49,"50+",E332&gt;39,"40-49",E332&gt;29,"30-39",E332&gt;19,"20-29")</f>
        <v>20-29</v>
      </c>
      <c r="AI332" s="24" t="str" cm="1">
        <f t="array" aca="1" ref="AI332" ca="1">_xlfn.IFS(AG332&gt;10,"10+",AG332&gt;4,"5-10 YIL",AG332&gt;2,"3-5 YIL",AG332&gt;0.9,"1-3 YIL",AG332&lt;1,"0-1 YIL")</f>
        <v>0-1 YIL</v>
      </c>
      <c r="AJ332">
        <f t="shared" si="16"/>
        <v>2025</v>
      </c>
      <c r="AK332">
        <f t="shared" si="17"/>
        <v>2026</v>
      </c>
    </row>
    <row r="333" spans="1:37" x14ac:dyDescent="0.3">
      <c r="A333" s="6" t="s">
        <v>652</v>
      </c>
      <c r="B333" s="7" t="s">
        <v>433</v>
      </c>
      <c r="C333" s="6" t="s">
        <v>33</v>
      </c>
      <c r="D333" s="14">
        <v>36319</v>
      </c>
      <c r="E333" s="8">
        <v>27</v>
      </c>
      <c r="F333" s="6" t="s">
        <v>49</v>
      </c>
      <c r="G333" s="8">
        <v>2</v>
      </c>
      <c r="H333" s="6" t="s">
        <v>35</v>
      </c>
      <c r="I333" s="7" t="s">
        <v>36</v>
      </c>
      <c r="J333" s="7" t="s">
        <v>37</v>
      </c>
      <c r="K333" s="6" t="s">
        <v>38</v>
      </c>
      <c r="L333" s="6" t="s">
        <v>39</v>
      </c>
      <c r="M333" s="7" t="s">
        <v>40</v>
      </c>
      <c r="N333" s="6" t="s">
        <v>41</v>
      </c>
      <c r="O333" s="14">
        <v>44923</v>
      </c>
      <c r="P333" s="6" t="s">
        <v>44</v>
      </c>
      <c r="Q333" s="7" t="s">
        <v>44</v>
      </c>
      <c r="R333" s="6" t="s">
        <v>44</v>
      </c>
      <c r="S333" s="6" t="s">
        <v>56</v>
      </c>
      <c r="T333" s="9">
        <v>23800</v>
      </c>
      <c r="U333" s="9">
        <v>0</v>
      </c>
      <c r="V333" s="8">
        <v>19</v>
      </c>
      <c r="W333" s="8">
        <v>30</v>
      </c>
      <c r="X333" s="6" t="s">
        <v>44</v>
      </c>
      <c r="Y333" s="8">
        <v>0</v>
      </c>
      <c r="Z333" s="8">
        <v>9</v>
      </c>
      <c r="AA333" s="8">
        <v>0</v>
      </c>
      <c r="AB333" s="8">
        <v>0</v>
      </c>
      <c r="AC333" s="8">
        <v>4</v>
      </c>
      <c r="AD333" s="8">
        <v>23</v>
      </c>
      <c r="AE333" s="7" t="s">
        <v>58</v>
      </c>
      <c r="AG333">
        <f t="shared" ca="1" si="15"/>
        <v>3</v>
      </c>
      <c r="AH333" s="23" t="str" cm="1">
        <f t="array" ref="AH333">_xlfn.IFS(E333&gt;49,"50+",E333&gt;39,"40-49",E333&gt;29,"30-39",E333&gt;19,"20-29")</f>
        <v>20-29</v>
      </c>
      <c r="AI333" s="24" t="str" cm="1">
        <f t="array" aca="1" ref="AI333" ca="1">_xlfn.IFS(AG333&gt;10,"10+",AG333&gt;4,"5-10 YIL",AG333&gt;2,"3-5 YIL",AG333&gt;0.9,"1-3 YIL",AG333&lt;1,"0-1 YIL")</f>
        <v>3-5 YIL</v>
      </c>
      <c r="AJ333">
        <f t="shared" si="16"/>
        <v>2022</v>
      </c>
      <c r="AK333" t="e">
        <f t="shared" si="17"/>
        <v>#VALUE!</v>
      </c>
    </row>
    <row r="334" spans="1:37" x14ac:dyDescent="0.3">
      <c r="A334" s="2" t="s">
        <v>653</v>
      </c>
      <c r="B334" s="3" t="s">
        <v>396</v>
      </c>
      <c r="C334" s="2" t="s">
        <v>33</v>
      </c>
      <c r="D334" s="13">
        <v>33500</v>
      </c>
      <c r="E334" s="4">
        <v>35</v>
      </c>
      <c r="F334" s="2" t="s">
        <v>49</v>
      </c>
      <c r="G334" s="4">
        <v>3</v>
      </c>
      <c r="H334" s="2" t="s">
        <v>85</v>
      </c>
      <c r="I334" s="3" t="s">
        <v>36</v>
      </c>
      <c r="J334" s="3" t="s">
        <v>50</v>
      </c>
      <c r="K334" s="2" t="s">
        <v>51</v>
      </c>
      <c r="L334" s="2" t="s">
        <v>39</v>
      </c>
      <c r="M334" s="3" t="s">
        <v>40</v>
      </c>
      <c r="N334" s="2" t="s">
        <v>41</v>
      </c>
      <c r="O334" s="13">
        <v>44513</v>
      </c>
      <c r="P334" s="2" t="s">
        <v>44</v>
      </c>
      <c r="Q334" s="3" t="s">
        <v>44</v>
      </c>
      <c r="R334" s="2" t="s">
        <v>44</v>
      </c>
      <c r="S334" s="2" t="s">
        <v>56</v>
      </c>
      <c r="T334" s="5">
        <v>43100</v>
      </c>
      <c r="U334" s="5">
        <v>0</v>
      </c>
      <c r="V334" s="4">
        <v>12</v>
      </c>
      <c r="W334" s="4">
        <v>29</v>
      </c>
      <c r="X334" s="2" t="s">
        <v>57</v>
      </c>
      <c r="Y334" s="4">
        <v>1</v>
      </c>
      <c r="Z334" s="4">
        <v>3</v>
      </c>
      <c r="AA334" s="4">
        <v>0</v>
      </c>
      <c r="AB334" s="4">
        <v>0</v>
      </c>
      <c r="AC334" s="4">
        <v>4</v>
      </c>
      <c r="AD334" s="4">
        <v>32</v>
      </c>
      <c r="AE334" s="3" t="s">
        <v>45</v>
      </c>
      <c r="AG334">
        <f t="shared" ca="1" si="15"/>
        <v>4</v>
      </c>
      <c r="AH334" s="23" t="str" cm="1">
        <f t="array" ref="AH334">_xlfn.IFS(E334&gt;49,"50+",E334&gt;39,"40-49",E334&gt;29,"30-39",E334&gt;19,"20-29")</f>
        <v>30-39</v>
      </c>
      <c r="AI334" s="24" t="str" cm="1">
        <f t="array" aca="1" ref="AI334" ca="1">_xlfn.IFS(AG334&gt;10,"10+",AG334&gt;4,"5-10 YIL",AG334&gt;2,"3-5 YIL",AG334&gt;0.9,"1-3 YIL",AG334&lt;1,"0-1 YIL")</f>
        <v>3-5 YIL</v>
      </c>
      <c r="AJ334">
        <f t="shared" si="16"/>
        <v>2021</v>
      </c>
      <c r="AK334" t="e">
        <f t="shared" si="17"/>
        <v>#VALUE!</v>
      </c>
    </row>
    <row r="335" spans="1:37" x14ac:dyDescent="0.3">
      <c r="A335" s="6" t="s">
        <v>654</v>
      </c>
      <c r="B335" s="7" t="s">
        <v>655</v>
      </c>
      <c r="C335" s="6" t="s">
        <v>33</v>
      </c>
      <c r="D335" s="14">
        <v>34079</v>
      </c>
      <c r="E335" s="8">
        <v>33</v>
      </c>
      <c r="F335" s="6" t="s">
        <v>34</v>
      </c>
      <c r="G335" s="8">
        <v>0</v>
      </c>
      <c r="H335" s="6" t="s">
        <v>35</v>
      </c>
      <c r="I335" s="7" t="s">
        <v>61</v>
      </c>
      <c r="J335" s="7" t="s">
        <v>107</v>
      </c>
      <c r="K335" s="6" t="s">
        <v>51</v>
      </c>
      <c r="L335" s="6" t="s">
        <v>63</v>
      </c>
      <c r="M335" s="7" t="s">
        <v>64</v>
      </c>
      <c r="N335" s="6" t="s">
        <v>95</v>
      </c>
      <c r="O335" s="14">
        <v>43294</v>
      </c>
      <c r="P335" s="6" t="s">
        <v>44</v>
      </c>
      <c r="Q335" s="7" t="s">
        <v>44</v>
      </c>
      <c r="R335" s="6" t="s">
        <v>44</v>
      </c>
      <c r="S335" s="6" t="s">
        <v>56</v>
      </c>
      <c r="T335" s="9">
        <v>59500</v>
      </c>
      <c r="U335" s="9">
        <v>11600</v>
      </c>
      <c r="V335" s="8">
        <v>1</v>
      </c>
      <c r="W335" s="8">
        <v>30</v>
      </c>
      <c r="X335" s="6" t="s">
        <v>44</v>
      </c>
      <c r="Y335" s="8">
        <v>0</v>
      </c>
      <c r="Z335" s="8">
        <v>11</v>
      </c>
      <c r="AA335" s="8">
        <v>0</v>
      </c>
      <c r="AB335" s="8">
        <v>0</v>
      </c>
      <c r="AC335" s="8">
        <v>2</v>
      </c>
      <c r="AD335" s="8">
        <v>18</v>
      </c>
      <c r="AE335" s="7" t="s">
        <v>58</v>
      </c>
      <c r="AG335">
        <f t="shared" ca="1" si="15"/>
        <v>7</v>
      </c>
      <c r="AH335" s="23" t="str" cm="1">
        <f t="array" ref="AH335">_xlfn.IFS(E335&gt;49,"50+",E335&gt;39,"40-49",E335&gt;29,"30-39",E335&gt;19,"20-29")</f>
        <v>30-39</v>
      </c>
      <c r="AI335" s="24" t="str" cm="1">
        <f t="array" aca="1" ref="AI335" ca="1">_xlfn.IFS(AG335&gt;10,"10+",AG335&gt;4,"5-10 YIL",AG335&gt;2,"3-5 YIL",AG335&gt;0.9,"1-3 YIL",AG335&lt;1,"0-1 YIL")</f>
        <v>5-10 YIL</v>
      </c>
      <c r="AJ335">
        <f t="shared" si="16"/>
        <v>2018</v>
      </c>
      <c r="AK335" t="e">
        <f t="shared" si="17"/>
        <v>#VALUE!</v>
      </c>
    </row>
    <row r="336" spans="1:37" x14ac:dyDescent="0.3">
      <c r="A336" s="2" t="s">
        <v>656</v>
      </c>
      <c r="B336" s="3" t="s">
        <v>657</v>
      </c>
      <c r="C336" s="2" t="s">
        <v>33</v>
      </c>
      <c r="D336" s="13">
        <v>35454</v>
      </c>
      <c r="E336" s="4">
        <v>29</v>
      </c>
      <c r="F336" s="2" t="s">
        <v>49</v>
      </c>
      <c r="G336" s="4">
        <v>1</v>
      </c>
      <c r="H336" s="2" t="s">
        <v>85</v>
      </c>
      <c r="I336" s="3" t="s">
        <v>61</v>
      </c>
      <c r="J336" s="3" t="s">
        <v>62</v>
      </c>
      <c r="K336" s="2" t="s">
        <v>38</v>
      </c>
      <c r="L336" s="2" t="s">
        <v>63</v>
      </c>
      <c r="M336" s="3" t="s">
        <v>64</v>
      </c>
      <c r="N336" s="2" t="s">
        <v>89</v>
      </c>
      <c r="O336" s="13">
        <v>46016</v>
      </c>
      <c r="P336" s="2" t="s">
        <v>44</v>
      </c>
      <c r="Q336" s="3" t="s">
        <v>44</v>
      </c>
      <c r="R336" s="2" t="s">
        <v>44</v>
      </c>
      <c r="S336" s="2" t="s">
        <v>56</v>
      </c>
      <c r="T336" s="5">
        <v>36600</v>
      </c>
      <c r="U336" s="5">
        <v>10900</v>
      </c>
      <c r="V336" s="4">
        <v>2</v>
      </c>
      <c r="W336" s="4">
        <v>30</v>
      </c>
      <c r="X336" s="2" t="s">
        <v>44</v>
      </c>
      <c r="Y336" s="4">
        <v>0</v>
      </c>
      <c r="Z336" s="4">
        <v>0</v>
      </c>
      <c r="AA336" s="4">
        <v>0</v>
      </c>
      <c r="AB336" s="4">
        <v>0</v>
      </c>
      <c r="AC336" s="4">
        <v>4</v>
      </c>
      <c r="AD336" s="4">
        <v>27</v>
      </c>
      <c r="AE336" s="3" t="s">
        <v>58</v>
      </c>
      <c r="AG336">
        <f t="shared" ca="1" si="15"/>
        <v>0</v>
      </c>
      <c r="AH336" s="23" t="str" cm="1">
        <f t="array" ref="AH336">_xlfn.IFS(E336&gt;49,"50+",E336&gt;39,"40-49",E336&gt;29,"30-39",E336&gt;19,"20-29")</f>
        <v>20-29</v>
      </c>
      <c r="AI336" s="24" t="str" cm="1">
        <f t="array" aca="1" ref="AI336" ca="1">_xlfn.IFS(AG336&gt;10,"10+",AG336&gt;4,"5-10 YIL",AG336&gt;2,"3-5 YIL",AG336&gt;0.9,"1-3 YIL",AG336&lt;1,"0-1 YIL")</f>
        <v>0-1 YIL</v>
      </c>
      <c r="AJ336">
        <f t="shared" si="16"/>
        <v>2025</v>
      </c>
      <c r="AK336" t="e">
        <f t="shared" si="17"/>
        <v>#VALUE!</v>
      </c>
    </row>
    <row r="337" spans="1:37" x14ac:dyDescent="0.3">
      <c r="A337" s="6" t="s">
        <v>658</v>
      </c>
      <c r="B337" s="7" t="s">
        <v>659</v>
      </c>
      <c r="C337" s="6" t="s">
        <v>33</v>
      </c>
      <c r="D337" s="14">
        <v>25399</v>
      </c>
      <c r="E337" s="8">
        <v>57</v>
      </c>
      <c r="F337" s="6" t="s">
        <v>49</v>
      </c>
      <c r="G337" s="8">
        <v>1</v>
      </c>
      <c r="H337" s="6" t="s">
        <v>35</v>
      </c>
      <c r="I337" s="7" t="s">
        <v>70</v>
      </c>
      <c r="J337" s="7" t="s">
        <v>129</v>
      </c>
      <c r="K337" s="6" t="s">
        <v>79</v>
      </c>
      <c r="L337" s="6" t="s">
        <v>63</v>
      </c>
      <c r="M337" s="7" t="s">
        <v>80</v>
      </c>
      <c r="N337" s="6" t="s">
        <v>52</v>
      </c>
      <c r="O337" s="14">
        <v>44114</v>
      </c>
      <c r="P337" s="6" t="s">
        <v>44</v>
      </c>
      <c r="Q337" s="7" t="s">
        <v>44</v>
      </c>
      <c r="R337" s="6" t="s">
        <v>44</v>
      </c>
      <c r="S337" s="6" t="s">
        <v>56</v>
      </c>
      <c r="T337" s="9">
        <v>105800</v>
      </c>
      <c r="U337" s="9">
        <v>0</v>
      </c>
      <c r="V337" s="8">
        <v>8</v>
      </c>
      <c r="W337" s="8">
        <v>30</v>
      </c>
      <c r="X337" s="6" t="s">
        <v>44</v>
      </c>
      <c r="Y337" s="8">
        <v>0</v>
      </c>
      <c r="Z337" s="8">
        <v>2</v>
      </c>
      <c r="AA337" s="8">
        <v>0</v>
      </c>
      <c r="AB337" s="8">
        <v>0</v>
      </c>
      <c r="AC337" s="8">
        <v>2</v>
      </c>
      <c r="AD337" s="8">
        <v>2</v>
      </c>
      <c r="AE337" s="7" t="s">
        <v>73</v>
      </c>
      <c r="AG337">
        <f t="shared" ca="1" si="15"/>
        <v>5</v>
      </c>
      <c r="AH337" s="23" t="str" cm="1">
        <f t="array" ref="AH337">_xlfn.IFS(E337&gt;49,"50+",E337&gt;39,"40-49",E337&gt;29,"30-39",E337&gt;19,"20-29")</f>
        <v>50+</v>
      </c>
      <c r="AI337" s="24" t="str" cm="1">
        <f t="array" aca="1" ref="AI337" ca="1">_xlfn.IFS(AG337&gt;10,"10+",AG337&gt;4,"5-10 YIL",AG337&gt;2,"3-5 YIL",AG337&gt;0.9,"1-3 YIL",AG337&lt;1,"0-1 YIL")</f>
        <v>5-10 YIL</v>
      </c>
      <c r="AJ337">
        <f t="shared" si="16"/>
        <v>2020</v>
      </c>
      <c r="AK337" t="e">
        <f t="shared" si="17"/>
        <v>#VALUE!</v>
      </c>
    </row>
    <row r="338" spans="1:37" x14ac:dyDescent="0.3">
      <c r="A338" s="2" t="s">
        <v>660</v>
      </c>
      <c r="B338" s="3" t="s">
        <v>661</v>
      </c>
      <c r="C338" s="2" t="s">
        <v>48</v>
      </c>
      <c r="D338" s="13">
        <v>28279</v>
      </c>
      <c r="E338" s="4">
        <v>49</v>
      </c>
      <c r="F338" s="2" t="s">
        <v>49</v>
      </c>
      <c r="G338" s="4">
        <v>1</v>
      </c>
      <c r="H338" s="2" t="s">
        <v>35</v>
      </c>
      <c r="I338" s="3" t="s">
        <v>139</v>
      </c>
      <c r="J338" s="3" t="s">
        <v>140</v>
      </c>
      <c r="K338" s="2" t="s">
        <v>79</v>
      </c>
      <c r="L338" s="2" t="s">
        <v>63</v>
      </c>
      <c r="M338" s="3" t="s">
        <v>80</v>
      </c>
      <c r="N338" s="2" t="s">
        <v>41</v>
      </c>
      <c r="O338" s="13">
        <v>44246</v>
      </c>
      <c r="P338" s="2" t="s">
        <v>44</v>
      </c>
      <c r="Q338" s="3" t="s">
        <v>44</v>
      </c>
      <c r="R338" s="2" t="s">
        <v>44</v>
      </c>
      <c r="S338" s="2" t="s">
        <v>56</v>
      </c>
      <c r="T338" s="5">
        <v>135500</v>
      </c>
      <c r="U338" s="5">
        <v>0</v>
      </c>
      <c r="V338" s="4">
        <v>9</v>
      </c>
      <c r="W338" s="4">
        <v>30</v>
      </c>
      <c r="X338" s="2" t="s">
        <v>44</v>
      </c>
      <c r="Y338" s="4">
        <v>0</v>
      </c>
      <c r="Z338" s="4">
        <v>10</v>
      </c>
      <c r="AA338" s="4">
        <v>0</v>
      </c>
      <c r="AB338" s="4">
        <v>0</v>
      </c>
      <c r="AC338" s="4">
        <v>3</v>
      </c>
      <c r="AD338" s="4">
        <v>12</v>
      </c>
      <c r="AE338" s="3" t="s">
        <v>82</v>
      </c>
      <c r="AG338">
        <f t="shared" ca="1" si="15"/>
        <v>5</v>
      </c>
      <c r="AH338" s="23" t="str" cm="1">
        <f t="array" ref="AH338">_xlfn.IFS(E338&gt;49,"50+",E338&gt;39,"40-49",E338&gt;29,"30-39",E338&gt;19,"20-29")</f>
        <v>40-49</v>
      </c>
      <c r="AI338" s="24" t="str" cm="1">
        <f t="array" aca="1" ref="AI338" ca="1">_xlfn.IFS(AG338&gt;10,"10+",AG338&gt;4,"5-10 YIL",AG338&gt;2,"3-5 YIL",AG338&gt;0.9,"1-3 YIL",AG338&lt;1,"0-1 YIL")</f>
        <v>5-10 YIL</v>
      </c>
      <c r="AJ338">
        <f t="shared" si="16"/>
        <v>2021</v>
      </c>
      <c r="AK338" t="e">
        <f t="shared" si="17"/>
        <v>#VALUE!</v>
      </c>
    </row>
    <row r="339" spans="1:37" x14ac:dyDescent="0.3">
      <c r="A339" s="6" t="s">
        <v>662</v>
      </c>
      <c r="B339" s="7" t="s">
        <v>188</v>
      </c>
      <c r="C339" s="6" t="s">
        <v>48</v>
      </c>
      <c r="D339" s="14">
        <v>37828</v>
      </c>
      <c r="E339" s="8">
        <v>23</v>
      </c>
      <c r="F339" s="6" t="s">
        <v>49</v>
      </c>
      <c r="G339" s="8">
        <v>1</v>
      </c>
      <c r="H339" s="6" t="s">
        <v>88</v>
      </c>
      <c r="I339" s="7" t="s">
        <v>36</v>
      </c>
      <c r="J339" s="7" t="s">
        <v>37</v>
      </c>
      <c r="K339" s="6" t="s">
        <v>38</v>
      </c>
      <c r="L339" s="6" t="s">
        <v>39</v>
      </c>
      <c r="M339" s="7" t="s">
        <v>40</v>
      </c>
      <c r="N339" s="6" t="s">
        <v>41</v>
      </c>
      <c r="O339" s="14">
        <v>46044</v>
      </c>
      <c r="P339" s="14">
        <v>46089</v>
      </c>
      <c r="Q339" s="7" t="s">
        <v>53</v>
      </c>
      <c r="R339" s="6">
        <v>4</v>
      </c>
      <c r="S339" s="6" t="s">
        <v>43</v>
      </c>
      <c r="T339" s="9">
        <v>24100</v>
      </c>
      <c r="U339" s="9">
        <v>0</v>
      </c>
      <c r="V339" s="8">
        <v>26</v>
      </c>
      <c r="W339" s="8">
        <v>29</v>
      </c>
      <c r="X339" s="6" t="s">
        <v>112</v>
      </c>
      <c r="Y339" s="8">
        <v>0</v>
      </c>
      <c r="Z339" s="8">
        <v>0</v>
      </c>
      <c r="AA339" s="8">
        <v>0</v>
      </c>
      <c r="AB339" s="8">
        <v>1</v>
      </c>
      <c r="AC339" s="8">
        <v>4</v>
      </c>
      <c r="AD339" s="8">
        <v>19</v>
      </c>
      <c r="AE339" s="7" t="s">
        <v>58</v>
      </c>
      <c r="AG339">
        <f t="shared" ca="1" si="15"/>
        <v>0</v>
      </c>
      <c r="AH339" s="23" t="str" cm="1">
        <f t="array" ref="AH339">_xlfn.IFS(E339&gt;49,"50+",E339&gt;39,"40-49",E339&gt;29,"30-39",E339&gt;19,"20-29")</f>
        <v>20-29</v>
      </c>
      <c r="AI339" s="24" t="str" cm="1">
        <f t="array" aca="1" ref="AI339" ca="1">_xlfn.IFS(AG339&gt;10,"10+",AG339&gt;4,"5-10 YIL",AG339&gt;2,"3-5 YIL",AG339&gt;0.9,"1-3 YIL",AG339&lt;1,"0-1 YIL")</f>
        <v>0-1 YIL</v>
      </c>
      <c r="AJ339">
        <f t="shared" si="16"/>
        <v>2026</v>
      </c>
      <c r="AK339">
        <f t="shared" si="17"/>
        <v>2026</v>
      </c>
    </row>
    <row r="340" spans="1:37" x14ac:dyDescent="0.3">
      <c r="A340" s="2" t="s">
        <v>663</v>
      </c>
      <c r="B340" s="3" t="s">
        <v>664</v>
      </c>
      <c r="C340" s="2" t="s">
        <v>33</v>
      </c>
      <c r="D340" s="13">
        <v>36505</v>
      </c>
      <c r="E340" s="4">
        <v>27</v>
      </c>
      <c r="F340" s="2" t="s">
        <v>34</v>
      </c>
      <c r="G340" s="4">
        <v>0</v>
      </c>
      <c r="H340" s="2" t="s">
        <v>88</v>
      </c>
      <c r="I340" s="3" t="s">
        <v>61</v>
      </c>
      <c r="J340" s="3" t="s">
        <v>62</v>
      </c>
      <c r="K340" s="2" t="s">
        <v>38</v>
      </c>
      <c r="L340" s="2" t="s">
        <v>63</v>
      </c>
      <c r="M340" s="3" t="s">
        <v>64</v>
      </c>
      <c r="N340" s="2" t="s">
        <v>41</v>
      </c>
      <c r="O340" s="13">
        <v>46034</v>
      </c>
      <c r="P340" s="13">
        <v>46164</v>
      </c>
      <c r="Q340" s="3" t="s">
        <v>42</v>
      </c>
      <c r="R340" s="2">
        <v>3</v>
      </c>
      <c r="S340" s="2" t="s">
        <v>43</v>
      </c>
      <c r="T340" s="5">
        <v>32100</v>
      </c>
      <c r="U340" s="5">
        <v>8000</v>
      </c>
      <c r="V340" s="4">
        <v>0</v>
      </c>
      <c r="W340" s="4">
        <v>29</v>
      </c>
      <c r="X340" s="2" t="s">
        <v>81</v>
      </c>
      <c r="Y340" s="4">
        <v>0</v>
      </c>
      <c r="Z340" s="4">
        <v>0</v>
      </c>
      <c r="AA340" s="4">
        <v>1</v>
      </c>
      <c r="AB340" s="4">
        <v>0</v>
      </c>
      <c r="AC340" s="4">
        <v>3</v>
      </c>
      <c r="AD340" s="4">
        <v>18</v>
      </c>
      <c r="AE340" s="3" t="s">
        <v>82</v>
      </c>
      <c r="AG340">
        <f t="shared" ca="1" si="15"/>
        <v>0</v>
      </c>
      <c r="AH340" s="23" t="str" cm="1">
        <f t="array" ref="AH340">_xlfn.IFS(E340&gt;49,"50+",E340&gt;39,"40-49",E340&gt;29,"30-39",E340&gt;19,"20-29")</f>
        <v>20-29</v>
      </c>
      <c r="AI340" s="24" t="str" cm="1">
        <f t="array" aca="1" ref="AI340" ca="1">_xlfn.IFS(AG340&gt;10,"10+",AG340&gt;4,"5-10 YIL",AG340&gt;2,"3-5 YIL",AG340&gt;0.9,"1-3 YIL",AG340&lt;1,"0-1 YIL")</f>
        <v>0-1 YIL</v>
      </c>
      <c r="AJ340">
        <f t="shared" si="16"/>
        <v>2026</v>
      </c>
      <c r="AK340">
        <f t="shared" si="17"/>
        <v>2026</v>
      </c>
    </row>
    <row r="341" spans="1:37" x14ac:dyDescent="0.3">
      <c r="A341" s="6" t="s">
        <v>665</v>
      </c>
      <c r="B341" s="7" t="s">
        <v>666</v>
      </c>
      <c r="C341" s="6" t="s">
        <v>33</v>
      </c>
      <c r="D341" s="14">
        <v>35475</v>
      </c>
      <c r="E341" s="8">
        <v>29</v>
      </c>
      <c r="F341" s="6" t="s">
        <v>34</v>
      </c>
      <c r="G341" s="8">
        <v>0</v>
      </c>
      <c r="H341" s="6" t="s">
        <v>35</v>
      </c>
      <c r="I341" s="7" t="s">
        <v>36</v>
      </c>
      <c r="J341" s="7" t="s">
        <v>37</v>
      </c>
      <c r="K341" s="6" t="s">
        <v>38</v>
      </c>
      <c r="L341" s="6" t="s">
        <v>39</v>
      </c>
      <c r="M341" s="7" t="s">
        <v>40</v>
      </c>
      <c r="N341" s="6" t="s">
        <v>41</v>
      </c>
      <c r="O341" s="14">
        <v>45917</v>
      </c>
      <c r="P341" s="6" t="s">
        <v>44</v>
      </c>
      <c r="Q341" s="7" t="s">
        <v>44</v>
      </c>
      <c r="R341" s="6" t="s">
        <v>44</v>
      </c>
      <c r="S341" s="6" t="s">
        <v>56</v>
      </c>
      <c r="T341" s="9">
        <v>23800</v>
      </c>
      <c r="U341" s="9">
        <v>0</v>
      </c>
      <c r="V341" s="8">
        <v>25</v>
      </c>
      <c r="W341" s="8">
        <v>29</v>
      </c>
      <c r="X341" s="6" t="s">
        <v>57</v>
      </c>
      <c r="Y341" s="8">
        <v>1</v>
      </c>
      <c r="Z341" s="8">
        <v>0</v>
      </c>
      <c r="AA341" s="8">
        <v>0</v>
      </c>
      <c r="AB341" s="8">
        <v>0</v>
      </c>
      <c r="AC341" s="8">
        <v>1</v>
      </c>
      <c r="AD341" s="8">
        <v>3</v>
      </c>
      <c r="AE341" s="7" t="s">
        <v>45</v>
      </c>
      <c r="AG341">
        <f t="shared" ca="1" si="15"/>
        <v>0</v>
      </c>
      <c r="AH341" s="23" t="str" cm="1">
        <f t="array" ref="AH341">_xlfn.IFS(E341&gt;49,"50+",E341&gt;39,"40-49",E341&gt;29,"30-39",E341&gt;19,"20-29")</f>
        <v>20-29</v>
      </c>
      <c r="AI341" s="24" t="str" cm="1">
        <f t="array" aca="1" ref="AI341" ca="1">_xlfn.IFS(AG341&gt;10,"10+",AG341&gt;4,"5-10 YIL",AG341&gt;2,"3-5 YIL",AG341&gt;0.9,"1-3 YIL",AG341&lt;1,"0-1 YIL")</f>
        <v>0-1 YIL</v>
      </c>
      <c r="AJ341">
        <f t="shared" si="16"/>
        <v>2025</v>
      </c>
      <c r="AK341" t="e">
        <f t="shared" si="17"/>
        <v>#VALUE!</v>
      </c>
    </row>
    <row r="342" spans="1:37" x14ac:dyDescent="0.3">
      <c r="A342" s="2" t="s">
        <v>667</v>
      </c>
      <c r="B342" s="3" t="s">
        <v>668</v>
      </c>
      <c r="C342" s="2" t="s">
        <v>48</v>
      </c>
      <c r="D342" s="13">
        <v>35812</v>
      </c>
      <c r="E342" s="4">
        <v>28</v>
      </c>
      <c r="F342" s="2" t="s">
        <v>49</v>
      </c>
      <c r="G342" s="4">
        <v>0</v>
      </c>
      <c r="H342" s="2" t="s">
        <v>184</v>
      </c>
      <c r="I342" s="3" t="s">
        <v>61</v>
      </c>
      <c r="J342" s="3" t="s">
        <v>62</v>
      </c>
      <c r="K342" s="2" t="s">
        <v>38</v>
      </c>
      <c r="L342" s="2" t="s">
        <v>63</v>
      </c>
      <c r="M342" s="3" t="s">
        <v>64</v>
      </c>
      <c r="N342" s="2" t="s">
        <v>41</v>
      </c>
      <c r="O342" s="13">
        <v>44733</v>
      </c>
      <c r="P342" s="2" t="s">
        <v>44</v>
      </c>
      <c r="Q342" s="3" t="s">
        <v>44</v>
      </c>
      <c r="R342" s="2" t="s">
        <v>44</v>
      </c>
      <c r="S342" s="2" t="s">
        <v>56</v>
      </c>
      <c r="T342" s="5">
        <v>32500</v>
      </c>
      <c r="U342" s="5">
        <v>9500</v>
      </c>
      <c r="V342" s="4">
        <v>3</v>
      </c>
      <c r="W342" s="4">
        <v>30</v>
      </c>
      <c r="X342" s="2" t="s">
        <v>44</v>
      </c>
      <c r="Y342" s="4">
        <v>0</v>
      </c>
      <c r="Z342" s="4">
        <v>12</v>
      </c>
      <c r="AA342" s="4">
        <v>0</v>
      </c>
      <c r="AB342" s="4">
        <v>0</v>
      </c>
      <c r="AC342" s="4">
        <v>3</v>
      </c>
      <c r="AD342" s="4">
        <v>16</v>
      </c>
      <c r="AE342" s="3" t="s">
        <v>45</v>
      </c>
      <c r="AG342">
        <f t="shared" ca="1" si="15"/>
        <v>4</v>
      </c>
      <c r="AH342" s="23" t="str" cm="1">
        <f t="array" ref="AH342">_xlfn.IFS(E342&gt;49,"50+",E342&gt;39,"40-49",E342&gt;29,"30-39",E342&gt;19,"20-29")</f>
        <v>20-29</v>
      </c>
      <c r="AI342" s="24" t="str" cm="1">
        <f t="array" aca="1" ref="AI342" ca="1">_xlfn.IFS(AG342&gt;10,"10+",AG342&gt;4,"5-10 YIL",AG342&gt;2,"3-5 YIL",AG342&gt;0.9,"1-3 YIL",AG342&lt;1,"0-1 YIL")</f>
        <v>3-5 YIL</v>
      </c>
      <c r="AJ342">
        <f t="shared" si="16"/>
        <v>2022</v>
      </c>
      <c r="AK342" t="e">
        <f t="shared" si="17"/>
        <v>#VALUE!</v>
      </c>
    </row>
    <row r="343" spans="1:37" x14ac:dyDescent="0.3">
      <c r="A343" s="6" t="s">
        <v>669</v>
      </c>
      <c r="B343" s="7" t="s">
        <v>87</v>
      </c>
      <c r="C343" s="6" t="s">
        <v>48</v>
      </c>
      <c r="D343" s="14">
        <v>36684</v>
      </c>
      <c r="E343" s="8">
        <v>26</v>
      </c>
      <c r="F343" s="6" t="s">
        <v>34</v>
      </c>
      <c r="G343" s="8">
        <v>0</v>
      </c>
      <c r="H343" s="6" t="s">
        <v>35</v>
      </c>
      <c r="I343" s="7" t="s">
        <v>36</v>
      </c>
      <c r="J343" s="7" t="s">
        <v>37</v>
      </c>
      <c r="K343" s="6" t="s">
        <v>38</v>
      </c>
      <c r="L343" s="6" t="s">
        <v>39</v>
      </c>
      <c r="M343" s="7" t="s">
        <v>40</v>
      </c>
      <c r="N343" s="6" t="s">
        <v>41</v>
      </c>
      <c r="O343" s="14">
        <v>45568</v>
      </c>
      <c r="P343" s="14">
        <v>45801</v>
      </c>
      <c r="Q343" s="7" t="s">
        <v>53</v>
      </c>
      <c r="R343" s="6">
        <v>4</v>
      </c>
      <c r="S343" s="6" t="s">
        <v>43</v>
      </c>
      <c r="T343" s="9">
        <v>28500</v>
      </c>
      <c r="U343" s="9">
        <v>0</v>
      </c>
      <c r="V343" s="8">
        <v>19</v>
      </c>
      <c r="W343" s="8">
        <v>30</v>
      </c>
      <c r="X343" s="6" t="s">
        <v>44</v>
      </c>
      <c r="Y343" s="8">
        <v>0</v>
      </c>
      <c r="Z343" s="8">
        <v>6</v>
      </c>
      <c r="AA343" s="8">
        <v>0</v>
      </c>
      <c r="AB343" s="8">
        <v>0</v>
      </c>
      <c r="AC343" s="8">
        <v>3</v>
      </c>
      <c r="AD343" s="8">
        <v>17</v>
      </c>
      <c r="AE343" s="7" t="s">
        <v>96</v>
      </c>
      <c r="AG343">
        <f t="shared" ca="1" si="15"/>
        <v>1</v>
      </c>
      <c r="AH343" s="23" t="str" cm="1">
        <f t="array" ref="AH343">_xlfn.IFS(E343&gt;49,"50+",E343&gt;39,"40-49",E343&gt;29,"30-39",E343&gt;19,"20-29")</f>
        <v>20-29</v>
      </c>
      <c r="AI343" s="24" t="str" cm="1">
        <f t="array" aca="1" ref="AI343" ca="1">_xlfn.IFS(AG343&gt;10,"10+",AG343&gt;4,"5-10 YIL",AG343&gt;2,"3-5 YIL",AG343&gt;0.9,"1-3 YIL",AG343&lt;1,"0-1 YIL")</f>
        <v>1-3 YIL</v>
      </c>
      <c r="AJ343">
        <f t="shared" si="16"/>
        <v>2024</v>
      </c>
      <c r="AK343">
        <f t="shared" si="17"/>
        <v>2025</v>
      </c>
    </row>
    <row r="344" spans="1:37" x14ac:dyDescent="0.3">
      <c r="A344" s="2" t="s">
        <v>670</v>
      </c>
      <c r="B344" s="3" t="s">
        <v>671</v>
      </c>
      <c r="C344" s="2" t="s">
        <v>48</v>
      </c>
      <c r="D344" s="13">
        <v>36152</v>
      </c>
      <c r="E344" s="4">
        <v>28</v>
      </c>
      <c r="F344" s="2" t="s">
        <v>49</v>
      </c>
      <c r="G344" s="4">
        <v>1</v>
      </c>
      <c r="H344" s="2" t="s">
        <v>35</v>
      </c>
      <c r="I344" s="3" t="s">
        <v>36</v>
      </c>
      <c r="J344" s="3" t="s">
        <v>37</v>
      </c>
      <c r="K344" s="2" t="s">
        <v>38</v>
      </c>
      <c r="L344" s="2" t="s">
        <v>39</v>
      </c>
      <c r="M344" s="3" t="s">
        <v>40</v>
      </c>
      <c r="N344" s="2" t="s">
        <v>95</v>
      </c>
      <c r="O344" s="13">
        <v>45700</v>
      </c>
      <c r="P344" s="2" t="s">
        <v>44</v>
      </c>
      <c r="Q344" s="3" t="s">
        <v>44</v>
      </c>
      <c r="R344" s="2" t="s">
        <v>44</v>
      </c>
      <c r="S344" s="2" t="s">
        <v>56</v>
      </c>
      <c r="T344" s="5">
        <v>26400</v>
      </c>
      <c r="U344" s="5">
        <v>0</v>
      </c>
      <c r="V344" s="4">
        <v>33</v>
      </c>
      <c r="W344" s="4">
        <v>30</v>
      </c>
      <c r="X344" s="2" t="s">
        <v>44</v>
      </c>
      <c r="Y344" s="4">
        <v>0</v>
      </c>
      <c r="Z344" s="4">
        <v>0</v>
      </c>
      <c r="AA344" s="4">
        <v>0</v>
      </c>
      <c r="AB344" s="4">
        <v>0</v>
      </c>
      <c r="AC344" s="4">
        <v>3</v>
      </c>
      <c r="AD344" s="4">
        <v>19</v>
      </c>
      <c r="AE344" s="3" t="s">
        <v>73</v>
      </c>
      <c r="AG344">
        <f t="shared" ca="1" si="15"/>
        <v>1</v>
      </c>
      <c r="AH344" s="23" t="str" cm="1">
        <f t="array" ref="AH344">_xlfn.IFS(E344&gt;49,"50+",E344&gt;39,"40-49",E344&gt;29,"30-39",E344&gt;19,"20-29")</f>
        <v>20-29</v>
      </c>
      <c r="AI344" s="24" t="str" cm="1">
        <f t="array" aca="1" ref="AI344" ca="1">_xlfn.IFS(AG344&gt;10,"10+",AG344&gt;4,"5-10 YIL",AG344&gt;2,"3-5 YIL",AG344&gt;0.9,"1-3 YIL",AG344&lt;1,"0-1 YIL")</f>
        <v>1-3 YIL</v>
      </c>
      <c r="AJ344">
        <f t="shared" si="16"/>
        <v>2025</v>
      </c>
      <c r="AK344" t="e">
        <f t="shared" si="17"/>
        <v>#VALUE!</v>
      </c>
    </row>
    <row r="345" spans="1:37" x14ac:dyDescent="0.3">
      <c r="A345" s="6" t="s">
        <v>672</v>
      </c>
      <c r="B345" s="7" t="s">
        <v>673</v>
      </c>
      <c r="C345" s="6" t="s">
        <v>33</v>
      </c>
      <c r="D345" s="14">
        <v>30572</v>
      </c>
      <c r="E345" s="8">
        <v>43</v>
      </c>
      <c r="F345" s="6" t="s">
        <v>34</v>
      </c>
      <c r="G345" s="8">
        <v>0</v>
      </c>
      <c r="H345" s="6" t="s">
        <v>35</v>
      </c>
      <c r="I345" s="7" t="s">
        <v>61</v>
      </c>
      <c r="J345" s="7" t="s">
        <v>124</v>
      </c>
      <c r="K345" s="6" t="s">
        <v>79</v>
      </c>
      <c r="L345" s="6" t="s">
        <v>63</v>
      </c>
      <c r="M345" s="7" t="s">
        <v>80</v>
      </c>
      <c r="N345" s="6" t="s">
        <v>41</v>
      </c>
      <c r="O345" s="14">
        <v>41971</v>
      </c>
      <c r="P345" s="14">
        <v>44837</v>
      </c>
      <c r="Q345" s="7" t="s">
        <v>177</v>
      </c>
      <c r="R345" s="6">
        <v>3</v>
      </c>
      <c r="S345" s="6" t="s">
        <v>43</v>
      </c>
      <c r="T345" s="9">
        <v>105300</v>
      </c>
      <c r="U345" s="9">
        <v>35100</v>
      </c>
      <c r="V345" s="8">
        <v>5</v>
      </c>
      <c r="W345" s="8">
        <v>30</v>
      </c>
      <c r="X345" s="6" t="s">
        <v>44</v>
      </c>
      <c r="Y345" s="8">
        <v>0</v>
      </c>
      <c r="Z345" s="8">
        <v>3</v>
      </c>
      <c r="AA345" s="8">
        <v>0</v>
      </c>
      <c r="AB345" s="8">
        <v>0</v>
      </c>
      <c r="AC345" s="8">
        <v>3</v>
      </c>
      <c r="AD345" s="8">
        <v>3</v>
      </c>
      <c r="AE345" s="7" t="s">
        <v>45</v>
      </c>
      <c r="AG345">
        <f t="shared" ca="1" si="15"/>
        <v>11</v>
      </c>
      <c r="AH345" s="23" t="str" cm="1">
        <f t="array" ref="AH345">_xlfn.IFS(E345&gt;49,"50+",E345&gt;39,"40-49",E345&gt;29,"30-39",E345&gt;19,"20-29")</f>
        <v>40-49</v>
      </c>
      <c r="AI345" s="24" t="str" cm="1">
        <f t="array" aca="1" ref="AI345" ca="1">_xlfn.IFS(AG345&gt;10,"10+",AG345&gt;4,"5-10 YIL",AG345&gt;2,"3-5 YIL",AG345&gt;0.9,"1-3 YIL",AG345&lt;1,"0-1 YIL")</f>
        <v>10+</v>
      </c>
      <c r="AJ345">
        <f t="shared" si="16"/>
        <v>2014</v>
      </c>
      <c r="AK345">
        <f t="shared" si="17"/>
        <v>2022</v>
      </c>
    </row>
    <row r="346" spans="1:37" x14ac:dyDescent="0.3">
      <c r="A346" s="2" t="s">
        <v>674</v>
      </c>
      <c r="B346" s="3" t="s">
        <v>675</v>
      </c>
      <c r="C346" s="2" t="s">
        <v>48</v>
      </c>
      <c r="D346" s="13">
        <v>36065</v>
      </c>
      <c r="E346" s="4">
        <v>28</v>
      </c>
      <c r="F346" s="2" t="s">
        <v>49</v>
      </c>
      <c r="G346" s="4">
        <v>1</v>
      </c>
      <c r="H346" s="2" t="s">
        <v>35</v>
      </c>
      <c r="I346" s="3" t="s">
        <v>36</v>
      </c>
      <c r="J346" s="3" t="s">
        <v>37</v>
      </c>
      <c r="K346" s="2" t="s">
        <v>38</v>
      </c>
      <c r="L346" s="2" t="s">
        <v>39</v>
      </c>
      <c r="M346" s="3" t="s">
        <v>40</v>
      </c>
      <c r="N346" s="2" t="s">
        <v>95</v>
      </c>
      <c r="O346" s="13">
        <v>45135</v>
      </c>
      <c r="P346" s="2" t="s">
        <v>44</v>
      </c>
      <c r="Q346" s="3" t="s">
        <v>44</v>
      </c>
      <c r="R346" s="2" t="s">
        <v>44</v>
      </c>
      <c r="S346" s="2" t="s">
        <v>56</v>
      </c>
      <c r="T346" s="5">
        <v>26000</v>
      </c>
      <c r="U346" s="5">
        <v>0</v>
      </c>
      <c r="V346" s="4">
        <v>37</v>
      </c>
      <c r="W346" s="4">
        <v>30</v>
      </c>
      <c r="X346" s="2" t="s">
        <v>44</v>
      </c>
      <c r="Y346" s="4">
        <v>0</v>
      </c>
      <c r="Z346" s="4">
        <v>10</v>
      </c>
      <c r="AA346" s="4">
        <v>0</v>
      </c>
      <c r="AB346" s="4">
        <v>0</v>
      </c>
      <c r="AC346" s="4">
        <v>3</v>
      </c>
      <c r="AD346" s="4">
        <v>14</v>
      </c>
      <c r="AE346" s="3" t="s">
        <v>96</v>
      </c>
      <c r="AG346">
        <f t="shared" ca="1" si="15"/>
        <v>2</v>
      </c>
      <c r="AH346" s="23" t="str" cm="1">
        <f t="array" ref="AH346">_xlfn.IFS(E346&gt;49,"50+",E346&gt;39,"40-49",E346&gt;29,"30-39",E346&gt;19,"20-29")</f>
        <v>20-29</v>
      </c>
      <c r="AI346" s="24" t="str" cm="1">
        <f t="array" aca="1" ref="AI346" ca="1">_xlfn.IFS(AG346&gt;10,"10+",AG346&gt;4,"5-10 YIL",AG346&gt;2,"3-5 YIL",AG346&gt;0.9,"1-3 YIL",AG346&lt;1,"0-1 YIL")</f>
        <v>1-3 YIL</v>
      </c>
      <c r="AJ346">
        <f t="shared" si="16"/>
        <v>2023</v>
      </c>
      <c r="AK346" t="e">
        <f t="shared" si="17"/>
        <v>#VALUE!</v>
      </c>
    </row>
    <row r="347" spans="1:37" x14ac:dyDescent="0.3">
      <c r="A347" s="6" t="s">
        <v>676</v>
      </c>
      <c r="B347" s="7" t="s">
        <v>677</v>
      </c>
      <c r="C347" s="6" t="s">
        <v>48</v>
      </c>
      <c r="D347" s="14">
        <v>35851</v>
      </c>
      <c r="E347" s="8">
        <v>28</v>
      </c>
      <c r="F347" s="6" t="s">
        <v>49</v>
      </c>
      <c r="G347" s="8">
        <v>0</v>
      </c>
      <c r="H347" s="6" t="s">
        <v>35</v>
      </c>
      <c r="I347" s="7" t="s">
        <v>61</v>
      </c>
      <c r="J347" s="7" t="s">
        <v>62</v>
      </c>
      <c r="K347" s="6" t="s">
        <v>38</v>
      </c>
      <c r="L347" s="6" t="s">
        <v>63</v>
      </c>
      <c r="M347" s="7" t="s">
        <v>64</v>
      </c>
      <c r="N347" s="6" t="s">
        <v>95</v>
      </c>
      <c r="O347" s="14">
        <v>45355</v>
      </c>
      <c r="P347" s="6" t="s">
        <v>44</v>
      </c>
      <c r="Q347" s="7" t="s">
        <v>44</v>
      </c>
      <c r="R347" s="6" t="s">
        <v>44</v>
      </c>
      <c r="S347" s="6" t="s">
        <v>56</v>
      </c>
      <c r="T347" s="9">
        <v>34300</v>
      </c>
      <c r="U347" s="9">
        <v>8200</v>
      </c>
      <c r="V347" s="8">
        <v>5</v>
      </c>
      <c r="W347" s="8">
        <v>29</v>
      </c>
      <c r="X347" s="6" t="s">
        <v>57</v>
      </c>
      <c r="Y347" s="8">
        <v>1</v>
      </c>
      <c r="Z347" s="8">
        <v>2</v>
      </c>
      <c r="AA347" s="8">
        <v>0</v>
      </c>
      <c r="AB347" s="8">
        <v>0</v>
      </c>
      <c r="AC347" s="8">
        <v>3</v>
      </c>
      <c r="AD347" s="8">
        <v>10</v>
      </c>
      <c r="AE347" s="7" t="s">
        <v>45</v>
      </c>
      <c r="AG347">
        <f t="shared" ca="1" si="15"/>
        <v>2</v>
      </c>
      <c r="AH347" s="23" t="str" cm="1">
        <f t="array" ref="AH347">_xlfn.IFS(E347&gt;49,"50+",E347&gt;39,"40-49",E347&gt;29,"30-39",E347&gt;19,"20-29")</f>
        <v>20-29</v>
      </c>
      <c r="AI347" s="24" t="str" cm="1">
        <f t="array" aca="1" ref="AI347" ca="1">_xlfn.IFS(AG347&gt;10,"10+",AG347&gt;4,"5-10 YIL",AG347&gt;2,"3-5 YIL",AG347&gt;0.9,"1-3 YIL",AG347&lt;1,"0-1 YIL")</f>
        <v>1-3 YIL</v>
      </c>
      <c r="AJ347">
        <f t="shared" si="16"/>
        <v>2024</v>
      </c>
      <c r="AK347" t="e">
        <f t="shared" si="17"/>
        <v>#VALUE!</v>
      </c>
    </row>
    <row r="348" spans="1:37" x14ac:dyDescent="0.3">
      <c r="A348" s="2" t="s">
        <v>678</v>
      </c>
      <c r="B348" s="3" t="s">
        <v>439</v>
      </c>
      <c r="C348" s="2" t="s">
        <v>48</v>
      </c>
      <c r="D348" s="13">
        <v>26852</v>
      </c>
      <c r="E348" s="4">
        <v>53</v>
      </c>
      <c r="F348" s="2" t="s">
        <v>34</v>
      </c>
      <c r="G348" s="4">
        <v>0</v>
      </c>
      <c r="H348" s="2" t="s">
        <v>35</v>
      </c>
      <c r="I348" s="3" t="s">
        <v>139</v>
      </c>
      <c r="J348" s="3" t="s">
        <v>140</v>
      </c>
      <c r="K348" s="2" t="s">
        <v>79</v>
      </c>
      <c r="L348" s="2" t="s">
        <v>63</v>
      </c>
      <c r="M348" s="3" t="s">
        <v>80</v>
      </c>
      <c r="N348" s="2" t="s">
        <v>89</v>
      </c>
      <c r="O348" s="13">
        <v>42676</v>
      </c>
      <c r="P348" s="2" t="s">
        <v>44</v>
      </c>
      <c r="Q348" s="3" t="s">
        <v>44</v>
      </c>
      <c r="R348" s="2" t="s">
        <v>44</v>
      </c>
      <c r="S348" s="2" t="s">
        <v>56</v>
      </c>
      <c r="T348" s="5">
        <v>133100</v>
      </c>
      <c r="U348" s="5">
        <v>0</v>
      </c>
      <c r="V348" s="4">
        <v>7</v>
      </c>
      <c r="W348" s="4">
        <v>28</v>
      </c>
      <c r="X348" s="2" t="s">
        <v>57</v>
      </c>
      <c r="Y348" s="4">
        <v>2</v>
      </c>
      <c r="Z348" s="4">
        <v>10</v>
      </c>
      <c r="AA348" s="4">
        <v>0</v>
      </c>
      <c r="AB348" s="4">
        <v>0</v>
      </c>
      <c r="AC348" s="4">
        <v>3</v>
      </c>
      <c r="AD348" s="4">
        <v>18</v>
      </c>
      <c r="AE348" s="3" t="s">
        <v>73</v>
      </c>
      <c r="AG348">
        <f t="shared" ca="1" si="15"/>
        <v>9</v>
      </c>
      <c r="AH348" s="23" t="str" cm="1">
        <f t="array" ref="AH348">_xlfn.IFS(E348&gt;49,"50+",E348&gt;39,"40-49",E348&gt;29,"30-39",E348&gt;19,"20-29")</f>
        <v>50+</v>
      </c>
      <c r="AI348" s="24" t="str" cm="1">
        <f t="array" aca="1" ref="AI348" ca="1">_xlfn.IFS(AG348&gt;10,"10+",AG348&gt;4,"5-10 YIL",AG348&gt;2,"3-5 YIL",AG348&gt;0.9,"1-3 YIL",AG348&lt;1,"0-1 YIL")</f>
        <v>5-10 YIL</v>
      </c>
      <c r="AJ348">
        <f t="shared" si="16"/>
        <v>2016</v>
      </c>
      <c r="AK348" t="e">
        <f t="shared" si="17"/>
        <v>#VALUE!</v>
      </c>
    </row>
    <row r="349" spans="1:37" x14ac:dyDescent="0.3">
      <c r="A349" s="6" t="s">
        <v>679</v>
      </c>
      <c r="B349" s="7" t="s">
        <v>680</v>
      </c>
      <c r="C349" s="6" t="s">
        <v>48</v>
      </c>
      <c r="D349" s="14">
        <v>32373</v>
      </c>
      <c r="E349" s="8">
        <v>38</v>
      </c>
      <c r="F349" s="6" t="s">
        <v>49</v>
      </c>
      <c r="G349" s="8">
        <v>0</v>
      </c>
      <c r="H349" s="6" t="s">
        <v>35</v>
      </c>
      <c r="I349" s="7" t="s">
        <v>70</v>
      </c>
      <c r="J349" s="7" t="s">
        <v>129</v>
      </c>
      <c r="K349" s="6" t="s">
        <v>79</v>
      </c>
      <c r="L349" s="6" t="s">
        <v>63</v>
      </c>
      <c r="M349" s="7" t="s">
        <v>80</v>
      </c>
      <c r="N349" s="6" t="s">
        <v>89</v>
      </c>
      <c r="O349" s="14">
        <v>44305</v>
      </c>
      <c r="P349" s="6" t="s">
        <v>44</v>
      </c>
      <c r="Q349" s="7" t="s">
        <v>44</v>
      </c>
      <c r="R349" s="6" t="s">
        <v>44</v>
      </c>
      <c r="S349" s="6" t="s">
        <v>56</v>
      </c>
      <c r="T349" s="9">
        <v>114200</v>
      </c>
      <c r="U349" s="9">
        <v>0</v>
      </c>
      <c r="V349" s="8">
        <v>8</v>
      </c>
      <c r="W349" s="8">
        <v>30</v>
      </c>
      <c r="X349" s="6" t="s">
        <v>44</v>
      </c>
      <c r="Y349" s="8">
        <v>0</v>
      </c>
      <c r="Z349" s="8">
        <v>9</v>
      </c>
      <c r="AA349" s="8">
        <v>0</v>
      </c>
      <c r="AB349" s="8">
        <v>0</v>
      </c>
      <c r="AC349" s="8">
        <v>4</v>
      </c>
      <c r="AD349" s="8">
        <v>13</v>
      </c>
      <c r="AE349" s="7" t="s">
        <v>82</v>
      </c>
      <c r="AG349">
        <f t="shared" ca="1" si="15"/>
        <v>5</v>
      </c>
      <c r="AH349" s="23" t="str" cm="1">
        <f t="array" ref="AH349">_xlfn.IFS(E349&gt;49,"50+",E349&gt;39,"40-49",E349&gt;29,"30-39",E349&gt;19,"20-29")</f>
        <v>30-39</v>
      </c>
      <c r="AI349" s="24" t="str" cm="1">
        <f t="array" aca="1" ref="AI349" ca="1">_xlfn.IFS(AG349&gt;10,"10+",AG349&gt;4,"5-10 YIL",AG349&gt;2,"3-5 YIL",AG349&gt;0.9,"1-3 YIL",AG349&lt;1,"0-1 YIL")</f>
        <v>5-10 YIL</v>
      </c>
      <c r="AJ349">
        <f t="shared" si="16"/>
        <v>2021</v>
      </c>
      <c r="AK349" t="e">
        <f t="shared" si="17"/>
        <v>#VALUE!</v>
      </c>
    </row>
    <row r="350" spans="1:37" x14ac:dyDescent="0.3">
      <c r="A350" s="2" t="s">
        <v>681</v>
      </c>
      <c r="B350" s="3" t="s">
        <v>651</v>
      </c>
      <c r="C350" s="2" t="s">
        <v>48</v>
      </c>
      <c r="D350" s="13">
        <v>35674</v>
      </c>
      <c r="E350" s="4">
        <v>29</v>
      </c>
      <c r="F350" s="2" t="s">
        <v>49</v>
      </c>
      <c r="G350" s="4">
        <v>0</v>
      </c>
      <c r="H350" s="2" t="s">
        <v>88</v>
      </c>
      <c r="I350" s="3" t="s">
        <v>148</v>
      </c>
      <c r="J350" s="3" t="s">
        <v>252</v>
      </c>
      <c r="K350" s="2" t="s">
        <v>38</v>
      </c>
      <c r="L350" s="2" t="s">
        <v>63</v>
      </c>
      <c r="M350" s="3" t="s">
        <v>150</v>
      </c>
      <c r="N350" s="2" t="s">
        <v>67</v>
      </c>
      <c r="O350" s="13">
        <v>44844</v>
      </c>
      <c r="P350" s="2" t="s">
        <v>44</v>
      </c>
      <c r="Q350" s="3" t="s">
        <v>44</v>
      </c>
      <c r="R350" s="2" t="s">
        <v>44</v>
      </c>
      <c r="S350" s="2" t="s">
        <v>56</v>
      </c>
      <c r="T350" s="5">
        <v>37300</v>
      </c>
      <c r="U350" s="5">
        <v>0</v>
      </c>
      <c r="V350" s="4">
        <v>3</v>
      </c>
      <c r="W350" s="4">
        <v>17</v>
      </c>
      <c r="X350" s="2" t="s">
        <v>57</v>
      </c>
      <c r="Y350" s="4">
        <v>10</v>
      </c>
      <c r="Z350" s="4">
        <v>4</v>
      </c>
      <c r="AA350" s="4">
        <v>3</v>
      </c>
      <c r="AB350" s="4">
        <v>0</v>
      </c>
      <c r="AC350" s="4">
        <v>3</v>
      </c>
      <c r="AD350" s="4">
        <v>12</v>
      </c>
      <c r="AE350" s="3" t="s">
        <v>45</v>
      </c>
      <c r="AG350">
        <f t="shared" ca="1" si="15"/>
        <v>3</v>
      </c>
      <c r="AH350" s="23" t="str" cm="1">
        <f t="array" ref="AH350">_xlfn.IFS(E350&gt;49,"50+",E350&gt;39,"40-49",E350&gt;29,"30-39",E350&gt;19,"20-29")</f>
        <v>20-29</v>
      </c>
      <c r="AI350" s="24" t="str" cm="1">
        <f t="array" aca="1" ref="AI350" ca="1">_xlfn.IFS(AG350&gt;10,"10+",AG350&gt;4,"5-10 YIL",AG350&gt;2,"3-5 YIL",AG350&gt;0.9,"1-3 YIL",AG350&lt;1,"0-1 YIL")</f>
        <v>3-5 YIL</v>
      </c>
      <c r="AJ350">
        <f t="shared" si="16"/>
        <v>2022</v>
      </c>
      <c r="AK350" t="e">
        <f t="shared" si="17"/>
        <v>#VALUE!</v>
      </c>
    </row>
    <row r="351" spans="1:37" x14ac:dyDescent="0.3">
      <c r="A351" s="6" t="s">
        <v>682</v>
      </c>
      <c r="B351" s="7" t="s">
        <v>683</v>
      </c>
      <c r="C351" s="6" t="s">
        <v>48</v>
      </c>
      <c r="D351" s="14">
        <v>37898</v>
      </c>
      <c r="E351" s="8">
        <v>23</v>
      </c>
      <c r="F351" s="6" t="s">
        <v>49</v>
      </c>
      <c r="G351" s="8">
        <v>2</v>
      </c>
      <c r="H351" s="6" t="s">
        <v>88</v>
      </c>
      <c r="I351" s="7" t="s">
        <v>36</v>
      </c>
      <c r="J351" s="7" t="s">
        <v>37</v>
      </c>
      <c r="K351" s="6" t="s">
        <v>38</v>
      </c>
      <c r="L351" s="6" t="s">
        <v>39</v>
      </c>
      <c r="M351" s="7" t="s">
        <v>40</v>
      </c>
      <c r="N351" s="6" t="s">
        <v>41</v>
      </c>
      <c r="O351" s="14">
        <v>45886</v>
      </c>
      <c r="P351" s="14">
        <v>45963</v>
      </c>
      <c r="Q351" s="7" t="s">
        <v>53</v>
      </c>
      <c r="R351" s="6">
        <v>4</v>
      </c>
      <c r="S351" s="6" t="s">
        <v>43</v>
      </c>
      <c r="T351" s="9">
        <v>27000</v>
      </c>
      <c r="U351" s="9">
        <v>0</v>
      </c>
      <c r="V351" s="8">
        <v>30</v>
      </c>
      <c r="W351" s="8">
        <v>30</v>
      </c>
      <c r="X351" s="6" t="s">
        <v>44</v>
      </c>
      <c r="Y351" s="8">
        <v>0</v>
      </c>
      <c r="Z351" s="8">
        <v>0</v>
      </c>
      <c r="AA351" s="8">
        <v>0</v>
      </c>
      <c r="AB351" s="8">
        <v>0</v>
      </c>
      <c r="AC351" s="8">
        <v>3</v>
      </c>
      <c r="AD351" s="8">
        <v>14</v>
      </c>
      <c r="AE351" s="7" t="s">
        <v>45</v>
      </c>
      <c r="AG351">
        <f t="shared" ca="1" si="15"/>
        <v>0</v>
      </c>
      <c r="AH351" s="23" t="str" cm="1">
        <f t="array" ref="AH351">_xlfn.IFS(E351&gt;49,"50+",E351&gt;39,"40-49",E351&gt;29,"30-39",E351&gt;19,"20-29")</f>
        <v>20-29</v>
      </c>
      <c r="AI351" s="24" t="str" cm="1">
        <f t="array" aca="1" ref="AI351" ca="1">_xlfn.IFS(AG351&gt;10,"10+",AG351&gt;4,"5-10 YIL",AG351&gt;2,"3-5 YIL",AG351&gt;0.9,"1-3 YIL",AG351&lt;1,"0-1 YIL")</f>
        <v>0-1 YIL</v>
      </c>
      <c r="AJ351">
        <f t="shared" si="16"/>
        <v>2025</v>
      </c>
      <c r="AK351">
        <f t="shared" si="17"/>
        <v>2025</v>
      </c>
    </row>
    <row r="352" spans="1:37" x14ac:dyDescent="0.3">
      <c r="A352" s="2" t="s">
        <v>684</v>
      </c>
      <c r="B352" s="3" t="s">
        <v>685</v>
      </c>
      <c r="C352" s="2" t="s">
        <v>48</v>
      </c>
      <c r="D352" s="13">
        <v>33994</v>
      </c>
      <c r="E352" s="4">
        <v>33</v>
      </c>
      <c r="F352" s="2" t="s">
        <v>49</v>
      </c>
      <c r="G352" s="4">
        <v>1</v>
      </c>
      <c r="H352" s="2" t="s">
        <v>35</v>
      </c>
      <c r="I352" s="3" t="s">
        <v>148</v>
      </c>
      <c r="J352" s="3" t="s">
        <v>149</v>
      </c>
      <c r="K352" s="2" t="s">
        <v>51</v>
      </c>
      <c r="L352" s="2" t="s">
        <v>63</v>
      </c>
      <c r="M352" s="3" t="s">
        <v>150</v>
      </c>
      <c r="N352" s="2" t="s">
        <v>52</v>
      </c>
      <c r="O352" s="13">
        <v>41900</v>
      </c>
      <c r="P352" s="2" t="s">
        <v>44</v>
      </c>
      <c r="Q352" s="3" t="s">
        <v>44</v>
      </c>
      <c r="R352" s="2" t="s">
        <v>44</v>
      </c>
      <c r="S352" s="2" t="s">
        <v>56</v>
      </c>
      <c r="T352" s="5">
        <v>59600</v>
      </c>
      <c r="U352" s="5">
        <v>0</v>
      </c>
      <c r="V352" s="4">
        <v>1</v>
      </c>
      <c r="W352" s="4">
        <v>30</v>
      </c>
      <c r="X352" s="2" t="s">
        <v>44</v>
      </c>
      <c r="Y352" s="4">
        <v>0</v>
      </c>
      <c r="Z352" s="4">
        <v>11</v>
      </c>
      <c r="AA352" s="4">
        <v>0</v>
      </c>
      <c r="AB352" s="4">
        <v>0</v>
      </c>
      <c r="AC352" s="4">
        <v>3</v>
      </c>
      <c r="AD352" s="4">
        <v>18</v>
      </c>
      <c r="AE352" s="3" t="s">
        <v>58</v>
      </c>
      <c r="AG352">
        <f t="shared" ca="1" si="15"/>
        <v>11</v>
      </c>
      <c r="AH352" s="23" t="str" cm="1">
        <f t="array" ref="AH352">_xlfn.IFS(E352&gt;49,"50+",E352&gt;39,"40-49",E352&gt;29,"30-39",E352&gt;19,"20-29")</f>
        <v>30-39</v>
      </c>
      <c r="AI352" s="24" t="str" cm="1">
        <f t="array" aca="1" ref="AI352" ca="1">_xlfn.IFS(AG352&gt;10,"10+",AG352&gt;4,"5-10 YIL",AG352&gt;2,"3-5 YIL",AG352&gt;0.9,"1-3 YIL",AG352&lt;1,"0-1 YIL")</f>
        <v>10+</v>
      </c>
      <c r="AJ352">
        <f t="shared" si="16"/>
        <v>2014</v>
      </c>
      <c r="AK352" t="e">
        <f t="shared" si="17"/>
        <v>#VALUE!</v>
      </c>
    </row>
    <row r="353" spans="1:37" x14ac:dyDescent="0.3">
      <c r="A353" s="6" t="s">
        <v>686</v>
      </c>
      <c r="B353" s="7" t="s">
        <v>687</v>
      </c>
      <c r="C353" s="6" t="s">
        <v>33</v>
      </c>
      <c r="D353" s="14">
        <v>38314</v>
      </c>
      <c r="E353" s="8">
        <v>22</v>
      </c>
      <c r="F353" s="6" t="s">
        <v>34</v>
      </c>
      <c r="G353" s="8">
        <v>0</v>
      </c>
      <c r="H353" s="6" t="s">
        <v>35</v>
      </c>
      <c r="I353" s="7" t="s">
        <v>36</v>
      </c>
      <c r="J353" s="7" t="s">
        <v>37</v>
      </c>
      <c r="K353" s="6" t="s">
        <v>38</v>
      </c>
      <c r="L353" s="6" t="s">
        <v>39</v>
      </c>
      <c r="M353" s="7" t="s">
        <v>40</v>
      </c>
      <c r="N353" s="6" t="s">
        <v>41</v>
      </c>
      <c r="O353" s="14">
        <v>44931</v>
      </c>
      <c r="P353" s="6" t="s">
        <v>44</v>
      </c>
      <c r="Q353" s="7" t="s">
        <v>44</v>
      </c>
      <c r="R353" s="6" t="s">
        <v>44</v>
      </c>
      <c r="S353" s="6" t="s">
        <v>56</v>
      </c>
      <c r="T353" s="9">
        <v>28700</v>
      </c>
      <c r="U353" s="9">
        <v>0</v>
      </c>
      <c r="V353" s="8">
        <v>25</v>
      </c>
      <c r="W353" s="8">
        <v>29</v>
      </c>
      <c r="X353" s="6" t="s">
        <v>57</v>
      </c>
      <c r="Y353" s="8">
        <v>1</v>
      </c>
      <c r="Z353" s="8">
        <v>7</v>
      </c>
      <c r="AA353" s="8">
        <v>0</v>
      </c>
      <c r="AB353" s="8">
        <v>0</v>
      </c>
      <c r="AC353" s="8">
        <v>3</v>
      </c>
      <c r="AD353" s="8">
        <v>16</v>
      </c>
      <c r="AE353" s="7" t="s">
        <v>45</v>
      </c>
      <c r="AG353">
        <f t="shared" ca="1" si="15"/>
        <v>3</v>
      </c>
      <c r="AH353" s="23" t="str" cm="1">
        <f t="array" ref="AH353">_xlfn.IFS(E353&gt;49,"50+",E353&gt;39,"40-49",E353&gt;29,"30-39",E353&gt;19,"20-29")</f>
        <v>20-29</v>
      </c>
      <c r="AI353" s="24" t="str" cm="1">
        <f t="array" aca="1" ref="AI353" ca="1">_xlfn.IFS(AG353&gt;10,"10+",AG353&gt;4,"5-10 YIL",AG353&gt;2,"3-5 YIL",AG353&gt;0.9,"1-3 YIL",AG353&lt;1,"0-1 YIL")</f>
        <v>3-5 YIL</v>
      </c>
      <c r="AJ353">
        <f t="shared" si="16"/>
        <v>2023</v>
      </c>
      <c r="AK353" t="e">
        <f t="shared" si="17"/>
        <v>#VALUE!</v>
      </c>
    </row>
    <row r="354" spans="1:37" x14ac:dyDescent="0.3">
      <c r="A354" s="2" t="s">
        <v>688</v>
      </c>
      <c r="B354" s="3" t="s">
        <v>580</v>
      </c>
      <c r="C354" s="2" t="s">
        <v>33</v>
      </c>
      <c r="D354" s="13">
        <v>31546</v>
      </c>
      <c r="E354" s="4">
        <v>40</v>
      </c>
      <c r="F354" s="2" t="s">
        <v>34</v>
      </c>
      <c r="G354" s="4">
        <v>0</v>
      </c>
      <c r="H354" s="2" t="s">
        <v>35</v>
      </c>
      <c r="I354" s="3" t="s">
        <v>36</v>
      </c>
      <c r="J354" s="3" t="s">
        <v>50</v>
      </c>
      <c r="K354" s="2" t="s">
        <v>51</v>
      </c>
      <c r="L354" s="2" t="s">
        <v>39</v>
      </c>
      <c r="M354" s="3" t="s">
        <v>40</v>
      </c>
      <c r="N354" s="2" t="s">
        <v>67</v>
      </c>
      <c r="O354" s="13">
        <v>44007</v>
      </c>
      <c r="P354" s="2" t="s">
        <v>44</v>
      </c>
      <c r="Q354" s="3" t="s">
        <v>44</v>
      </c>
      <c r="R354" s="2" t="s">
        <v>44</v>
      </c>
      <c r="S354" s="2" t="s">
        <v>56</v>
      </c>
      <c r="T354" s="5">
        <v>38400</v>
      </c>
      <c r="U354" s="5">
        <v>0</v>
      </c>
      <c r="V354" s="4">
        <v>36</v>
      </c>
      <c r="W354" s="4">
        <v>29</v>
      </c>
      <c r="X354" s="2" t="s">
        <v>81</v>
      </c>
      <c r="Y354" s="4">
        <v>0</v>
      </c>
      <c r="Z354" s="4">
        <v>10</v>
      </c>
      <c r="AA354" s="4">
        <v>1</v>
      </c>
      <c r="AB354" s="4">
        <v>0</v>
      </c>
      <c r="AC354" s="4">
        <v>3</v>
      </c>
      <c r="AD354" s="4">
        <v>18</v>
      </c>
      <c r="AE354" s="3" t="s">
        <v>58</v>
      </c>
      <c r="AG354">
        <f t="shared" ca="1" si="15"/>
        <v>6</v>
      </c>
      <c r="AH354" s="23" t="str" cm="1">
        <f t="array" ref="AH354">_xlfn.IFS(E354&gt;49,"50+",E354&gt;39,"40-49",E354&gt;29,"30-39",E354&gt;19,"20-29")</f>
        <v>40-49</v>
      </c>
      <c r="AI354" s="24" t="str" cm="1">
        <f t="array" aca="1" ref="AI354" ca="1">_xlfn.IFS(AG354&gt;10,"10+",AG354&gt;4,"5-10 YIL",AG354&gt;2,"3-5 YIL",AG354&gt;0.9,"1-3 YIL",AG354&lt;1,"0-1 YIL")</f>
        <v>5-10 YIL</v>
      </c>
      <c r="AJ354">
        <f t="shared" si="16"/>
        <v>2020</v>
      </c>
      <c r="AK354" t="e">
        <f t="shared" si="17"/>
        <v>#VALUE!</v>
      </c>
    </row>
    <row r="355" spans="1:37" x14ac:dyDescent="0.3">
      <c r="A355" s="6" t="s">
        <v>689</v>
      </c>
      <c r="B355" s="7" t="s">
        <v>690</v>
      </c>
      <c r="C355" s="6" t="s">
        <v>33</v>
      </c>
      <c r="D355" s="14">
        <v>30614</v>
      </c>
      <c r="E355" s="8">
        <v>43</v>
      </c>
      <c r="F355" s="6" t="s">
        <v>49</v>
      </c>
      <c r="G355" s="8">
        <v>2</v>
      </c>
      <c r="H355" s="6" t="s">
        <v>85</v>
      </c>
      <c r="I355" s="7" t="s">
        <v>139</v>
      </c>
      <c r="J355" s="7" t="s">
        <v>161</v>
      </c>
      <c r="K355" s="6" t="s">
        <v>51</v>
      </c>
      <c r="L355" s="6" t="s">
        <v>63</v>
      </c>
      <c r="M355" s="7" t="s">
        <v>162</v>
      </c>
      <c r="N355" s="6" t="s">
        <v>41</v>
      </c>
      <c r="O355" s="14">
        <v>43390</v>
      </c>
      <c r="P355" s="6" t="s">
        <v>44</v>
      </c>
      <c r="Q355" s="7" t="s">
        <v>44</v>
      </c>
      <c r="R355" s="6" t="s">
        <v>44</v>
      </c>
      <c r="S355" s="6" t="s">
        <v>56</v>
      </c>
      <c r="T355" s="9">
        <v>73900</v>
      </c>
      <c r="U355" s="9">
        <v>0</v>
      </c>
      <c r="V355" s="8">
        <v>7</v>
      </c>
      <c r="W355" s="8">
        <v>30</v>
      </c>
      <c r="X355" s="6" t="s">
        <v>44</v>
      </c>
      <c r="Y355" s="8">
        <v>0</v>
      </c>
      <c r="Z355" s="8">
        <v>10</v>
      </c>
      <c r="AA355" s="8">
        <v>0</v>
      </c>
      <c r="AB355" s="8">
        <v>0</v>
      </c>
      <c r="AC355" s="8">
        <v>4</v>
      </c>
      <c r="AD355" s="8">
        <v>28</v>
      </c>
      <c r="AE355" s="7" t="s">
        <v>58</v>
      </c>
      <c r="AG355">
        <f t="shared" ca="1" si="15"/>
        <v>7</v>
      </c>
      <c r="AH355" s="23" t="str" cm="1">
        <f t="array" ref="AH355">_xlfn.IFS(E355&gt;49,"50+",E355&gt;39,"40-49",E355&gt;29,"30-39",E355&gt;19,"20-29")</f>
        <v>40-49</v>
      </c>
      <c r="AI355" s="24" t="str" cm="1">
        <f t="array" aca="1" ref="AI355" ca="1">_xlfn.IFS(AG355&gt;10,"10+",AG355&gt;4,"5-10 YIL",AG355&gt;2,"3-5 YIL",AG355&gt;0.9,"1-3 YIL",AG355&lt;1,"0-1 YIL")</f>
        <v>5-10 YIL</v>
      </c>
      <c r="AJ355">
        <f t="shared" si="16"/>
        <v>2018</v>
      </c>
      <c r="AK355" t="e">
        <f t="shared" si="17"/>
        <v>#VALUE!</v>
      </c>
    </row>
    <row r="356" spans="1:37" x14ac:dyDescent="0.3">
      <c r="A356" s="2" t="s">
        <v>691</v>
      </c>
      <c r="B356" s="3" t="s">
        <v>142</v>
      </c>
      <c r="C356" s="2" t="s">
        <v>33</v>
      </c>
      <c r="D356" s="13">
        <v>36532</v>
      </c>
      <c r="E356" s="4">
        <v>26</v>
      </c>
      <c r="F356" s="2" t="s">
        <v>49</v>
      </c>
      <c r="G356" s="4">
        <v>0</v>
      </c>
      <c r="H356" s="2" t="s">
        <v>35</v>
      </c>
      <c r="I356" s="3" t="s">
        <v>36</v>
      </c>
      <c r="J356" s="3" t="s">
        <v>37</v>
      </c>
      <c r="K356" s="2" t="s">
        <v>38</v>
      </c>
      <c r="L356" s="2" t="s">
        <v>39</v>
      </c>
      <c r="M356" s="3" t="s">
        <v>40</v>
      </c>
      <c r="N356" s="2" t="s">
        <v>41</v>
      </c>
      <c r="O356" s="13">
        <v>45979</v>
      </c>
      <c r="P356" s="2" t="s">
        <v>44</v>
      </c>
      <c r="Q356" s="3" t="s">
        <v>44</v>
      </c>
      <c r="R356" s="2" t="s">
        <v>44</v>
      </c>
      <c r="S356" s="2" t="s">
        <v>56</v>
      </c>
      <c r="T356" s="5">
        <v>27200</v>
      </c>
      <c r="U356" s="5">
        <v>0</v>
      </c>
      <c r="V356" s="4">
        <v>28</v>
      </c>
      <c r="W356" s="4">
        <v>29</v>
      </c>
      <c r="X356" s="2" t="s">
        <v>112</v>
      </c>
      <c r="Y356" s="4">
        <v>0</v>
      </c>
      <c r="Z356" s="4">
        <v>0</v>
      </c>
      <c r="AA356" s="4">
        <v>0</v>
      </c>
      <c r="AB356" s="4">
        <v>1</v>
      </c>
      <c r="AC356" s="4">
        <v>3</v>
      </c>
      <c r="AD356" s="4">
        <v>19</v>
      </c>
      <c r="AE356" s="3" t="s">
        <v>58</v>
      </c>
      <c r="AG356">
        <f t="shared" ca="1" si="15"/>
        <v>0</v>
      </c>
      <c r="AH356" s="23" t="str" cm="1">
        <f t="array" ref="AH356">_xlfn.IFS(E356&gt;49,"50+",E356&gt;39,"40-49",E356&gt;29,"30-39",E356&gt;19,"20-29")</f>
        <v>20-29</v>
      </c>
      <c r="AI356" s="24" t="str" cm="1">
        <f t="array" aca="1" ref="AI356" ca="1">_xlfn.IFS(AG356&gt;10,"10+",AG356&gt;4,"5-10 YIL",AG356&gt;2,"3-5 YIL",AG356&gt;0.9,"1-3 YIL",AG356&lt;1,"0-1 YIL")</f>
        <v>0-1 YIL</v>
      </c>
      <c r="AJ356">
        <f t="shared" si="16"/>
        <v>2025</v>
      </c>
      <c r="AK356" t="e">
        <f t="shared" si="17"/>
        <v>#VALUE!</v>
      </c>
    </row>
    <row r="357" spans="1:37" x14ac:dyDescent="0.3">
      <c r="A357" s="6" t="s">
        <v>692</v>
      </c>
      <c r="B357" s="7" t="s">
        <v>693</v>
      </c>
      <c r="C357" s="6" t="s">
        <v>33</v>
      </c>
      <c r="D357" s="14">
        <v>32169</v>
      </c>
      <c r="E357" s="8">
        <v>38</v>
      </c>
      <c r="F357" s="6" t="s">
        <v>49</v>
      </c>
      <c r="G357" s="8">
        <v>1</v>
      </c>
      <c r="H357" s="6" t="s">
        <v>35</v>
      </c>
      <c r="I357" s="7" t="s">
        <v>61</v>
      </c>
      <c r="J357" s="7" t="s">
        <v>107</v>
      </c>
      <c r="K357" s="6" t="s">
        <v>51</v>
      </c>
      <c r="L357" s="6" t="s">
        <v>63</v>
      </c>
      <c r="M357" s="7" t="s">
        <v>64</v>
      </c>
      <c r="N357" s="6" t="s">
        <v>41</v>
      </c>
      <c r="O357" s="14">
        <v>44214</v>
      </c>
      <c r="P357" s="6" t="s">
        <v>44</v>
      </c>
      <c r="Q357" s="7" t="s">
        <v>44</v>
      </c>
      <c r="R357" s="6" t="s">
        <v>44</v>
      </c>
      <c r="S357" s="6" t="s">
        <v>56</v>
      </c>
      <c r="T357" s="9">
        <v>55600</v>
      </c>
      <c r="U357" s="9">
        <v>0</v>
      </c>
      <c r="V357" s="8">
        <v>5</v>
      </c>
      <c r="W357" s="8">
        <v>30</v>
      </c>
      <c r="X357" s="6" t="s">
        <v>44</v>
      </c>
      <c r="Y357" s="8">
        <v>0</v>
      </c>
      <c r="Z357" s="8">
        <v>3</v>
      </c>
      <c r="AA357" s="8">
        <v>0</v>
      </c>
      <c r="AB357" s="8">
        <v>0</v>
      </c>
      <c r="AC357" s="8">
        <v>3</v>
      </c>
      <c r="AD357" s="8">
        <v>4</v>
      </c>
      <c r="AE357" s="7" t="s">
        <v>96</v>
      </c>
      <c r="AG357">
        <f t="shared" ca="1" si="15"/>
        <v>5</v>
      </c>
      <c r="AH357" s="23" t="str" cm="1">
        <f t="array" ref="AH357">_xlfn.IFS(E357&gt;49,"50+",E357&gt;39,"40-49",E357&gt;29,"30-39",E357&gt;19,"20-29")</f>
        <v>30-39</v>
      </c>
      <c r="AI357" s="24" t="str" cm="1">
        <f t="array" aca="1" ref="AI357" ca="1">_xlfn.IFS(AG357&gt;10,"10+",AG357&gt;4,"5-10 YIL",AG357&gt;2,"3-5 YIL",AG357&gt;0.9,"1-3 YIL",AG357&lt;1,"0-1 YIL")</f>
        <v>5-10 YIL</v>
      </c>
      <c r="AJ357">
        <f t="shared" si="16"/>
        <v>2021</v>
      </c>
      <c r="AK357" t="e">
        <f t="shared" si="17"/>
        <v>#VALUE!</v>
      </c>
    </row>
    <row r="358" spans="1:37" x14ac:dyDescent="0.3">
      <c r="A358" s="2" t="s">
        <v>694</v>
      </c>
      <c r="B358" s="3" t="s">
        <v>533</v>
      </c>
      <c r="C358" s="2" t="s">
        <v>33</v>
      </c>
      <c r="D358" s="13">
        <v>36903</v>
      </c>
      <c r="E358" s="4">
        <v>25</v>
      </c>
      <c r="F358" s="2" t="s">
        <v>49</v>
      </c>
      <c r="G358" s="4">
        <v>1</v>
      </c>
      <c r="H358" s="2" t="s">
        <v>35</v>
      </c>
      <c r="I358" s="3" t="s">
        <v>36</v>
      </c>
      <c r="J358" s="3" t="s">
        <v>37</v>
      </c>
      <c r="K358" s="2" t="s">
        <v>38</v>
      </c>
      <c r="L358" s="2" t="s">
        <v>39</v>
      </c>
      <c r="M358" s="3" t="s">
        <v>40</v>
      </c>
      <c r="N358" s="2" t="s">
        <v>89</v>
      </c>
      <c r="O358" s="13">
        <v>45284</v>
      </c>
      <c r="P358" s="2" t="s">
        <v>44</v>
      </c>
      <c r="Q358" s="3" t="s">
        <v>44</v>
      </c>
      <c r="R358" s="2" t="s">
        <v>44</v>
      </c>
      <c r="S358" s="2" t="s">
        <v>56</v>
      </c>
      <c r="T358" s="5">
        <v>24700</v>
      </c>
      <c r="U358" s="5">
        <v>0</v>
      </c>
      <c r="V358" s="4">
        <v>14</v>
      </c>
      <c r="W358" s="4">
        <v>30</v>
      </c>
      <c r="X358" s="2" t="s">
        <v>44</v>
      </c>
      <c r="Y358" s="4">
        <v>0</v>
      </c>
      <c r="Z358" s="4">
        <v>3</v>
      </c>
      <c r="AA358" s="4">
        <v>0</v>
      </c>
      <c r="AB358" s="4">
        <v>0</v>
      </c>
      <c r="AC358" s="4">
        <v>3</v>
      </c>
      <c r="AD358" s="4">
        <v>18</v>
      </c>
      <c r="AE358" s="3" t="s">
        <v>58</v>
      </c>
      <c r="AG358">
        <f t="shared" ca="1" si="15"/>
        <v>2</v>
      </c>
      <c r="AH358" s="23" t="str" cm="1">
        <f t="array" ref="AH358">_xlfn.IFS(E358&gt;49,"50+",E358&gt;39,"40-49",E358&gt;29,"30-39",E358&gt;19,"20-29")</f>
        <v>20-29</v>
      </c>
      <c r="AI358" s="24" t="str" cm="1">
        <f t="array" aca="1" ref="AI358" ca="1">_xlfn.IFS(AG358&gt;10,"10+",AG358&gt;4,"5-10 YIL",AG358&gt;2,"3-5 YIL",AG358&gt;0.9,"1-3 YIL",AG358&lt;1,"0-1 YIL")</f>
        <v>1-3 YIL</v>
      </c>
      <c r="AJ358">
        <f t="shared" si="16"/>
        <v>2023</v>
      </c>
      <c r="AK358" t="e">
        <f t="shared" si="17"/>
        <v>#VALUE!</v>
      </c>
    </row>
    <row r="359" spans="1:37" x14ac:dyDescent="0.3">
      <c r="A359" s="6" t="s">
        <v>695</v>
      </c>
      <c r="B359" s="7" t="s">
        <v>673</v>
      </c>
      <c r="C359" s="6" t="s">
        <v>33</v>
      </c>
      <c r="D359" s="14">
        <v>35859</v>
      </c>
      <c r="E359" s="8">
        <v>28</v>
      </c>
      <c r="F359" s="6" t="s">
        <v>34</v>
      </c>
      <c r="G359" s="8">
        <v>0</v>
      </c>
      <c r="H359" s="6" t="s">
        <v>35</v>
      </c>
      <c r="I359" s="7" t="s">
        <v>36</v>
      </c>
      <c r="J359" s="7" t="s">
        <v>50</v>
      </c>
      <c r="K359" s="6" t="s">
        <v>51</v>
      </c>
      <c r="L359" s="6" t="s">
        <v>39</v>
      </c>
      <c r="M359" s="7" t="s">
        <v>40</v>
      </c>
      <c r="N359" s="6" t="s">
        <v>41</v>
      </c>
      <c r="O359" s="14">
        <v>44063</v>
      </c>
      <c r="P359" s="6" t="s">
        <v>44</v>
      </c>
      <c r="Q359" s="7" t="s">
        <v>44</v>
      </c>
      <c r="R359" s="6" t="s">
        <v>44</v>
      </c>
      <c r="S359" s="6" t="s">
        <v>56</v>
      </c>
      <c r="T359" s="9">
        <v>38300</v>
      </c>
      <c r="U359" s="9">
        <v>0</v>
      </c>
      <c r="V359" s="8">
        <v>38</v>
      </c>
      <c r="W359" s="8">
        <v>30</v>
      </c>
      <c r="X359" s="6" t="s">
        <v>44</v>
      </c>
      <c r="Y359" s="8">
        <v>0</v>
      </c>
      <c r="Z359" s="8">
        <v>13</v>
      </c>
      <c r="AA359" s="8">
        <v>0</v>
      </c>
      <c r="AB359" s="8">
        <v>0</v>
      </c>
      <c r="AC359" s="8">
        <v>5</v>
      </c>
      <c r="AD359" s="8">
        <v>27</v>
      </c>
      <c r="AE359" s="7" t="s">
        <v>58</v>
      </c>
      <c r="AG359">
        <f t="shared" ca="1" si="15"/>
        <v>5</v>
      </c>
      <c r="AH359" s="23" t="str" cm="1">
        <f t="array" ref="AH359">_xlfn.IFS(E359&gt;49,"50+",E359&gt;39,"40-49",E359&gt;29,"30-39",E359&gt;19,"20-29")</f>
        <v>20-29</v>
      </c>
      <c r="AI359" s="24" t="str" cm="1">
        <f t="array" aca="1" ref="AI359" ca="1">_xlfn.IFS(AG359&gt;10,"10+",AG359&gt;4,"5-10 YIL",AG359&gt;2,"3-5 YIL",AG359&gt;0.9,"1-3 YIL",AG359&lt;1,"0-1 YIL")</f>
        <v>5-10 YIL</v>
      </c>
      <c r="AJ359">
        <f t="shared" si="16"/>
        <v>2020</v>
      </c>
      <c r="AK359" t="e">
        <f t="shared" si="17"/>
        <v>#VALUE!</v>
      </c>
    </row>
    <row r="360" spans="1:37" x14ac:dyDescent="0.3">
      <c r="A360" s="2" t="s">
        <v>696</v>
      </c>
      <c r="B360" s="3" t="s">
        <v>651</v>
      </c>
      <c r="C360" s="2" t="s">
        <v>48</v>
      </c>
      <c r="D360" s="13">
        <v>35688</v>
      </c>
      <c r="E360" s="4">
        <v>29</v>
      </c>
      <c r="F360" s="2" t="s">
        <v>34</v>
      </c>
      <c r="G360" s="4">
        <v>0</v>
      </c>
      <c r="H360" s="2" t="s">
        <v>88</v>
      </c>
      <c r="I360" s="3" t="s">
        <v>36</v>
      </c>
      <c r="J360" s="3" t="s">
        <v>37</v>
      </c>
      <c r="K360" s="2" t="s">
        <v>38</v>
      </c>
      <c r="L360" s="2" t="s">
        <v>39</v>
      </c>
      <c r="M360" s="3" t="s">
        <v>40</v>
      </c>
      <c r="N360" s="2" t="s">
        <v>41</v>
      </c>
      <c r="O360" s="13">
        <v>45197</v>
      </c>
      <c r="P360" s="2" t="s">
        <v>44</v>
      </c>
      <c r="Q360" s="3" t="s">
        <v>44</v>
      </c>
      <c r="R360" s="2" t="s">
        <v>44</v>
      </c>
      <c r="S360" s="2" t="s">
        <v>56</v>
      </c>
      <c r="T360" s="5">
        <v>25800</v>
      </c>
      <c r="U360" s="5">
        <v>0</v>
      </c>
      <c r="V360" s="4">
        <v>28</v>
      </c>
      <c r="W360" s="4">
        <v>20</v>
      </c>
      <c r="X360" s="2" t="s">
        <v>57</v>
      </c>
      <c r="Y360" s="4">
        <v>10</v>
      </c>
      <c r="Z360" s="4">
        <v>0</v>
      </c>
      <c r="AA360" s="4">
        <v>0</v>
      </c>
      <c r="AB360" s="4">
        <v>0</v>
      </c>
      <c r="AC360" s="4">
        <v>3</v>
      </c>
      <c r="AD360" s="4">
        <v>17</v>
      </c>
      <c r="AE360" s="3" t="s">
        <v>58</v>
      </c>
      <c r="AG360">
        <f t="shared" ca="1" si="15"/>
        <v>2</v>
      </c>
      <c r="AH360" s="23" t="str" cm="1">
        <f t="array" ref="AH360">_xlfn.IFS(E360&gt;49,"50+",E360&gt;39,"40-49",E360&gt;29,"30-39",E360&gt;19,"20-29")</f>
        <v>20-29</v>
      </c>
      <c r="AI360" s="24" t="str" cm="1">
        <f t="array" aca="1" ref="AI360" ca="1">_xlfn.IFS(AG360&gt;10,"10+",AG360&gt;4,"5-10 YIL",AG360&gt;2,"3-5 YIL",AG360&gt;0.9,"1-3 YIL",AG360&lt;1,"0-1 YIL")</f>
        <v>1-3 YIL</v>
      </c>
      <c r="AJ360">
        <f t="shared" si="16"/>
        <v>2023</v>
      </c>
      <c r="AK360" t="e">
        <f t="shared" si="17"/>
        <v>#VALUE!</v>
      </c>
    </row>
    <row r="361" spans="1:37" x14ac:dyDescent="0.3">
      <c r="A361" s="6" t="s">
        <v>697</v>
      </c>
      <c r="B361" s="7" t="s">
        <v>587</v>
      </c>
      <c r="C361" s="6" t="s">
        <v>48</v>
      </c>
      <c r="D361" s="14">
        <v>35808</v>
      </c>
      <c r="E361" s="8">
        <v>28</v>
      </c>
      <c r="F361" s="6" t="s">
        <v>34</v>
      </c>
      <c r="G361" s="8">
        <v>0</v>
      </c>
      <c r="H361" s="6" t="s">
        <v>35</v>
      </c>
      <c r="I361" s="7" t="s">
        <v>36</v>
      </c>
      <c r="J361" s="7" t="s">
        <v>37</v>
      </c>
      <c r="K361" s="6" t="s">
        <v>38</v>
      </c>
      <c r="L361" s="6" t="s">
        <v>39</v>
      </c>
      <c r="M361" s="7" t="s">
        <v>40</v>
      </c>
      <c r="N361" s="6" t="s">
        <v>41</v>
      </c>
      <c r="O361" s="14">
        <v>46122</v>
      </c>
      <c r="P361" s="14">
        <v>46164</v>
      </c>
      <c r="Q361" s="7" t="s">
        <v>53</v>
      </c>
      <c r="R361" s="6">
        <v>4</v>
      </c>
      <c r="S361" s="6" t="s">
        <v>43</v>
      </c>
      <c r="T361" s="9">
        <v>25500</v>
      </c>
      <c r="U361" s="9">
        <v>0</v>
      </c>
      <c r="V361" s="8">
        <v>43</v>
      </c>
      <c r="W361" s="8">
        <v>29</v>
      </c>
      <c r="X361" s="6" t="s">
        <v>57</v>
      </c>
      <c r="Y361" s="8">
        <v>1</v>
      </c>
      <c r="Z361" s="8">
        <v>0</v>
      </c>
      <c r="AA361" s="8">
        <v>0</v>
      </c>
      <c r="AB361" s="8">
        <v>0</v>
      </c>
      <c r="AC361" s="8">
        <v>3</v>
      </c>
      <c r="AD361" s="8">
        <v>3</v>
      </c>
      <c r="AE361" s="7" t="s">
        <v>58</v>
      </c>
      <c r="AG361">
        <f t="shared" ca="1" si="15"/>
        <v>0</v>
      </c>
      <c r="AH361" s="23" t="str" cm="1">
        <f t="array" ref="AH361">_xlfn.IFS(E361&gt;49,"50+",E361&gt;39,"40-49",E361&gt;29,"30-39",E361&gt;19,"20-29")</f>
        <v>20-29</v>
      </c>
      <c r="AI361" s="24" t="str" cm="1">
        <f t="array" aca="1" ref="AI361" ca="1">_xlfn.IFS(AG361&gt;10,"10+",AG361&gt;4,"5-10 YIL",AG361&gt;2,"3-5 YIL",AG361&gt;0.9,"1-3 YIL",AG361&lt;1,"0-1 YIL")</f>
        <v>0-1 YIL</v>
      </c>
      <c r="AJ361">
        <f t="shared" si="16"/>
        <v>2026</v>
      </c>
      <c r="AK361">
        <f t="shared" si="17"/>
        <v>2026</v>
      </c>
    </row>
    <row r="362" spans="1:37" x14ac:dyDescent="0.3">
      <c r="A362" s="2" t="s">
        <v>698</v>
      </c>
      <c r="B362" s="3" t="s">
        <v>699</v>
      </c>
      <c r="C362" s="2" t="s">
        <v>48</v>
      </c>
      <c r="D362" s="13">
        <v>37854</v>
      </c>
      <c r="E362" s="4">
        <v>23</v>
      </c>
      <c r="F362" s="2" t="s">
        <v>34</v>
      </c>
      <c r="G362" s="4">
        <v>0</v>
      </c>
      <c r="H362" s="2" t="s">
        <v>88</v>
      </c>
      <c r="I362" s="3" t="s">
        <v>36</v>
      </c>
      <c r="J362" s="3" t="s">
        <v>37</v>
      </c>
      <c r="K362" s="2" t="s">
        <v>38</v>
      </c>
      <c r="L362" s="2" t="s">
        <v>39</v>
      </c>
      <c r="M362" s="3" t="s">
        <v>40</v>
      </c>
      <c r="N362" s="2" t="s">
        <v>41</v>
      </c>
      <c r="O362" s="13">
        <v>44816</v>
      </c>
      <c r="P362" s="2" t="s">
        <v>44</v>
      </c>
      <c r="Q362" s="3" t="s">
        <v>44</v>
      </c>
      <c r="R362" s="2" t="s">
        <v>44</v>
      </c>
      <c r="S362" s="2" t="s">
        <v>56</v>
      </c>
      <c r="T362" s="5">
        <v>28100</v>
      </c>
      <c r="U362" s="5">
        <v>0</v>
      </c>
      <c r="V362" s="4">
        <v>17</v>
      </c>
      <c r="W362" s="4">
        <v>30</v>
      </c>
      <c r="X362" s="2" t="s">
        <v>44</v>
      </c>
      <c r="Y362" s="4">
        <v>0</v>
      </c>
      <c r="Z362" s="4">
        <v>4</v>
      </c>
      <c r="AA362" s="4">
        <v>0</v>
      </c>
      <c r="AB362" s="4">
        <v>0</v>
      </c>
      <c r="AC362" s="4">
        <v>2</v>
      </c>
      <c r="AD362" s="4">
        <v>3</v>
      </c>
      <c r="AE362" s="3" t="s">
        <v>45</v>
      </c>
      <c r="AG362">
        <f t="shared" ca="1" si="15"/>
        <v>3</v>
      </c>
      <c r="AH362" s="23" t="str" cm="1">
        <f t="array" ref="AH362">_xlfn.IFS(E362&gt;49,"50+",E362&gt;39,"40-49",E362&gt;29,"30-39",E362&gt;19,"20-29")</f>
        <v>20-29</v>
      </c>
      <c r="AI362" s="24" t="str" cm="1">
        <f t="array" aca="1" ref="AI362" ca="1">_xlfn.IFS(AG362&gt;10,"10+",AG362&gt;4,"5-10 YIL",AG362&gt;2,"3-5 YIL",AG362&gt;0.9,"1-3 YIL",AG362&lt;1,"0-1 YIL")</f>
        <v>3-5 YIL</v>
      </c>
      <c r="AJ362">
        <f t="shared" si="16"/>
        <v>2022</v>
      </c>
      <c r="AK362" t="e">
        <f t="shared" si="17"/>
        <v>#VALUE!</v>
      </c>
    </row>
    <row r="363" spans="1:37" x14ac:dyDescent="0.3">
      <c r="A363" s="6" t="s">
        <v>700</v>
      </c>
      <c r="B363" s="7" t="s">
        <v>701</v>
      </c>
      <c r="C363" s="6" t="s">
        <v>48</v>
      </c>
      <c r="D363" s="14">
        <v>35726</v>
      </c>
      <c r="E363" s="8">
        <v>29</v>
      </c>
      <c r="F363" s="6" t="s">
        <v>34</v>
      </c>
      <c r="G363" s="8">
        <v>0</v>
      </c>
      <c r="H363" s="6" t="s">
        <v>35</v>
      </c>
      <c r="I363" s="7" t="s">
        <v>36</v>
      </c>
      <c r="J363" s="7" t="s">
        <v>37</v>
      </c>
      <c r="K363" s="6" t="s">
        <v>38</v>
      </c>
      <c r="L363" s="6" t="s">
        <v>39</v>
      </c>
      <c r="M363" s="7" t="s">
        <v>40</v>
      </c>
      <c r="N363" s="6" t="s">
        <v>41</v>
      </c>
      <c r="O363" s="14">
        <v>45362</v>
      </c>
      <c r="P363" s="6" t="s">
        <v>44</v>
      </c>
      <c r="Q363" s="7" t="s">
        <v>44</v>
      </c>
      <c r="R363" s="6" t="s">
        <v>44</v>
      </c>
      <c r="S363" s="6" t="s">
        <v>56</v>
      </c>
      <c r="T363" s="9">
        <v>25200</v>
      </c>
      <c r="U363" s="9">
        <v>0</v>
      </c>
      <c r="V363" s="8">
        <v>21</v>
      </c>
      <c r="W363" s="8">
        <v>29</v>
      </c>
      <c r="X363" s="6" t="s">
        <v>57</v>
      </c>
      <c r="Y363" s="8">
        <v>1</v>
      </c>
      <c r="Z363" s="8">
        <v>11</v>
      </c>
      <c r="AA363" s="8">
        <v>0</v>
      </c>
      <c r="AB363" s="8">
        <v>0</v>
      </c>
      <c r="AC363" s="8">
        <v>3</v>
      </c>
      <c r="AD363" s="8">
        <v>17</v>
      </c>
      <c r="AE363" s="7" t="s">
        <v>58</v>
      </c>
      <c r="AG363">
        <f t="shared" ca="1" si="15"/>
        <v>2</v>
      </c>
      <c r="AH363" s="23" t="str" cm="1">
        <f t="array" ref="AH363">_xlfn.IFS(E363&gt;49,"50+",E363&gt;39,"40-49",E363&gt;29,"30-39",E363&gt;19,"20-29")</f>
        <v>20-29</v>
      </c>
      <c r="AI363" s="24" t="str" cm="1">
        <f t="array" aca="1" ref="AI363" ca="1">_xlfn.IFS(AG363&gt;10,"10+",AG363&gt;4,"5-10 YIL",AG363&gt;2,"3-5 YIL",AG363&gt;0.9,"1-3 YIL",AG363&lt;1,"0-1 YIL")</f>
        <v>1-3 YIL</v>
      </c>
      <c r="AJ363">
        <f t="shared" si="16"/>
        <v>2024</v>
      </c>
      <c r="AK363" t="e">
        <f t="shared" si="17"/>
        <v>#VALUE!</v>
      </c>
    </row>
    <row r="364" spans="1:37" x14ac:dyDescent="0.3">
      <c r="A364" s="2" t="s">
        <v>702</v>
      </c>
      <c r="B364" s="3" t="s">
        <v>477</v>
      </c>
      <c r="C364" s="2" t="s">
        <v>33</v>
      </c>
      <c r="D364" s="13">
        <v>36100</v>
      </c>
      <c r="E364" s="4">
        <v>28</v>
      </c>
      <c r="F364" s="2" t="s">
        <v>49</v>
      </c>
      <c r="G364" s="4">
        <v>1</v>
      </c>
      <c r="H364" s="2" t="s">
        <v>35</v>
      </c>
      <c r="I364" s="3" t="s">
        <v>139</v>
      </c>
      <c r="J364" s="3" t="s">
        <v>235</v>
      </c>
      <c r="K364" s="2" t="s">
        <v>38</v>
      </c>
      <c r="L364" s="2" t="s">
        <v>63</v>
      </c>
      <c r="M364" s="3" t="s">
        <v>162</v>
      </c>
      <c r="N364" s="2" t="s">
        <v>41</v>
      </c>
      <c r="O364" s="13">
        <v>45724</v>
      </c>
      <c r="P364" s="2" t="s">
        <v>44</v>
      </c>
      <c r="Q364" s="3" t="s">
        <v>44</v>
      </c>
      <c r="R364" s="2" t="s">
        <v>44</v>
      </c>
      <c r="S364" s="2" t="s">
        <v>56</v>
      </c>
      <c r="T364" s="5">
        <v>45900</v>
      </c>
      <c r="U364" s="5">
        <v>0</v>
      </c>
      <c r="V364" s="4">
        <v>8</v>
      </c>
      <c r="W364" s="4">
        <v>28</v>
      </c>
      <c r="X364" s="2" t="s">
        <v>57</v>
      </c>
      <c r="Y364" s="4">
        <v>2</v>
      </c>
      <c r="Z364" s="4">
        <v>3</v>
      </c>
      <c r="AA364" s="4">
        <v>0</v>
      </c>
      <c r="AB364" s="4">
        <v>0</v>
      </c>
      <c r="AC364" s="4">
        <v>5</v>
      </c>
      <c r="AD364" s="4">
        <v>21</v>
      </c>
      <c r="AE364" s="3" t="s">
        <v>96</v>
      </c>
      <c r="AG364">
        <f t="shared" ca="1" si="15"/>
        <v>1</v>
      </c>
      <c r="AH364" s="23" t="str" cm="1">
        <f t="array" ref="AH364">_xlfn.IFS(E364&gt;49,"50+",E364&gt;39,"40-49",E364&gt;29,"30-39",E364&gt;19,"20-29")</f>
        <v>20-29</v>
      </c>
      <c r="AI364" s="24" t="str" cm="1">
        <f t="array" aca="1" ref="AI364" ca="1">_xlfn.IFS(AG364&gt;10,"10+",AG364&gt;4,"5-10 YIL",AG364&gt;2,"3-5 YIL",AG364&gt;0.9,"1-3 YIL",AG364&lt;1,"0-1 YIL")</f>
        <v>1-3 YIL</v>
      </c>
      <c r="AJ364">
        <f t="shared" si="16"/>
        <v>2025</v>
      </c>
      <c r="AK364" t="e">
        <f t="shared" si="17"/>
        <v>#VALUE!</v>
      </c>
    </row>
    <row r="365" spans="1:37" x14ac:dyDescent="0.3">
      <c r="A365" s="6" t="s">
        <v>703</v>
      </c>
      <c r="B365" s="7" t="s">
        <v>376</v>
      </c>
      <c r="C365" s="6" t="s">
        <v>48</v>
      </c>
      <c r="D365" s="14">
        <v>35435</v>
      </c>
      <c r="E365" s="8">
        <v>29</v>
      </c>
      <c r="F365" s="6" t="s">
        <v>34</v>
      </c>
      <c r="G365" s="8">
        <v>0</v>
      </c>
      <c r="H365" s="6" t="s">
        <v>35</v>
      </c>
      <c r="I365" s="7" t="s">
        <v>36</v>
      </c>
      <c r="J365" s="7" t="s">
        <v>37</v>
      </c>
      <c r="K365" s="6" t="s">
        <v>38</v>
      </c>
      <c r="L365" s="6" t="s">
        <v>39</v>
      </c>
      <c r="M365" s="7" t="s">
        <v>40</v>
      </c>
      <c r="N365" s="6" t="s">
        <v>41</v>
      </c>
      <c r="O365" s="14">
        <v>44958</v>
      </c>
      <c r="P365" s="6" t="s">
        <v>44</v>
      </c>
      <c r="Q365" s="7" t="s">
        <v>44</v>
      </c>
      <c r="R365" s="6" t="s">
        <v>44</v>
      </c>
      <c r="S365" s="6" t="s">
        <v>56</v>
      </c>
      <c r="T365" s="9">
        <v>26300</v>
      </c>
      <c r="U365" s="9">
        <v>0</v>
      </c>
      <c r="V365" s="8">
        <v>31</v>
      </c>
      <c r="W365" s="8">
        <v>30</v>
      </c>
      <c r="X365" s="6" t="s">
        <v>44</v>
      </c>
      <c r="Y365" s="8">
        <v>0</v>
      </c>
      <c r="Z365" s="8">
        <v>13</v>
      </c>
      <c r="AA365" s="8">
        <v>0</v>
      </c>
      <c r="AB365" s="8">
        <v>0</v>
      </c>
      <c r="AC365" s="8">
        <v>2</v>
      </c>
      <c r="AD365" s="8">
        <v>2</v>
      </c>
      <c r="AE365" s="7" t="s">
        <v>45</v>
      </c>
      <c r="AG365">
        <f t="shared" ca="1" si="15"/>
        <v>3</v>
      </c>
      <c r="AH365" s="23" t="str" cm="1">
        <f t="array" ref="AH365">_xlfn.IFS(E365&gt;49,"50+",E365&gt;39,"40-49",E365&gt;29,"30-39",E365&gt;19,"20-29")</f>
        <v>20-29</v>
      </c>
      <c r="AI365" s="24" t="str" cm="1">
        <f t="array" aca="1" ref="AI365" ca="1">_xlfn.IFS(AG365&gt;10,"10+",AG365&gt;4,"5-10 YIL",AG365&gt;2,"3-5 YIL",AG365&gt;0.9,"1-3 YIL",AG365&lt;1,"0-1 YIL")</f>
        <v>3-5 YIL</v>
      </c>
      <c r="AJ365">
        <f t="shared" si="16"/>
        <v>2023</v>
      </c>
      <c r="AK365" t="e">
        <f t="shared" si="17"/>
        <v>#VALUE!</v>
      </c>
    </row>
    <row r="366" spans="1:37" x14ac:dyDescent="0.3">
      <c r="A366" s="2" t="s">
        <v>704</v>
      </c>
      <c r="B366" s="3" t="s">
        <v>666</v>
      </c>
      <c r="C366" s="2" t="s">
        <v>33</v>
      </c>
      <c r="D366" s="13">
        <v>28779</v>
      </c>
      <c r="E366" s="4">
        <v>48</v>
      </c>
      <c r="F366" s="2" t="s">
        <v>34</v>
      </c>
      <c r="G366" s="4">
        <v>0</v>
      </c>
      <c r="H366" s="2" t="s">
        <v>35</v>
      </c>
      <c r="I366" s="3" t="s">
        <v>139</v>
      </c>
      <c r="J366" s="3" t="s">
        <v>140</v>
      </c>
      <c r="K366" s="2" t="s">
        <v>79</v>
      </c>
      <c r="L366" s="2" t="s">
        <v>63</v>
      </c>
      <c r="M366" s="3" t="s">
        <v>80</v>
      </c>
      <c r="N366" s="2" t="s">
        <v>95</v>
      </c>
      <c r="O366" s="13">
        <v>44156</v>
      </c>
      <c r="P366" s="2" t="s">
        <v>44</v>
      </c>
      <c r="Q366" s="3" t="s">
        <v>44</v>
      </c>
      <c r="R366" s="2" t="s">
        <v>44</v>
      </c>
      <c r="S366" s="2" t="s">
        <v>56</v>
      </c>
      <c r="T366" s="5">
        <v>119400</v>
      </c>
      <c r="U366" s="5">
        <v>0</v>
      </c>
      <c r="V366" s="4">
        <v>3</v>
      </c>
      <c r="W366" s="4">
        <v>29</v>
      </c>
      <c r="X366" s="2" t="s">
        <v>57</v>
      </c>
      <c r="Y366" s="4">
        <v>1</v>
      </c>
      <c r="Z366" s="4">
        <v>5</v>
      </c>
      <c r="AA366" s="4">
        <v>0</v>
      </c>
      <c r="AB366" s="4">
        <v>0</v>
      </c>
      <c r="AC366" s="4">
        <v>1</v>
      </c>
      <c r="AD366" s="4">
        <v>10</v>
      </c>
      <c r="AE366" s="3" t="s">
        <v>58</v>
      </c>
      <c r="AG366">
        <f t="shared" ca="1" si="15"/>
        <v>5</v>
      </c>
      <c r="AH366" s="23" t="str" cm="1">
        <f t="array" ref="AH366">_xlfn.IFS(E366&gt;49,"50+",E366&gt;39,"40-49",E366&gt;29,"30-39",E366&gt;19,"20-29")</f>
        <v>40-49</v>
      </c>
      <c r="AI366" s="24" t="str" cm="1">
        <f t="array" aca="1" ref="AI366" ca="1">_xlfn.IFS(AG366&gt;10,"10+",AG366&gt;4,"5-10 YIL",AG366&gt;2,"3-5 YIL",AG366&gt;0.9,"1-3 YIL",AG366&lt;1,"0-1 YIL")</f>
        <v>5-10 YIL</v>
      </c>
      <c r="AJ366">
        <f t="shared" si="16"/>
        <v>2020</v>
      </c>
      <c r="AK366" t="e">
        <f t="shared" si="17"/>
        <v>#VALUE!</v>
      </c>
    </row>
    <row r="367" spans="1:37" x14ac:dyDescent="0.3">
      <c r="A367" s="6" t="s">
        <v>705</v>
      </c>
      <c r="B367" s="7" t="s">
        <v>706</v>
      </c>
      <c r="C367" s="6" t="s">
        <v>48</v>
      </c>
      <c r="D367" s="14">
        <v>35448</v>
      </c>
      <c r="E367" s="8">
        <v>29</v>
      </c>
      <c r="F367" s="6" t="s">
        <v>49</v>
      </c>
      <c r="G367" s="8">
        <v>2</v>
      </c>
      <c r="H367" s="6" t="s">
        <v>35</v>
      </c>
      <c r="I367" s="7" t="s">
        <v>70</v>
      </c>
      <c r="J367" s="7" t="s">
        <v>92</v>
      </c>
      <c r="K367" s="6" t="s">
        <v>38</v>
      </c>
      <c r="L367" s="6" t="s">
        <v>63</v>
      </c>
      <c r="M367" s="7" t="s">
        <v>72</v>
      </c>
      <c r="N367" s="6" t="s">
        <v>41</v>
      </c>
      <c r="O367" s="14">
        <v>45488</v>
      </c>
      <c r="P367" s="14">
        <v>45962</v>
      </c>
      <c r="Q367" s="7" t="s">
        <v>53</v>
      </c>
      <c r="R367" s="6">
        <v>4</v>
      </c>
      <c r="S367" s="6" t="s">
        <v>43</v>
      </c>
      <c r="T367" s="9">
        <v>34900</v>
      </c>
      <c r="U367" s="9">
        <v>0</v>
      </c>
      <c r="V367" s="8">
        <v>2</v>
      </c>
      <c r="W367" s="8">
        <v>30</v>
      </c>
      <c r="X367" s="6" t="s">
        <v>44</v>
      </c>
      <c r="Y367" s="8">
        <v>0</v>
      </c>
      <c r="Z367" s="8">
        <v>0</v>
      </c>
      <c r="AA367" s="8">
        <v>0</v>
      </c>
      <c r="AB367" s="8">
        <v>0</v>
      </c>
      <c r="AC367" s="8">
        <v>4</v>
      </c>
      <c r="AD367" s="8">
        <v>36</v>
      </c>
      <c r="AE367" s="7" t="s">
        <v>82</v>
      </c>
      <c r="AG367">
        <f t="shared" ca="1" si="15"/>
        <v>1</v>
      </c>
      <c r="AH367" s="23" t="str" cm="1">
        <f t="array" ref="AH367">_xlfn.IFS(E367&gt;49,"50+",E367&gt;39,"40-49",E367&gt;29,"30-39",E367&gt;19,"20-29")</f>
        <v>20-29</v>
      </c>
      <c r="AI367" s="24" t="str" cm="1">
        <f t="array" aca="1" ref="AI367" ca="1">_xlfn.IFS(AG367&gt;10,"10+",AG367&gt;4,"5-10 YIL",AG367&gt;2,"3-5 YIL",AG367&gt;0.9,"1-3 YIL",AG367&lt;1,"0-1 YIL")</f>
        <v>1-3 YIL</v>
      </c>
      <c r="AJ367">
        <f t="shared" si="16"/>
        <v>2024</v>
      </c>
      <c r="AK367">
        <f t="shared" si="17"/>
        <v>2025</v>
      </c>
    </row>
    <row r="368" spans="1:37" x14ac:dyDescent="0.3">
      <c r="A368" s="2" t="s">
        <v>707</v>
      </c>
      <c r="B368" s="3" t="s">
        <v>708</v>
      </c>
      <c r="C368" s="2" t="s">
        <v>48</v>
      </c>
      <c r="D368" s="13">
        <v>25674</v>
      </c>
      <c r="E368" s="4">
        <v>56</v>
      </c>
      <c r="F368" s="2" t="s">
        <v>34</v>
      </c>
      <c r="G368" s="4">
        <v>0</v>
      </c>
      <c r="H368" s="2" t="s">
        <v>35</v>
      </c>
      <c r="I368" s="3" t="s">
        <v>70</v>
      </c>
      <c r="J368" s="3" t="s">
        <v>129</v>
      </c>
      <c r="K368" s="2" t="s">
        <v>79</v>
      </c>
      <c r="L368" s="2" t="s">
        <v>63</v>
      </c>
      <c r="M368" s="3" t="s">
        <v>80</v>
      </c>
      <c r="N368" s="2" t="s">
        <v>41</v>
      </c>
      <c r="O368" s="13">
        <v>40620</v>
      </c>
      <c r="P368" s="2" t="s">
        <v>44</v>
      </c>
      <c r="Q368" s="3" t="s">
        <v>44</v>
      </c>
      <c r="R368" s="2" t="s">
        <v>44</v>
      </c>
      <c r="S368" s="2" t="s">
        <v>56</v>
      </c>
      <c r="T368" s="5">
        <v>125900</v>
      </c>
      <c r="U368" s="5">
        <v>11800</v>
      </c>
      <c r="V368" s="4">
        <v>4</v>
      </c>
      <c r="W368" s="4">
        <v>30</v>
      </c>
      <c r="X368" s="2" t="s">
        <v>44</v>
      </c>
      <c r="Y368" s="4">
        <v>0</v>
      </c>
      <c r="Z368" s="4">
        <v>0</v>
      </c>
      <c r="AA368" s="4">
        <v>0</v>
      </c>
      <c r="AB368" s="4">
        <v>0</v>
      </c>
      <c r="AC368" s="4">
        <v>3</v>
      </c>
      <c r="AD368" s="4">
        <v>19</v>
      </c>
      <c r="AE368" s="3" t="s">
        <v>58</v>
      </c>
      <c r="AG368">
        <f t="shared" ca="1" si="15"/>
        <v>15</v>
      </c>
      <c r="AH368" s="23" t="str" cm="1">
        <f t="array" ref="AH368">_xlfn.IFS(E368&gt;49,"50+",E368&gt;39,"40-49",E368&gt;29,"30-39",E368&gt;19,"20-29")</f>
        <v>50+</v>
      </c>
      <c r="AI368" s="24" t="str" cm="1">
        <f t="array" aca="1" ref="AI368" ca="1">_xlfn.IFS(AG368&gt;10,"10+",AG368&gt;4,"5-10 YIL",AG368&gt;2,"3-5 YIL",AG368&gt;0.9,"1-3 YIL",AG368&lt;1,"0-1 YIL")</f>
        <v>10+</v>
      </c>
      <c r="AJ368">
        <f t="shared" si="16"/>
        <v>2011</v>
      </c>
      <c r="AK368" t="e">
        <f t="shared" si="17"/>
        <v>#VALUE!</v>
      </c>
    </row>
    <row r="369" spans="1:37" x14ac:dyDescent="0.3">
      <c r="A369" s="6" t="s">
        <v>709</v>
      </c>
      <c r="B369" s="7" t="s">
        <v>573</v>
      </c>
      <c r="C369" s="6" t="s">
        <v>33</v>
      </c>
      <c r="D369" s="14">
        <v>32707</v>
      </c>
      <c r="E369" s="8">
        <v>37</v>
      </c>
      <c r="F369" s="6" t="s">
        <v>49</v>
      </c>
      <c r="G369" s="8">
        <v>1</v>
      </c>
      <c r="H369" s="6" t="s">
        <v>88</v>
      </c>
      <c r="I369" s="7" t="s">
        <v>70</v>
      </c>
      <c r="J369" s="7" t="s">
        <v>129</v>
      </c>
      <c r="K369" s="6" t="s">
        <v>79</v>
      </c>
      <c r="L369" s="6" t="s">
        <v>63</v>
      </c>
      <c r="M369" s="7" t="s">
        <v>80</v>
      </c>
      <c r="N369" s="6" t="s">
        <v>41</v>
      </c>
      <c r="O369" s="14">
        <v>41920</v>
      </c>
      <c r="P369" s="6" t="s">
        <v>44</v>
      </c>
      <c r="Q369" s="7" t="s">
        <v>44</v>
      </c>
      <c r="R369" s="6" t="s">
        <v>44</v>
      </c>
      <c r="S369" s="6" t="s">
        <v>56</v>
      </c>
      <c r="T369" s="9">
        <v>116800</v>
      </c>
      <c r="U369" s="9">
        <v>16300</v>
      </c>
      <c r="V369" s="8">
        <v>8</v>
      </c>
      <c r="W369" s="8">
        <v>30</v>
      </c>
      <c r="X369" s="6" t="s">
        <v>44</v>
      </c>
      <c r="Y369" s="8">
        <v>0</v>
      </c>
      <c r="Z369" s="8">
        <v>12</v>
      </c>
      <c r="AA369" s="8">
        <v>0</v>
      </c>
      <c r="AB369" s="8">
        <v>0</v>
      </c>
      <c r="AC369" s="8">
        <v>4</v>
      </c>
      <c r="AD369" s="8">
        <v>28</v>
      </c>
      <c r="AE369" s="7" t="s">
        <v>58</v>
      </c>
      <c r="AG369">
        <f t="shared" ca="1" si="15"/>
        <v>11</v>
      </c>
      <c r="AH369" s="23" t="str" cm="1">
        <f t="array" ref="AH369">_xlfn.IFS(E369&gt;49,"50+",E369&gt;39,"40-49",E369&gt;29,"30-39",E369&gt;19,"20-29")</f>
        <v>30-39</v>
      </c>
      <c r="AI369" s="24" t="str" cm="1">
        <f t="array" aca="1" ref="AI369" ca="1">_xlfn.IFS(AG369&gt;10,"10+",AG369&gt;4,"5-10 YIL",AG369&gt;2,"3-5 YIL",AG369&gt;0.9,"1-3 YIL",AG369&lt;1,"0-1 YIL")</f>
        <v>10+</v>
      </c>
      <c r="AJ369">
        <f t="shared" si="16"/>
        <v>2014</v>
      </c>
      <c r="AK369" t="e">
        <f t="shared" si="17"/>
        <v>#VALUE!</v>
      </c>
    </row>
    <row r="370" spans="1:37" x14ac:dyDescent="0.3">
      <c r="A370" s="2" t="s">
        <v>710</v>
      </c>
      <c r="B370" s="3" t="s">
        <v>711</v>
      </c>
      <c r="C370" s="2" t="s">
        <v>33</v>
      </c>
      <c r="D370" s="13">
        <v>30084</v>
      </c>
      <c r="E370" s="4">
        <v>44</v>
      </c>
      <c r="F370" s="2" t="s">
        <v>49</v>
      </c>
      <c r="G370" s="4">
        <v>0</v>
      </c>
      <c r="H370" s="2" t="s">
        <v>88</v>
      </c>
      <c r="I370" s="3" t="s">
        <v>61</v>
      </c>
      <c r="J370" s="3" t="s">
        <v>107</v>
      </c>
      <c r="K370" s="2" t="s">
        <v>51</v>
      </c>
      <c r="L370" s="2" t="s">
        <v>63</v>
      </c>
      <c r="M370" s="3" t="s">
        <v>64</v>
      </c>
      <c r="N370" s="2" t="s">
        <v>41</v>
      </c>
      <c r="O370" s="13">
        <v>43888</v>
      </c>
      <c r="P370" s="2" t="s">
        <v>44</v>
      </c>
      <c r="Q370" s="3" t="s">
        <v>44</v>
      </c>
      <c r="R370" s="2" t="s">
        <v>44</v>
      </c>
      <c r="S370" s="2" t="s">
        <v>56</v>
      </c>
      <c r="T370" s="5">
        <v>59300</v>
      </c>
      <c r="U370" s="5">
        <v>6500</v>
      </c>
      <c r="V370" s="4">
        <v>4</v>
      </c>
      <c r="W370" s="4">
        <v>30</v>
      </c>
      <c r="X370" s="2" t="s">
        <v>44</v>
      </c>
      <c r="Y370" s="4">
        <v>0</v>
      </c>
      <c r="Z370" s="4">
        <v>5</v>
      </c>
      <c r="AA370" s="4">
        <v>0</v>
      </c>
      <c r="AB370" s="4">
        <v>0</v>
      </c>
      <c r="AC370" s="4">
        <v>3</v>
      </c>
      <c r="AD370" s="4">
        <v>17</v>
      </c>
      <c r="AE370" s="3" t="s">
        <v>58</v>
      </c>
      <c r="AG370">
        <f t="shared" ca="1" si="15"/>
        <v>6</v>
      </c>
      <c r="AH370" s="23" t="str" cm="1">
        <f t="array" ref="AH370">_xlfn.IFS(E370&gt;49,"50+",E370&gt;39,"40-49",E370&gt;29,"30-39",E370&gt;19,"20-29")</f>
        <v>40-49</v>
      </c>
      <c r="AI370" s="24" t="str" cm="1">
        <f t="array" aca="1" ref="AI370" ca="1">_xlfn.IFS(AG370&gt;10,"10+",AG370&gt;4,"5-10 YIL",AG370&gt;2,"3-5 YIL",AG370&gt;0.9,"1-3 YIL",AG370&lt;1,"0-1 YIL")</f>
        <v>5-10 YIL</v>
      </c>
      <c r="AJ370">
        <f t="shared" si="16"/>
        <v>2020</v>
      </c>
      <c r="AK370" t="e">
        <f t="shared" si="17"/>
        <v>#VALUE!</v>
      </c>
    </row>
    <row r="371" spans="1:37" x14ac:dyDescent="0.3">
      <c r="A371" s="6" t="s">
        <v>712</v>
      </c>
      <c r="B371" s="7" t="s">
        <v>713</v>
      </c>
      <c r="C371" s="6" t="s">
        <v>48</v>
      </c>
      <c r="D371" s="14">
        <v>32417</v>
      </c>
      <c r="E371" s="8">
        <v>38</v>
      </c>
      <c r="F371" s="6" t="s">
        <v>34</v>
      </c>
      <c r="G371" s="8">
        <v>0</v>
      </c>
      <c r="H371" s="6" t="s">
        <v>35</v>
      </c>
      <c r="I371" s="7" t="s">
        <v>70</v>
      </c>
      <c r="J371" s="7" t="s">
        <v>129</v>
      </c>
      <c r="K371" s="6" t="s">
        <v>79</v>
      </c>
      <c r="L371" s="6" t="s">
        <v>63</v>
      </c>
      <c r="M371" s="7" t="s">
        <v>80</v>
      </c>
      <c r="N371" s="6" t="s">
        <v>41</v>
      </c>
      <c r="O371" s="14">
        <v>40904</v>
      </c>
      <c r="P371" s="6" t="s">
        <v>44</v>
      </c>
      <c r="Q371" s="7" t="s">
        <v>44</v>
      </c>
      <c r="R371" s="6" t="s">
        <v>44</v>
      </c>
      <c r="S371" s="6" t="s">
        <v>56</v>
      </c>
      <c r="T371" s="9">
        <v>110400</v>
      </c>
      <c r="U371" s="9">
        <v>0</v>
      </c>
      <c r="V371" s="8">
        <v>3</v>
      </c>
      <c r="W371" s="8">
        <v>30</v>
      </c>
      <c r="X371" s="6" t="s">
        <v>44</v>
      </c>
      <c r="Y371" s="8">
        <v>0</v>
      </c>
      <c r="Z371" s="8">
        <v>12</v>
      </c>
      <c r="AA371" s="8">
        <v>0</v>
      </c>
      <c r="AB371" s="8">
        <v>0</v>
      </c>
      <c r="AC371" s="8">
        <v>3</v>
      </c>
      <c r="AD371" s="8">
        <v>19</v>
      </c>
      <c r="AE371" s="7" t="s">
        <v>58</v>
      </c>
      <c r="AG371">
        <f t="shared" ca="1" si="15"/>
        <v>14</v>
      </c>
      <c r="AH371" s="23" t="str" cm="1">
        <f t="array" ref="AH371">_xlfn.IFS(E371&gt;49,"50+",E371&gt;39,"40-49",E371&gt;29,"30-39",E371&gt;19,"20-29")</f>
        <v>30-39</v>
      </c>
      <c r="AI371" s="24" t="str" cm="1">
        <f t="array" aca="1" ref="AI371" ca="1">_xlfn.IFS(AG371&gt;10,"10+",AG371&gt;4,"5-10 YIL",AG371&gt;2,"3-5 YIL",AG371&gt;0.9,"1-3 YIL",AG371&lt;1,"0-1 YIL")</f>
        <v>10+</v>
      </c>
      <c r="AJ371">
        <f t="shared" si="16"/>
        <v>2011</v>
      </c>
      <c r="AK371" t="e">
        <f t="shared" si="17"/>
        <v>#VALUE!</v>
      </c>
    </row>
    <row r="372" spans="1:37" x14ac:dyDescent="0.3">
      <c r="A372" s="2" t="s">
        <v>714</v>
      </c>
      <c r="B372" s="3" t="s">
        <v>715</v>
      </c>
      <c r="C372" s="2" t="s">
        <v>33</v>
      </c>
      <c r="D372" s="13">
        <v>36049</v>
      </c>
      <c r="E372" s="4">
        <v>28</v>
      </c>
      <c r="F372" s="2" t="s">
        <v>34</v>
      </c>
      <c r="G372" s="4">
        <v>0</v>
      </c>
      <c r="H372" s="2" t="s">
        <v>88</v>
      </c>
      <c r="I372" s="3" t="s">
        <v>36</v>
      </c>
      <c r="J372" s="3" t="s">
        <v>37</v>
      </c>
      <c r="K372" s="2" t="s">
        <v>38</v>
      </c>
      <c r="L372" s="2" t="s">
        <v>39</v>
      </c>
      <c r="M372" s="3" t="s">
        <v>40</v>
      </c>
      <c r="N372" s="2" t="s">
        <v>89</v>
      </c>
      <c r="O372" s="13">
        <v>46059</v>
      </c>
      <c r="P372" s="2" t="s">
        <v>44</v>
      </c>
      <c r="Q372" s="3" t="s">
        <v>44</v>
      </c>
      <c r="R372" s="2" t="s">
        <v>44</v>
      </c>
      <c r="S372" s="2" t="s">
        <v>56</v>
      </c>
      <c r="T372" s="5">
        <v>25100</v>
      </c>
      <c r="U372" s="5">
        <v>0</v>
      </c>
      <c r="V372" s="4">
        <v>22</v>
      </c>
      <c r="W372" s="4">
        <v>20</v>
      </c>
      <c r="X372" s="2" t="s">
        <v>57</v>
      </c>
      <c r="Y372" s="4">
        <v>10</v>
      </c>
      <c r="Z372" s="4">
        <v>0</v>
      </c>
      <c r="AA372" s="4">
        <v>0</v>
      </c>
      <c r="AB372" s="4">
        <v>0</v>
      </c>
      <c r="AC372" s="4">
        <v>3</v>
      </c>
      <c r="AD372" s="4">
        <v>5</v>
      </c>
      <c r="AE372" s="3" t="s">
        <v>82</v>
      </c>
      <c r="AG372">
        <f t="shared" ca="1" si="15"/>
        <v>0</v>
      </c>
      <c r="AH372" s="23" t="str" cm="1">
        <f t="array" ref="AH372">_xlfn.IFS(E372&gt;49,"50+",E372&gt;39,"40-49",E372&gt;29,"30-39",E372&gt;19,"20-29")</f>
        <v>20-29</v>
      </c>
      <c r="AI372" s="24" t="str" cm="1">
        <f t="array" aca="1" ref="AI372" ca="1">_xlfn.IFS(AG372&gt;10,"10+",AG372&gt;4,"5-10 YIL",AG372&gt;2,"3-5 YIL",AG372&gt;0.9,"1-3 YIL",AG372&lt;1,"0-1 YIL")</f>
        <v>0-1 YIL</v>
      </c>
      <c r="AJ372">
        <f t="shared" si="16"/>
        <v>2026</v>
      </c>
      <c r="AK372" t="e">
        <f t="shared" si="17"/>
        <v>#VALUE!</v>
      </c>
    </row>
    <row r="373" spans="1:37" x14ac:dyDescent="0.3">
      <c r="A373" s="6" t="s">
        <v>716</v>
      </c>
      <c r="B373" s="7" t="s">
        <v>524</v>
      </c>
      <c r="C373" s="6" t="s">
        <v>33</v>
      </c>
      <c r="D373" s="14">
        <v>37764</v>
      </c>
      <c r="E373" s="8">
        <v>23</v>
      </c>
      <c r="F373" s="6" t="s">
        <v>49</v>
      </c>
      <c r="G373" s="8">
        <v>0</v>
      </c>
      <c r="H373" s="6" t="s">
        <v>88</v>
      </c>
      <c r="I373" s="7" t="s">
        <v>36</v>
      </c>
      <c r="J373" s="7" t="s">
        <v>37</v>
      </c>
      <c r="K373" s="6" t="s">
        <v>38</v>
      </c>
      <c r="L373" s="6" t="s">
        <v>39</v>
      </c>
      <c r="M373" s="7" t="s">
        <v>40</v>
      </c>
      <c r="N373" s="6" t="s">
        <v>41</v>
      </c>
      <c r="O373" s="14">
        <v>45052</v>
      </c>
      <c r="P373" s="6" t="s">
        <v>44</v>
      </c>
      <c r="Q373" s="7" t="s">
        <v>44</v>
      </c>
      <c r="R373" s="6" t="s">
        <v>44</v>
      </c>
      <c r="S373" s="6" t="s">
        <v>56</v>
      </c>
      <c r="T373" s="9">
        <v>24500</v>
      </c>
      <c r="U373" s="9">
        <v>0</v>
      </c>
      <c r="V373" s="8">
        <v>22</v>
      </c>
      <c r="W373" s="8">
        <v>30</v>
      </c>
      <c r="X373" s="6" t="s">
        <v>44</v>
      </c>
      <c r="Y373" s="8">
        <v>0</v>
      </c>
      <c r="Z373" s="8">
        <v>0</v>
      </c>
      <c r="AA373" s="8">
        <v>0</v>
      </c>
      <c r="AB373" s="8">
        <v>0</v>
      </c>
      <c r="AC373" s="8">
        <v>3</v>
      </c>
      <c r="AD373" s="8">
        <v>3</v>
      </c>
      <c r="AE373" s="7" t="s">
        <v>45</v>
      </c>
      <c r="AG373">
        <f t="shared" ca="1" si="15"/>
        <v>3</v>
      </c>
      <c r="AH373" s="23" t="str" cm="1">
        <f t="array" ref="AH373">_xlfn.IFS(E373&gt;49,"50+",E373&gt;39,"40-49",E373&gt;29,"30-39",E373&gt;19,"20-29")</f>
        <v>20-29</v>
      </c>
      <c r="AI373" s="24" t="str" cm="1">
        <f t="array" aca="1" ref="AI373" ca="1">_xlfn.IFS(AG373&gt;10,"10+",AG373&gt;4,"5-10 YIL",AG373&gt;2,"3-5 YIL",AG373&gt;0.9,"1-3 YIL",AG373&lt;1,"0-1 YIL")</f>
        <v>3-5 YIL</v>
      </c>
      <c r="AJ373">
        <f t="shared" si="16"/>
        <v>2023</v>
      </c>
      <c r="AK373" t="e">
        <f t="shared" si="17"/>
        <v>#VALUE!</v>
      </c>
    </row>
    <row r="374" spans="1:37" x14ac:dyDescent="0.3">
      <c r="A374" s="2" t="s">
        <v>717</v>
      </c>
      <c r="B374" s="3" t="s">
        <v>718</v>
      </c>
      <c r="C374" s="2" t="s">
        <v>33</v>
      </c>
      <c r="D374" s="13">
        <v>37793</v>
      </c>
      <c r="E374" s="4">
        <v>23</v>
      </c>
      <c r="F374" s="2" t="s">
        <v>34</v>
      </c>
      <c r="G374" s="4">
        <v>0</v>
      </c>
      <c r="H374" s="2" t="s">
        <v>35</v>
      </c>
      <c r="I374" s="3" t="s">
        <v>36</v>
      </c>
      <c r="J374" s="3" t="s">
        <v>37</v>
      </c>
      <c r="K374" s="2" t="s">
        <v>38</v>
      </c>
      <c r="L374" s="2" t="s">
        <v>39</v>
      </c>
      <c r="M374" s="3" t="s">
        <v>40</v>
      </c>
      <c r="N374" s="2" t="s">
        <v>41</v>
      </c>
      <c r="O374" s="13">
        <v>45719</v>
      </c>
      <c r="P374" s="2" t="s">
        <v>44</v>
      </c>
      <c r="Q374" s="3" t="s">
        <v>44</v>
      </c>
      <c r="R374" s="2" t="s">
        <v>44</v>
      </c>
      <c r="S374" s="2" t="s">
        <v>56</v>
      </c>
      <c r="T374" s="5">
        <v>27100</v>
      </c>
      <c r="U374" s="5">
        <v>0</v>
      </c>
      <c r="V374" s="4">
        <v>23</v>
      </c>
      <c r="W374" s="4">
        <v>30</v>
      </c>
      <c r="X374" s="2" t="s">
        <v>44</v>
      </c>
      <c r="Y374" s="4">
        <v>0</v>
      </c>
      <c r="Z374" s="4">
        <v>7</v>
      </c>
      <c r="AA374" s="4">
        <v>0</v>
      </c>
      <c r="AB374" s="4">
        <v>0</v>
      </c>
      <c r="AC374" s="4">
        <v>3</v>
      </c>
      <c r="AD374" s="4">
        <v>19</v>
      </c>
      <c r="AE374" s="3" t="s">
        <v>58</v>
      </c>
      <c r="AG374">
        <f t="shared" ca="1" si="15"/>
        <v>1</v>
      </c>
      <c r="AH374" s="23" t="str" cm="1">
        <f t="array" ref="AH374">_xlfn.IFS(E374&gt;49,"50+",E374&gt;39,"40-49",E374&gt;29,"30-39",E374&gt;19,"20-29")</f>
        <v>20-29</v>
      </c>
      <c r="AI374" s="24" t="str" cm="1">
        <f t="array" aca="1" ref="AI374" ca="1">_xlfn.IFS(AG374&gt;10,"10+",AG374&gt;4,"5-10 YIL",AG374&gt;2,"3-5 YIL",AG374&gt;0.9,"1-3 YIL",AG374&lt;1,"0-1 YIL")</f>
        <v>1-3 YIL</v>
      </c>
      <c r="AJ374">
        <f t="shared" si="16"/>
        <v>2025</v>
      </c>
      <c r="AK374" t="e">
        <f t="shared" si="17"/>
        <v>#VALUE!</v>
      </c>
    </row>
    <row r="375" spans="1:37" x14ac:dyDescent="0.3">
      <c r="A375" s="6" t="s">
        <v>719</v>
      </c>
      <c r="B375" s="7" t="s">
        <v>631</v>
      </c>
      <c r="C375" s="6" t="s">
        <v>33</v>
      </c>
      <c r="D375" s="14">
        <v>38163</v>
      </c>
      <c r="E375" s="8">
        <v>22</v>
      </c>
      <c r="F375" s="6" t="s">
        <v>49</v>
      </c>
      <c r="G375" s="8">
        <v>1</v>
      </c>
      <c r="H375" s="6" t="s">
        <v>35</v>
      </c>
      <c r="I375" s="7" t="s">
        <v>36</v>
      </c>
      <c r="J375" s="7" t="s">
        <v>37</v>
      </c>
      <c r="K375" s="6" t="s">
        <v>38</v>
      </c>
      <c r="L375" s="6" t="s">
        <v>39</v>
      </c>
      <c r="M375" s="7" t="s">
        <v>40</v>
      </c>
      <c r="N375" s="6" t="s">
        <v>67</v>
      </c>
      <c r="O375" s="14">
        <v>45791</v>
      </c>
      <c r="P375" s="14">
        <v>45936</v>
      </c>
      <c r="Q375" s="7" t="s">
        <v>53</v>
      </c>
      <c r="R375" s="6">
        <v>4</v>
      </c>
      <c r="S375" s="6" t="s">
        <v>43</v>
      </c>
      <c r="T375" s="9">
        <v>24200</v>
      </c>
      <c r="U375" s="9">
        <v>0</v>
      </c>
      <c r="V375" s="8">
        <v>22</v>
      </c>
      <c r="W375" s="8">
        <v>29</v>
      </c>
      <c r="X375" s="6" t="s">
        <v>112</v>
      </c>
      <c r="Y375" s="8">
        <v>0</v>
      </c>
      <c r="Z375" s="8">
        <v>8</v>
      </c>
      <c r="AA375" s="8">
        <v>0</v>
      </c>
      <c r="AB375" s="8">
        <v>1</v>
      </c>
      <c r="AC375" s="8">
        <v>3</v>
      </c>
      <c r="AD375" s="8">
        <v>14</v>
      </c>
      <c r="AE375" s="7" t="s">
        <v>58</v>
      </c>
      <c r="AG375">
        <f t="shared" ca="1" si="15"/>
        <v>1</v>
      </c>
      <c r="AH375" s="23" t="str" cm="1">
        <f t="array" ref="AH375">_xlfn.IFS(E375&gt;49,"50+",E375&gt;39,"40-49",E375&gt;29,"30-39",E375&gt;19,"20-29")</f>
        <v>20-29</v>
      </c>
      <c r="AI375" s="24" t="str" cm="1">
        <f t="array" aca="1" ref="AI375" ca="1">_xlfn.IFS(AG375&gt;10,"10+",AG375&gt;4,"5-10 YIL",AG375&gt;2,"3-5 YIL",AG375&gt;0.9,"1-3 YIL",AG375&lt;1,"0-1 YIL")</f>
        <v>1-3 YIL</v>
      </c>
      <c r="AJ375">
        <f t="shared" si="16"/>
        <v>2025</v>
      </c>
      <c r="AK375">
        <f t="shared" si="17"/>
        <v>2025</v>
      </c>
    </row>
    <row r="376" spans="1:37" x14ac:dyDescent="0.3">
      <c r="A376" s="2" t="s">
        <v>720</v>
      </c>
      <c r="B376" s="3" t="s">
        <v>536</v>
      </c>
      <c r="C376" s="2" t="s">
        <v>48</v>
      </c>
      <c r="D376" s="13">
        <v>35224</v>
      </c>
      <c r="E376" s="4">
        <v>30</v>
      </c>
      <c r="F376" s="2" t="s">
        <v>49</v>
      </c>
      <c r="G376" s="4">
        <v>1</v>
      </c>
      <c r="H376" s="2" t="s">
        <v>35</v>
      </c>
      <c r="I376" s="3" t="s">
        <v>36</v>
      </c>
      <c r="J376" s="3" t="s">
        <v>50</v>
      </c>
      <c r="K376" s="2" t="s">
        <v>51</v>
      </c>
      <c r="L376" s="2" t="s">
        <v>39</v>
      </c>
      <c r="M376" s="3" t="s">
        <v>40</v>
      </c>
      <c r="N376" s="2" t="s">
        <v>41</v>
      </c>
      <c r="O376" s="13">
        <v>44485</v>
      </c>
      <c r="P376" s="2" t="s">
        <v>44</v>
      </c>
      <c r="Q376" s="3" t="s">
        <v>44</v>
      </c>
      <c r="R376" s="2" t="s">
        <v>44</v>
      </c>
      <c r="S376" s="2" t="s">
        <v>56</v>
      </c>
      <c r="T376" s="5">
        <v>38100</v>
      </c>
      <c r="U376" s="5">
        <v>0</v>
      </c>
      <c r="V376" s="4">
        <v>16</v>
      </c>
      <c r="W376" s="4">
        <v>30</v>
      </c>
      <c r="X376" s="2" t="s">
        <v>44</v>
      </c>
      <c r="Y376" s="4">
        <v>0</v>
      </c>
      <c r="Z376" s="4">
        <v>5</v>
      </c>
      <c r="AA376" s="4">
        <v>0</v>
      </c>
      <c r="AB376" s="4">
        <v>0</v>
      </c>
      <c r="AC376" s="4">
        <v>3</v>
      </c>
      <c r="AD376" s="4">
        <v>2</v>
      </c>
      <c r="AE376" s="3" t="s">
        <v>58</v>
      </c>
      <c r="AG376">
        <f t="shared" ca="1" si="15"/>
        <v>4</v>
      </c>
      <c r="AH376" s="23" t="str" cm="1">
        <f t="array" ref="AH376">_xlfn.IFS(E376&gt;49,"50+",E376&gt;39,"40-49",E376&gt;29,"30-39",E376&gt;19,"20-29")</f>
        <v>30-39</v>
      </c>
      <c r="AI376" s="24" t="str" cm="1">
        <f t="array" aca="1" ref="AI376" ca="1">_xlfn.IFS(AG376&gt;10,"10+",AG376&gt;4,"5-10 YIL",AG376&gt;2,"3-5 YIL",AG376&gt;0.9,"1-3 YIL",AG376&lt;1,"0-1 YIL")</f>
        <v>3-5 YIL</v>
      </c>
      <c r="AJ376">
        <f t="shared" si="16"/>
        <v>2021</v>
      </c>
      <c r="AK376" t="e">
        <f t="shared" si="17"/>
        <v>#VALUE!</v>
      </c>
    </row>
    <row r="377" spans="1:37" x14ac:dyDescent="0.3">
      <c r="A377" s="6" t="s">
        <v>721</v>
      </c>
      <c r="B377" s="7" t="s">
        <v>722</v>
      </c>
      <c r="C377" s="6" t="s">
        <v>48</v>
      </c>
      <c r="D377" s="14">
        <v>35683</v>
      </c>
      <c r="E377" s="8">
        <v>29</v>
      </c>
      <c r="F377" s="6" t="s">
        <v>49</v>
      </c>
      <c r="G377" s="8">
        <v>3</v>
      </c>
      <c r="H377" s="6" t="s">
        <v>35</v>
      </c>
      <c r="I377" s="7" t="s">
        <v>36</v>
      </c>
      <c r="J377" s="7" t="s">
        <v>37</v>
      </c>
      <c r="K377" s="6" t="s">
        <v>38</v>
      </c>
      <c r="L377" s="6" t="s">
        <v>39</v>
      </c>
      <c r="M377" s="7" t="s">
        <v>40</v>
      </c>
      <c r="N377" s="6" t="s">
        <v>41</v>
      </c>
      <c r="O377" s="14">
        <v>45841</v>
      </c>
      <c r="P377" s="6" t="s">
        <v>44</v>
      </c>
      <c r="Q377" s="7" t="s">
        <v>44</v>
      </c>
      <c r="R377" s="6" t="s">
        <v>44</v>
      </c>
      <c r="S377" s="6" t="s">
        <v>56</v>
      </c>
      <c r="T377" s="9">
        <v>28700</v>
      </c>
      <c r="U377" s="9">
        <v>0</v>
      </c>
      <c r="V377" s="8">
        <v>37</v>
      </c>
      <c r="W377" s="8">
        <v>28</v>
      </c>
      <c r="X377" s="6" t="s">
        <v>57</v>
      </c>
      <c r="Y377" s="8">
        <v>2</v>
      </c>
      <c r="Z377" s="8">
        <v>0</v>
      </c>
      <c r="AA377" s="8">
        <v>0</v>
      </c>
      <c r="AB377" s="8">
        <v>0</v>
      </c>
      <c r="AC377" s="8">
        <v>3</v>
      </c>
      <c r="AD377" s="8">
        <v>18</v>
      </c>
      <c r="AE377" s="7" t="s">
        <v>58</v>
      </c>
      <c r="AG377">
        <f t="shared" ca="1" si="15"/>
        <v>0</v>
      </c>
      <c r="AH377" s="23" t="str" cm="1">
        <f t="array" ref="AH377">_xlfn.IFS(E377&gt;49,"50+",E377&gt;39,"40-49",E377&gt;29,"30-39",E377&gt;19,"20-29")</f>
        <v>20-29</v>
      </c>
      <c r="AI377" s="24" t="str" cm="1">
        <f t="array" aca="1" ref="AI377" ca="1">_xlfn.IFS(AG377&gt;10,"10+",AG377&gt;4,"5-10 YIL",AG377&gt;2,"3-5 YIL",AG377&gt;0.9,"1-3 YIL",AG377&lt;1,"0-1 YIL")</f>
        <v>0-1 YIL</v>
      </c>
      <c r="AJ377">
        <f t="shared" si="16"/>
        <v>2025</v>
      </c>
      <c r="AK377" t="e">
        <f t="shared" si="17"/>
        <v>#VALUE!</v>
      </c>
    </row>
    <row r="378" spans="1:37" x14ac:dyDescent="0.3">
      <c r="A378" s="2" t="s">
        <v>723</v>
      </c>
      <c r="B378" s="3" t="s">
        <v>188</v>
      </c>
      <c r="C378" s="2" t="s">
        <v>48</v>
      </c>
      <c r="D378" s="13">
        <v>29624</v>
      </c>
      <c r="E378" s="4">
        <v>45</v>
      </c>
      <c r="F378" s="2" t="s">
        <v>49</v>
      </c>
      <c r="G378" s="4">
        <v>1</v>
      </c>
      <c r="H378" s="2" t="s">
        <v>35</v>
      </c>
      <c r="I378" s="3" t="s">
        <v>139</v>
      </c>
      <c r="J378" s="3" t="s">
        <v>161</v>
      </c>
      <c r="K378" s="2" t="s">
        <v>51</v>
      </c>
      <c r="L378" s="2" t="s">
        <v>63</v>
      </c>
      <c r="M378" s="3" t="s">
        <v>162</v>
      </c>
      <c r="N378" s="2" t="s">
        <v>67</v>
      </c>
      <c r="O378" s="13">
        <v>45008</v>
      </c>
      <c r="P378" s="2" t="s">
        <v>44</v>
      </c>
      <c r="Q378" s="3" t="s">
        <v>44</v>
      </c>
      <c r="R378" s="2" t="s">
        <v>44</v>
      </c>
      <c r="S378" s="2" t="s">
        <v>56</v>
      </c>
      <c r="T378" s="5">
        <v>78000</v>
      </c>
      <c r="U378" s="5">
        <v>10600</v>
      </c>
      <c r="V378" s="4">
        <v>8</v>
      </c>
      <c r="W378" s="4">
        <v>30</v>
      </c>
      <c r="X378" s="2" t="s">
        <v>44</v>
      </c>
      <c r="Y378" s="4">
        <v>0</v>
      </c>
      <c r="Z378" s="4">
        <v>3</v>
      </c>
      <c r="AA378" s="4">
        <v>0</v>
      </c>
      <c r="AB378" s="4">
        <v>0</v>
      </c>
      <c r="AC378" s="4">
        <v>3</v>
      </c>
      <c r="AD378" s="4">
        <v>5</v>
      </c>
      <c r="AE378" s="3" t="s">
        <v>45</v>
      </c>
      <c r="AG378">
        <f t="shared" ca="1" si="15"/>
        <v>3</v>
      </c>
      <c r="AH378" s="23" t="str" cm="1">
        <f t="array" ref="AH378">_xlfn.IFS(E378&gt;49,"50+",E378&gt;39,"40-49",E378&gt;29,"30-39",E378&gt;19,"20-29")</f>
        <v>40-49</v>
      </c>
      <c r="AI378" s="24" t="str" cm="1">
        <f t="array" aca="1" ref="AI378" ca="1">_xlfn.IFS(AG378&gt;10,"10+",AG378&gt;4,"5-10 YIL",AG378&gt;2,"3-5 YIL",AG378&gt;0.9,"1-3 YIL",AG378&lt;1,"0-1 YIL")</f>
        <v>3-5 YIL</v>
      </c>
      <c r="AJ378">
        <f t="shared" si="16"/>
        <v>2023</v>
      </c>
      <c r="AK378" t="e">
        <f t="shared" si="17"/>
        <v>#VALUE!</v>
      </c>
    </row>
    <row r="379" spans="1:37" x14ac:dyDescent="0.3">
      <c r="A379" s="6" t="s">
        <v>724</v>
      </c>
      <c r="B379" s="7" t="s">
        <v>406</v>
      </c>
      <c r="C379" s="6" t="s">
        <v>48</v>
      </c>
      <c r="D379" s="14">
        <v>36832</v>
      </c>
      <c r="E379" s="8">
        <v>26</v>
      </c>
      <c r="F379" s="6" t="s">
        <v>49</v>
      </c>
      <c r="G379" s="8">
        <v>3</v>
      </c>
      <c r="H379" s="6" t="s">
        <v>85</v>
      </c>
      <c r="I379" s="7" t="s">
        <v>36</v>
      </c>
      <c r="J379" s="7" t="s">
        <v>37</v>
      </c>
      <c r="K379" s="6" t="s">
        <v>38</v>
      </c>
      <c r="L379" s="6" t="s">
        <v>39</v>
      </c>
      <c r="M379" s="7" t="s">
        <v>40</v>
      </c>
      <c r="N379" s="6" t="s">
        <v>41</v>
      </c>
      <c r="O379" s="14">
        <v>45333</v>
      </c>
      <c r="P379" s="6" t="s">
        <v>44</v>
      </c>
      <c r="Q379" s="7" t="s">
        <v>44</v>
      </c>
      <c r="R379" s="6" t="s">
        <v>44</v>
      </c>
      <c r="S379" s="6" t="s">
        <v>56</v>
      </c>
      <c r="T379" s="9">
        <v>24900</v>
      </c>
      <c r="U379" s="9">
        <v>0</v>
      </c>
      <c r="V379" s="8">
        <v>25</v>
      </c>
      <c r="W379" s="8">
        <v>30</v>
      </c>
      <c r="X379" s="6" t="s">
        <v>44</v>
      </c>
      <c r="Y379" s="8">
        <v>0</v>
      </c>
      <c r="Z379" s="8">
        <v>8</v>
      </c>
      <c r="AA379" s="8">
        <v>0</v>
      </c>
      <c r="AB379" s="8">
        <v>0</v>
      </c>
      <c r="AC379" s="8">
        <v>3</v>
      </c>
      <c r="AD379" s="8">
        <v>16</v>
      </c>
      <c r="AE379" s="7" t="s">
        <v>82</v>
      </c>
      <c r="AG379">
        <f t="shared" ca="1" si="15"/>
        <v>2</v>
      </c>
      <c r="AH379" s="23" t="str" cm="1">
        <f t="array" ref="AH379">_xlfn.IFS(E379&gt;49,"50+",E379&gt;39,"40-49",E379&gt;29,"30-39",E379&gt;19,"20-29")</f>
        <v>20-29</v>
      </c>
      <c r="AI379" s="24" t="str" cm="1">
        <f t="array" aca="1" ref="AI379" ca="1">_xlfn.IFS(AG379&gt;10,"10+",AG379&gt;4,"5-10 YIL",AG379&gt;2,"3-5 YIL",AG379&gt;0.9,"1-3 YIL",AG379&lt;1,"0-1 YIL")</f>
        <v>1-3 YIL</v>
      </c>
      <c r="AJ379">
        <f t="shared" si="16"/>
        <v>2024</v>
      </c>
      <c r="AK379" t="e">
        <f t="shared" si="17"/>
        <v>#VALUE!</v>
      </c>
    </row>
    <row r="380" spans="1:37" x14ac:dyDescent="0.3">
      <c r="A380" s="2" t="s">
        <v>725</v>
      </c>
      <c r="B380" s="3" t="s">
        <v>526</v>
      </c>
      <c r="C380" s="2" t="s">
        <v>48</v>
      </c>
      <c r="D380" s="13">
        <v>37845</v>
      </c>
      <c r="E380" s="4">
        <v>23</v>
      </c>
      <c r="F380" s="2" t="s">
        <v>49</v>
      </c>
      <c r="G380" s="4">
        <v>1</v>
      </c>
      <c r="H380" s="2" t="s">
        <v>35</v>
      </c>
      <c r="I380" s="3" t="s">
        <v>36</v>
      </c>
      <c r="J380" s="3" t="s">
        <v>37</v>
      </c>
      <c r="K380" s="2" t="s">
        <v>38</v>
      </c>
      <c r="L380" s="2" t="s">
        <v>39</v>
      </c>
      <c r="M380" s="3" t="s">
        <v>40</v>
      </c>
      <c r="N380" s="2" t="s">
        <v>89</v>
      </c>
      <c r="O380" s="13">
        <v>45989</v>
      </c>
      <c r="P380" s="2" t="s">
        <v>44</v>
      </c>
      <c r="Q380" s="3" t="s">
        <v>44</v>
      </c>
      <c r="R380" s="2" t="s">
        <v>44</v>
      </c>
      <c r="S380" s="2" t="s">
        <v>56</v>
      </c>
      <c r="T380" s="5">
        <v>24700</v>
      </c>
      <c r="U380" s="5">
        <v>0</v>
      </c>
      <c r="V380" s="4">
        <v>27</v>
      </c>
      <c r="W380" s="4">
        <v>20</v>
      </c>
      <c r="X380" s="2" t="s">
        <v>57</v>
      </c>
      <c r="Y380" s="4">
        <v>10</v>
      </c>
      <c r="Z380" s="4">
        <v>0</v>
      </c>
      <c r="AA380" s="4">
        <v>0</v>
      </c>
      <c r="AB380" s="4">
        <v>0</v>
      </c>
      <c r="AC380" s="4">
        <v>4</v>
      </c>
      <c r="AD380" s="4">
        <v>18</v>
      </c>
      <c r="AE380" s="3" t="s">
        <v>73</v>
      </c>
      <c r="AG380">
        <f t="shared" ca="1" si="15"/>
        <v>0</v>
      </c>
      <c r="AH380" s="23" t="str" cm="1">
        <f t="array" ref="AH380">_xlfn.IFS(E380&gt;49,"50+",E380&gt;39,"40-49",E380&gt;29,"30-39",E380&gt;19,"20-29")</f>
        <v>20-29</v>
      </c>
      <c r="AI380" s="24" t="str" cm="1">
        <f t="array" aca="1" ref="AI380" ca="1">_xlfn.IFS(AG380&gt;10,"10+",AG380&gt;4,"5-10 YIL",AG380&gt;2,"3-5 YIL",AG380&gt;0.9,"1-3 YIL",AG380&lt;1,"0-1 YIL")</f>
        <v>0-1 YIL</v>
      </c>
      <c r="AJ380">
        <f t="shared" si="16"/>
        <v>2025</v>
      </c>
      <c r="AK380" t="e">
        <f t="shared" si="17"/>
        <v>#VALUE!</v>
      </c>
    </row>
    <row r="381" spans="1:37" x14ac:dyDescent="0.3">
      <c r="A381" s="6" t="s">
        <v>726</v>
      </c>
      <c r="B381" s="7" t="s">
        <v>727</v>
      </c>
      <c r="C381" s="6" t="s">
        <v>48</v>
      </c>
      <c r="D381" s="14">
        <v>37280</v>
      </c>
      <c r="E381" s="8">
        <v>24</v>
      </c>
      <c r="F381" s="6" t="s">
        <v>49</v>
      </c>
      <c r="G381" s="8">
        <v>1</v>
      </c>
      <c r="H381" s="6" t="s">
        <v>35</v>
      </c>
      <c r="I381" s="7" t="s">
        <v>139</v>
      </c>
      <c r="J381" s="7" t="s">
        <v>235</v>
      </c>
      <c r="K381" s="6" t="s">
        <v>38</v>
      </c>
      <c r="L381" s="6" t="s">
        <v>63</v>
      </c>
      <c r="M381" s="7" t="s">
        <v>162</v>
      </c>
      <c r="N381" s="6" t="s">
        <v>67</v>
      </c>
      <c r="O381" s="14">
        <v>45717</v>
      </c>
      <c r="P381" s="6" t="s">
        <v>44</v>
      </c>
      <c r="Q381" s="7" t="s">
        <v>44</v>
      </c>
      <c r="R381" s="6" t="s">
        <v>44</v>
      </c>
      <c r="S381" s="6" t="s">
        <v>56</v>
      </c>
      <c r="T381" s="9">
        <v>47200</v>
      </c>
      <c r="U381" s="9">
        <v>0</v>
      </c>
      <c r="V381" s="8">
        <v>1</v>
      </c>
      <c r="W381" s="8">
        <v>30</v>
      </c>
      <c r="X381" s="6" t="s">
        <v>44</v>
      </c>
      <c r="Y381" s="8">
        <v>0</v>
      </c>
      <c r="Z381" s="8">
        <v>0</v>
      </c>
      <c r="AA381" s="8">
        <v>0</v>
      </c>
      <c r="AB381" s="8">
        <v>0</v>
      </c>
      <c r="AC381" s="8">
        <v>3</v>
      </c>
      <c r="AD381" s="8">
        <v>4</v>
      </c>
      <c r="AE381" s="7" t="s">
        <v>58</v>
      </c>
      <c r="AG381">
        <f t="shared" ca="1" si="15"/>
        <v>1</v>
      </c>
      <c r="AH381" s="23" t="str" cm="1">
        <f t="array" ref="AH381">_xlfn.IFS(E381&gt;49,"50+",E381&gt;39,"40-49",E381&gt;29,"30-39",E381&gt;19,"20-29")</f>
        <v>20-29</v>
      </c>
      <c r="AI381" s="24" t="str" cm="1">
        <f t="array" aca="1" ref="AI381" ca="1">_xlfn.IFS(AG381&gt;10,"10+",AG381&gt;4,"5-10 YIL",AG381&gt;2,"3-5 YIL",AG381&gt;0.9,"1-3 YIL",AG381&lt;1,"0-1 YIL")</f>
        <v>1-3 YIL</v>
      </c>
      <c r="AJ381">
        <f t="shared" si="16"/>
        <v>2025</v>
      </c>
      <c r="AK381" t="e">
        <f t="shared" si="17"/>
        <v>#VALUE!</v>
      </c>
    </row>
    <row r="382" spans="1:37" x14ac:dyDescent="0.3">
      <c r="A382" s="2" t="s">
        <v>728</v>
      </c>
      <c r="B382" s="3" t="s">
        <v>587</v>
      </c>
      <c r="C382" s="2" t="s">
        <v>48</v>
      </c>
      <c r="D382" s="13">
        <v>29425</v>
      </c>
      <c r="E382" s="4">
        <v>46</v>
      </c>
      <c r="F382" s="2" t="s">
        <v>34</v>
      </c>
      <c r="G382" s="4">
        <v>0</v>
      </c>
      <c r="H382" s="2" t="s">
        <v>35</v>
      </c>
      <c r="I382" s="3" t="s">
        <v>70</v>
      </c>
      <c r="J382" s="3" t="s">
        <v>71</v>
      </c>
      <c r="K382" s="2" t="s">
        <v>51</v>
      </c>
      <c r="L382" s="2" t="s">
        <v>63</v>
      </c>
      <c r="M382" s="3" t="s">
        <v>72</v>
      </c>
      <c r="N382" s="2" t="s">
        <v>41</v>
      </c>
      <c r="O382" s="13">
        <v>44015</v>
      </c>
      <c r="P382" s="2" t="s">
        <v>44</v>
      </c>
      <c r="Q382" s="3" t="s">
        <v>44</v>
      </c>
      <c r="R382" s="2" t="s">
        <v>44</v>
      </c>
      <c r="S382" s="2" t="s">
        <v>56</v>
      </c>
      <c r="T382" s="5">
        <v>55600</v>
      </c>
      <c r="U382" s="5">
        <v>0</v>
      </c>
      <c r="V382" s="4">
        <v>6</v>
      </c>
      <c r="W382" s="4">
        <v>30</v>
      </c>
      <c r="X382" s="2" t="s">
        <v>44</v>
      </c>
      <c r="Y382" s="4">
        <v>0</v>
      </c>
      <c r="Z382" s="4">
        <v>10</v>
      </c>
      <c r="AA382" s="4">
        <v>0</v>
      </c>
      <c r="AB382" s="4">
        <v>0</v>
      </c>
      <c r="AC382" s="4">
        <v>3</v>
      </c>
      <c r="AD382" s="4">
        <v>12</v>
      </c>
      <c r="AE382" s="3" t="s">
        <v>58</v>
      </c>
      <c r="AG382">
        <f t="shared" ca="1" si="15"/>
        <v>5</v>
      </c>
      <c r="AH382" s="23" t="str" cm="1">
        <f t="array" ref="AH382">_xlfn.IFS(E382&gt;49,"50+",E382&gt;39,"40-49",E382&gt;29,"30-39",E382&gt;19,"20-29")</f>
        <v>40-49</v>
      </c>
      <c r="AI382" s="24" t="str" cm="1">
        <f t="array" aca="1" ref="AI382" ca="1">_xlfn.IFS(AG382&gt;10,"10+",AG382&gt;4,"5-10 YIL",AG382&gt;2,"3-5 YIL",AG382&gt;0.9,"1-3 YIL",AG382&lt;1,"0-1 YIL")</f>
        <v>5-10 YIL</v>
      </c>
      <c r="AJ382">
        <f t="shared" si="16"/>
        <v>2020</v>
      </c>
      <c r="AK382" t="e">
        <f t="shared" si="17"/>
        <v>#VALUE!</v>
      </c>
    </row>
    <row r="383" spans="1:37" x14ac:dyDescent="0.3">
      <c r="A383" s="6" t="s">
        <v>729</v>
      </c>
      <c r="B383" s="7" t="s">
        <v>730</v>
      </c>
      <c r="C383" s="6" t="s">
        <v>33</v>
      </c>
      <c r="D383" s="14">
        <v>37062</v>
      </c>
      <c r="E383" s="8">
        <v>25</v>
      </c>
      <c r="F383" s="6" t="s">
        <v>49</v>
      </c>
      <c r="G383" s="8">
        <v>1</v>
      </c>
      <c r="H383" s="6" t="s">
        <v>88</v>
      </c>
      <c r="I383" s="7" t="s">
        <v>36</v>
      </c>
      <c r="J383" s="7" t="s">
        <v>37</v>
      </c>
      <c r="K383" s="6" t="s">
        <v>38</v>
      </c>
      <c r="L383" s="6" t="s">
        <v>39</v>
      </c>
      <c r="M383" s="7" t="s">
        <v>40</v>
      </c>
      <c r="N383" s="6" t="s">
        <v>41</v>
      </c>
      <c r="O383" s="14">
        <v>45393</v>
      </c>
      <c r="P383" s="6" t="s">
        <v>44</v>
      </c>
      <c r="Q383" s="7" t="s">
        <v>44</v>
      </c>
      <c r="R383" s="6" t="s">
        <v>44</v>
      </c>
      <c r="S383" s="6" t="s">
        <v>56</v>
      </c>
      <c r="T383" s="9">
        <v>26900</v>
      </c>
      <c r="U383" s="9">
        <v>0</v>
      </c>
      <c r="V383" s="8">
        <v>36</v>
      </c>
      <c r="W383" s="8">
        <v>30</v>
      </c>
      <c r="X383" s="6" t="s">
        <v>44</v>
      </c>
      <c r="Y383" s="8">
        <v>0</v>
      </c>
      <c r="Z383" s="8">
        <v>3</v>
      </c>
      <c r="AA383" s="8">
        <v>0</v>
      </c>
      <c r="AB383" s="8">
        <v>0</v>
      </c>
      <c r="AC383" s="8">
        <v>4</v>
      </c>
      <c r="AD383" s="8">
        <v>24</v>
      </c>
      <c r="AE383" s="7" t="s">
        <v>96</v>
      </c>
      <c r="AG383">
        <f t="shared" ca="1" si="15"/>
        <v>2</v>
      </c>
      <c r="AH383" s="23" t="str" cm="1">
        <f t="array" ref="AH383">_xlfn.IFS(E383&gt;49,"50+",E383&gt;39,"40-49",E383&gt;29,"30-39",E383&gt;19,"20-29")</f>
        <v>20-29</v>
      </c>
      <c r="AI383" s="24" t="str" cm="1">
        <f t="array" aca="1" ref="AI383" ca="1">_xlfn.IFS(AG383&gt;10,"10+",AG383&gt;4,"5-10 YIL",AG383&gt;2,"3-5 YIL",AG383&gt;0.9,"1-3 YIL",AG383&lt;1,"0-1 YIL")</f>
        <v>1-3 YIL</v>
      </c>
      <c r="AJ383">
        <f t="shared" si="16"/>
        <v>2024</v>
      </c>
      <c r="AK383" t="e">
        <f t="shared" si="17"/>
        <v>#VALUE!</v>
      </c>
    </row>
    <row r="384" spans="1:37" x14ac:dyDescent="0.3">
      <c r="A384" s="2" t="s">
        <v>731</v>
      </c>
      <c r="B384" s="3" t="s">
        <v>533</v>
      </c>
      <c r="C384" s="2" t="s">
        <v>33</v>
      </c>
      <c r="D384" s="13">
        <v>32890</v>
      </c>
      <c r="E384" s="4">
        <v>36</v>
      </c>
      <c r="F384" s="2" t="s">
        <v>49</v>
      </c>
      <c r="G384" s="4">
        <v>1</v>
      </c>
      <c r="H384" s="2" t="s">
        <v>184</v>
      </c>
      <c r="I384" s="3" t="s">
        <v>139</v>
      </c>
      <c r="J384" s="3" t="s">
        <v>161</v>
      </c>
      <c r="K384" s="2" t="s">
        <v>51</v>
      </c>
      <c r="L384" s="2" t="s">
        <v>63</v>
      </c>
      <c r="M384" s="3" t="s">
        <v>162</v>
      </c>
      <c r="N384" s="2" t="s">
        <v>89</v>
      </c>
      <c r="O384" s="13">
        <v>41921</v>
      </c>
      <c r="P384" s="13">
        <v>42444</v>
      </c>
      <c r="Q384" s="3" t="s">
        <v>177</v>
      </c>
      <c r="R384" s="2">
        <v>3</v>
      </c>
      <c r="S384" s="2" t="s">
        <v>43</v>
      </c>
      <c r="T384" s="5">
        <v>81200</v>
      </c>
      <c r="U384" s="5">
        <v>0</v>
      </c>
      <c r="V384" s="4">
        <v>9</v>
      </c>
      <c r="W384" s="4">
        <v>30</v>
      </c>
      <c r="X384" s="2" t="s">
        <v>44</v>
      </c>
      <c r="Y384" s="4">
        <v>0</v>
      </c>
      <c r="Z384" s="4">
        <v>2</v>
      </c>
      <c r="AA384" s="4">
        <v>0</v>
      </c>
      <c r="AB384" s="4">
        <v>0</v>
      </c>
      <c r="AC384" s="4">
        <v>4</v>
      </c>
      <c r="AD384" s="4">
        <v>27</v>
      </c>
      <c r="AE384" s="3" t="s">
        <v>58</v>
      </c>
      <c r="AG384">
        <f t="shared" ca="1" si="15"/>
        <v>11</v>
      </c>
      <c r="AH384" s="23" t="str" cm="1">
        <f t="array" ref="AH384">_xlfn.IFS(E384&gt;49,"50+",E384&gt;39,"40-49",E384&gt;29,"30-39",E384&gt;19,"20-29")</f>
        <v>30-39</v>
      </c>
      <c r="AI384" s="24" t="str" cm="1">
        <f t="array" aca="1" ref="AI384" ca="1">_xlfn.IFS(AG384&gt;10,"10+",AG384&gt;4,"5-10 YIL",AG384&gt;2,"3-5 YIL",AG384&gt;0.9,"1-3 YIL",AG384&lt;1,"0-1 YIL")</f>
        <v>10+</v>
      </c>
      <c r="AJ384">
        <f t="shared" si="16"/>
        <v>2014</v>
      </c>
      <c r="AK384">
        <f t="shared" si="17"/>
        <v>2016</v>
      </c>
    </row>
    <row r="385" spans="1:37" x14ac:dyDescent="0.3">
      <c r="A385" s="6" t="s">
        <v>732</v>
      </c>
      <c r="B385" s="7" t="s">
        <v>230</v>
      </c>
      <c r="C385" s="6" t="s">
        <v>48</v>
      </c>
      <c r="D385" s="14">
        <v>36818</v>
      </c>
      <c r="E385" s="8">
        <v>26</v>
      </c>
      <c r="F385" s="6" t="s">
        <v>49</v>
      </c>
      <c r="G385" s="8">
        <v>2</v>
      </c>
      <c r="H385" s="6" t="s">
        <v>35</v>
      </c>
      <c r="I385" s="7" t="s">
        <v>36</v>
      </c>
      <c r="J385" s="7" t="s">
        <v>37</v>
      </c>
      <c r="K385" s="6" t="s">
        <v>38</v>
      </c>
      <c r="L385" s="6" t="s">
        <v>39</v>
      </c>
      <c r="M385" s="7" t="s">
        <v>40</v>
      </c>
      <c r="N385" s="6" t="s">
        <v>41</v>
      </c>
      <c r="O385" s="14">
        <v>45290</v>
      </c>
      <c r="P385" s="6" t="s">
        <v>44</v>
      </c>
      <c r="Q385" s="7" t="s">
        <v>44</v>
      </c>
      <c r="R385" s="6" t="s">
        <v>44</v>
      </c>
      <c r="S385" s="6" t="s">
        <v>56</v>
      </c>
      <c r="T385" s="9">
        <v>24200</v>
      </c>
      <c r="U385" s="9">
        <v>0</v>
      </c>
      <c r="V385" s="8">
        <v>39</v>
      </c>
      <c r="W385" s="8">
        <v>30</v>
      </c>
      <c r="X385" s="6" t="s">
        <v>44</v>
      </c>
      <c r="Y385" s="8">
        <v>0</v>
      </c>
      <c r="Z385" s="8">
        <v>6</v>
      </c>
      <c r="AA385" s="8">
        <v>0</v>
      </c>
      <c r="AB385" s="8">
        <v>0</v>
      </c>
      <c r="AC385" s="8">
        <v>4</v>
      </c>
      <c r="AD385" s="8">
        <v>32</v>
      </c>
      <c r="AE385" s="7" t="s">
        <v>45</v>
      </c>
      <c r="AG385">
        <f t="shared" ca="1" si="15"/>
        <v>2</v>
      </c>
      <c r="AH385" s="23" t="str" cm="1">
        <f t="array" ref="AH385">_xlfn.IFS(E385&gt;49,"50+",E385&gt;39,"40-49",E385&gt;29,"30-39",E385&gt;19,"20-29")</f>
        <v>20-29</v>
      </c>
      <c r="AI385" s="24" t="str" cm="1">
        <f t="array" aca="1" ref="AI385" ca="1">_xlfn.IFS(AG385&gt;10,"10+",AG385&gt;4,"5-10 YIL",AG385&gt;2,"3-5 YIL",AG385&gt;0.9,"1-3 YIL",AG385&lt;1,"0-1 YIL")</f>
        <v>1-3 YIL</v>
      </c>
      <c r="AJ385">
        <f t="shared" si="16"/>
        <v>2023</v>
      </c>
      <c r="AK385" t="e">
        <f t="shared" si="17"/>
        <v>#VALUE!</v>
      </c>
    </row>
    <row r="386" spans="1:37" x14ac:dyDescent="0.3">
      <c r="A386" s="2" t="s">
        <v>733</v>
      </c>
      <c r="B386" s="3" t="s">
        <v>734</v>
      </c>
      <c r="C386" s="2" t="s">
        <v>33</v>
      </c>
      <c r="D386" s="13">
        <v>36607</v>
      </c>
      <c r="E386" s="4">
        <v>26</v>
      </c>
      <c r="F386" s="2" t="s">
        <v>34</v>
      </c>
      <c r="G386" s="4">
        <v>0</v>
      </c>
      <c r="H386" s="2" t="s">
        <v>35</v>
      </c>
      <c r="I386" s="3" t="s">
        <v>36</v>
      </c>
      <c r="J386" s="3" t="s">
        <v>37</v>
      </c>
      <c r="K386" s="2" t="s">
        <v>38</v>
      </c>
      <c r="L386" s="2" t="s">
        <v>39</v>
      </c>
      <c r="M386" s="3" t="s">
        <v>40</v>
      </c>
      <c r="N386" s="2" t="s">
        <v>41</v>
      </c>
      <c r="O386" s="13">
        <v>45180</v>
      </c>
      <c r="P386" s="2" t="s">
        <v>44</v>
      </c>
      <c r="Q386" s="3" t="s">
        <v>44</v>
      </c>
      <c r="R386" s="2" t="s">
        <v>44</v>
      </c>
      <c r="S386" s="2" t="s">
        <v>56</v>
      </c>
      <c r="T386" s="5">
        <v>27000</v>
      </c>
      <c r="U386" s="5">
        <v>0</v>
      </c>
      <c r="V386" s="4">
        <v>31</v>
      </c>
      <c r="W386" s="4">
        <v>27</v>
      </c>
      <c r="X386" s="2" t="s">
        <v>57</v>
      </c>
      <c r="Y386" s="4">
        <v>3</v>
      </c>
      <c r="Z386" s="4">
        <v>1</v>
      </c>
      <c r="AA386" s="4">
        <v>0</v>
      </c>
      <c r="AB386" s="4">
        <v>0</v>
      </c>
      <c r="AC386" s="4">
        <v>3</v>
      </c>
      <c r="AD386" s="4">
        <v>17</v>
      </c>
      <c r="AE386" s="3" t="s">
        <v>45</v>
      </c>
      <c r="AG386">
        <f t="shared" ca="1" si="15"/>
        <v>2</v>
      </c>
      <c r="AH386" s="23" t="str" cm="1">
        <f t="array" ref="AH386">_xlfn.IFS(E386&gt;49,"50+",E386&gt;39,"40-49",E386&gt;29,"30-39",E386&gt;19,"20-29")</f>
        <v>20-29</v>
      </c>
      <c r="AI386" s="24" t="str" cm="1">
        <f t="array" aca="1" ref="AI386" ca="1">_xlfn.IFS(AG386&gt;10,"10+",AG386&gt;4,"5-10 YIL",AG386&gt;2,"3-5 YIL",AG386&gt;0.9,"1-3 YIL",AG386&lt;1,"0-1 YIL")</f>
        <v>1-3 YIL</v>
      </c>
      <c r="AJ386">
        <f t="shared" si="16"/>
        <v>2023</v>
      </c>
      <c r="AK386" t="e">
        <f t="shared" si="17"/>
        <v>#VALUE!</v>
      </c>
    </row>
    <row r="387" spans="1:37" x14ac:dyDescent="0.3">
      <c r="A387" s="6" t="s">
        <v>735</v>
      </c>
      <c r="B387" s="7" t="s">
        <v>736</v>
      </c>
      <c r="C387" s="6" t="s">
        <v>33</v>
      </c>
      <c r="D387" s="14">
        <v>35901</v>
      </c>
      <c r="E387" s="8">
        <v>28</v>
      </c>
      <c r="F387" s="6" t="s">
        <v>34</v>
      </c>
      <c r="G387" s="8">
        <v>0</v>
      </c>
      <c r="H387" s="6" t="s">
        <v>35</v>
      </c>
      <c r="I387" s="7" t="s">
        <v>70</v>
      </c>
      <c r="J387" s="7" t="s">
        <v>92</v>
      </c>
      <c r="K387" s="6" t="s">
        <v>38</v>
      </c>
      <c r="L387" s="6" t="s">
        <v>63</v>
      </c>
      <c r="M387" s="7" t="s">
        <v>72</v>
      </c>
      <c r="N387" s="6" t="s">
        <v>41</v>
      </c>
      <c r="O387" s="14">
        <v>44803</v>
      </c>
      <c r="P387" s="6" t="s">
        <v>44</v>
      </c>
      <c r="Q387" s="7" t="s">
        <v>44</v>
      </c>
      <c r="R387" s="6" t="s">
        <v>44</v>
      </c>
      <c r="S387" s="6" t="s">
        <v>56</v>
      </c>
      <c r="T387" s="9">
        <v>38100</v>
      </c>
      <c r="U387" s="9">
        <v>2100</v>
      </c>
      <c r="V387" s="8">
        <v>3</v>
      </c>
      <c r="W387" s="8">
        <v>28</v>
      </c>
      <c r="X387" s="6" t="s">
        <v>57</v>
      </c>
      <c r="Y387" s="8">
        <v>2</v>
      </c>
      <c r="Z387" s="8">
        <v>11</v>
      </c>
      <c r="AA387" s="8">
        <v>0</v>
      </c>
      <c r="AB387" s="8">
        <v>0</v>
      </c>
      <c r="AC387" s="8">
        <v>3</v>
      </c>
      <c r="AD387" s="8">
        <v>9</v>
      </c>
      <c r="AE387" s="7" t="s">
        <v>58</v>
      </c>
      <c r="AG387">
        <f t="shared" ref="AG387:AG450" ca="1" si="18">DATEDIF(O387,TODAY(),"Y")</f>
        <v>3</v>
      </c>
      <c r="AH387" s="23" t="str" cm="1">
        <f t="array" ref="AH387">_xlfn.IFS(E387&gt;49,"50+",E387&gt;39,"40-49",E387&gt;29,"30-39",E387&gt;19,"20-29")</f>
        <v>20-29</v>
      </c>
      <c r="AI387" s="24" t="str" cm="1">
        <f t="array" aca="1" ref="AI387" ca="1">_xlfn.IFS(AG387&gt;10,"10+",AG387&gt;4,"5-10 YIL",AG387&gt;2,"3-5 YIL",AG387&gt;0.9,"1-3 YIL",AG387&lt;1,"0-1 YIL")</f>
        <v>3-5 YIL</v>
      </c>
      <c r="AJ387">
        <f t="shared" ref="AJ387:AJ450" si="19">YEAR(O387)</f>
        <v>2022</v>
      </c>
      <c r="AK387" t="e">
        <f t="shared" ref="AK387:AK450" si="20">YEAR(P387)</f>
        <v>#VALUE!</v>
      </c>
    </row>
    <row r="388" spans="1:37" x14ac:dyDescent="0.3">
      <c r="A388" s="2" t="s">
        <v>737</v>
      </c>
      <c r="B388" s="3" t="s">
        <v>254</v>
      </c>
      <c r="C388" s="2" t="s">
        <v>48</v>
      </c>
      <c r="D388" s="13">
        <v>28891</v>
      </c>
      <c r="E388" s="4">
        <v>47</v>
      </c>
      <c r="F388" s="2" t="s">
        <v>34</v>
      </c>
      <c r="G388" s="4">
        <v>0</v>
      </c>
      <c r="H388" s="2" t="s">
        <v>35</v>
      </c>
      <c r="I388" s="3" t="s">
        <v>61</v>
      </c>
      <c r="J388" s="3" t="s">
        <v>107</v>
      </c>
      <c r="K388" s="2" t="s">
        <v>51</v>
      </c>
      <c r="L388" s="2" t="s">
        <v>63</v>
      </c>
      <c r="M388" s="3" t="s">
        <v>64</v>
      </c>
      <c r="N388" s="2" t="s">
        <v>89</v>
      </c>
      <c r="O388" s="13">
        <v>44008</v>
      </c>
      <c r="P388" s="2" t="s">
        <v>44</v>
      </c>
      <c r="Q388" s="3" t="s">
        <v>44</v>
      </c>
      <c r="R388" s="2" t="s">
        <v>44</v>
      </c>
      <c r="S388" s="2" t="s">
        <v>56</v>
      </c>
      <c r="T388" s="5">
        <v>58000</v>
      </c>
      <c r="U388" s="5">
        <v>17500</v>
      </c>
      <c r="V388" s="4">
        <v>1</v>
      </c>
      <c r="W388" s="4">
        <v>30</v>
      </c>
      <c r="X388" s="2" t="s">
        <v>44</v>
      </c>
      <c r="Y388" s="4">
        <v>0</v>
      </c>
      <c r="Z388" s="4">
        <v>8</v>
      </c>
      <c r="AA388" s="4">
        <v>0</v>
      </c>
      <c r="AB388" s="4">
        <v>0</v>
      </c>
      <c r="AC388" s="4">
        <v>4</v>
      </c>
      <c r="AD388" s="4">
        <v>25</v>
      </c>
      <c r="AE388" s="3" t="s">
        <v>82</v>
      </c>
      <c r="AG388">
        <f t="shared" ca="1" si="18"/>
        <v>6</v>
      </c>
      <c r="AH388" s="23" t="str" cm="1">
        <f t="array" ref="AH388">_xlfn.IFS(E388&gt;49,"50+",E388&gt;39,"40-49",E388&gt;29,"30-39",E388&gt;19,"20-29")</f>
        <v>40-49</v>
      </c>
      <c r="AI388" s="24" t="str" cm="1">
        <f t="array" aca="1" ref="AI388" ca="1">_xlfn.IFS(AG388&gt;10,"10+",AG388&gt;4,"5-10 YIL",AG388&gt;2,"3-5 YIL",AG388&gt;0.9,"1-3 YIL",AG388&lt;1,"0-1 YIL")</f>
        <v>5-10 YIL</v>
      </c>
      <c r="AJ388">
        <f t="shared" si="19"/>
        <v>2020</v>
      </c>
      <c r="AK388" t="e">
        <f t="shared" si="20"/>
        <v>#VALUE!</v>
      </c>
    </row>
    <row r="389" spans="1:37" x14ac:dyDescent="0.3">
      <c r="A389" s="6" t="s">
        <v>738</v>
      </c>
      <c r="B389" s="7" t="s">
        <v>739</v>
      </c>
      <c r="C389" s="6" t="s">
        <v>33</v>
      </c>
      <c r="D389" s="14">
        <v>38122</v>
      </c>
      <c r="E389" s="8">
        <v>22</v>
      </c>
      <c r="F389" s="6" t="s">
        <v>49</v>
      </c>
      <c r="G389" s="8">
        <v>0</v>
      </c>
      <c r="H389" s="6" t="s">
        <v>35</v>
      </c>
      <c r="I389" s="7" t="s">
        <v>70</v>
      </c>
      <c r="J389" s="7" t="s">
        <v>92</v>
      </c>
      <c r="K389" s="6" t="s">
        <v>38</v>
      </c>
      <c r="L389" s="6" t="s">
        <v>63</v>
      </c>
      <c r="M389" s="7" t="s">
        <v>72</v>
      </c>
      <c r="N389" s="6" t="s">
        <v>52</v>
      </c>
      <c r="O389" s="14">
        <v>45714</v>
      </c>
      <c r="P389" s="6" t="s">
        <v>44</v>
      </c>
      <c r="Q389" s="7" t="s">
        <v>44</v>
      </c>
      <c r="R389" s="6" t="s">
        <v>44</v>
      </c>
      <c r="S389" s="6" t="s">
        <v>56</v>
      </c>
      <c r="T389" s="9">
        <v>39300</v>
      </c>
      <c r="U389" s="9">
        <v>0</v>
      </c>
      <c r="V389" s="8">
        <v>8</v>
      </c>
      <c r="W389" s="8">
        <v>29</v>
      </c>
      <c r="X389" s="6" t="s">
        <v>57</v>
      </c>
      <c r="Y389" s="8">
        <v>1</v>
      </c>
      <c r="Z389" s="8">
        <v>14</v>
      </c>
      <c r="AA389" s="8">
        <v>0</v>
      </c>
      <c r="AB389" s="8">
        <v>0</v>
      </c>
      <c r="AC389" s="8">
        <v>4</v>
      </c>
      <c r="AD389" s="8">
        <v>12</v>
      </c>
      <c r="AE389" s="7" t="s">
        <v>58</v>
      </c>
      <c r="AG389">
        <f t="shared" ca="1" si="18"/>
        <v>1</v>
      </c>
      <c r="AH389" s="23" t="str" cm="1">
        <f t="array" ref="AH389">_xlfn.IFS(E389&gt;49,"50+",E389&gt;39,"40-49",E389&gt;29,"30-39",E389&gt;19,"20-29")</f>
        <v>20-29</v>
      </c>
      <c r="AI389" s="24" t="str" cm="1">
        <f t="array" aca="1" ref="AI389" ca="1">_xlfn.IFS(AG389&gt;10,"10+",AG389&gt;4,"5-10 YIL",AG389&gt;2,"3-5 YIL",AG389&gt;0.9,"1-3 YIL",AG389&lt;1,"0-1 YIL")</f>
        <v>1-3 YIL</v>
      </c>
      <c r="AJ389">
        <f t="shared" si="19"/>
        <v>2025</v>
      </c>
      <c r="AK389" t="e">
        <f t="shared" si="20"/>
        <v>#VALUE!</v>
      </c>
    </row>
    <row r="390" spans="1:37" x14ac:dyDescent="0.3">
      <c r="A390" s="2" t="s">
        <v>740</v>
      </c>
      <c r="B390" s="3" t="s">
        <v>329</v>
      </c>
      <c r="C390" s="2" t="s">
        <v>33</v>
      </c>
      <c r="D390" s="13">
        <v>33184</v>
      </c>
      <c r="E390" s="4">
        <v>36</v>
      </c>
      <c r="F390" s="2" t="s">
        <v>49</v>
      </c>
      <c r="G390" s="4">
        <v>2</v>
      </c>
      <c r="H390" s="2" t="s">
        <v>88</v>
      </c>
      <c r="I390" s="3" t="s">
        <v>36</v>
      </c>
      <c r="J390" s="3" t="s">
        <v>50</v>
      </c>
      <c r="K390" s="2" t="s">
        <v>51</v>
      </c>
      <c r="L390" s="2" t="s">
        <v>39</v>
      </c>
      <c r="M390" s="3" t="s">
        <v>40</v>
      </c>
      <c r="N390" s="2" t="s">
        <v>41</v>
      </c>
      <c r="O390" s="13">
        <v>44664</v>
      </c>
      <c r="P390" s="2" t="s">
        <v>44</v>
      </c>
      <c r="Q390" s="3" t="s">
        <v>44</v>
      </c>
      <c r="R390" s="2" t="s">
        <v>44</v>
      </c>
      <c r="S390" s="2" t="s">
        <v>56</v>
      </c>
      <c r="T390" s="5">
        <v>39700</v>
      </c>
      <c r="U390" s="5">
        <v>0</v>
      </c>
      <c r="V390" s="4">
        <v>32</v>
      </c>
      <c r="W390" s="4">
        <v>30</v>
      </c>
      <c r="X390" s="2" t="s">
        <v>44</v>
      </c>
      <c r="Y390" s="4">
        <v>0</v>
      </c>
      <c r="Z390" s="4">
        <v>9</v>
      </c>
      <c r="AA390" s="4">
        <v>0</v>
      </c>
      <c r="AB390" s="4">
        <v>0</v>
      </c>
      <c r="AC390" s="4">
        <v>3</v>
      </c>
      <c r="AD390" s="4">
        <v>10</v>
      </c>
      <c r="AE390" s="3" t="s">
        <v>45</v>
      </c>
      <c r="AG390">
        <f t="shared" ca="1" si="18"/>
        <v>4</v>
      </c>
      <c r="AH390" s="23" t="str" cm="1">
        <f t="array" ref="AH390">_xlfn.IFS(E390&gt;49,"50+",E390&gt;39,"40-49",E390&gt;29,"30-39",E390&gt;19,"20-29")</f>
        <v>30-39</v>
      </c>
      <c r="AI390" s="24" t="str" cm="1">
        <f t="array" aca="1" ref="AI390" ca="1">_xlfn.IFS(AG390&gt;10,"10+",AG390&gt;4,"5-10 YIL",AG390&gt;2,"3-5 YIL",AG390&gt;0.9,"1-3 YIL",AG390&lt;1,"0-1 YIL")</f>
        <v>3-5 YIL</v>
      </c>
      <c r="AJ390">
        <f t="shared" si="19"/>
        <v>2022</v>
      </c>
      <c r="AK390" t="e">
        <f t="shared" si="20"/>
        <v>#VALUE!</v>
      </c>
    </row>
    <row r="391" spans="1:37" x14ac:dyDescent="0.3">
      <c r="A391" s="6" t="s">
        <v>741</v>
      </c>
      <c r="B391" s="7" t="s">
        <v>742</v>
      </c>
      <c r="C391" s="6" t="s">
        <v>48</v>
      </c>
      <c r="D391" s="14">
        <v>35490</v>
      </c>
      <c r="E391" s="8">
        <v>29</v>
      </c>
      <c r="F391" s="6" t="s">
        <v>49</v>
      </c>
      <c r="G391" s="8">
        <v>1</v>
      </c>
      <c r="H391" s="6" t="s">
        <v>35</v>
      </c>
      <c r="I391" s="7" t="s">
        <v>36</v>
      </c>
      <c r="J391" s="7" t="s">
        <v>37</v>
      </c>
      <c r="K391" s="6" t="s">
        <v>38</v>
      </c>
      <c r="L391" s="6" t="s">
        <v>39</v>
      </c>
      <c r="M391" s="7" t="s">
        <v>40</v>
      </c>
      <c r="N391" s="6" t="s">
        <v>41</v>
      </c>
      <c r="O391" s="14">
        <v>44984</v>
      </c>
      <c r="P391" s="6" t="s">
        <v>44</v>
      </c>
      <c r="Q391" s="7" t="s">
        <v>44</v>
      </c>
      <c r="R391" s="6" t="s">
        <v>44</v>
      </c>
      <c r="S391" s="6" t="s">
        <v>56</v>
      </c>
      <c r="T391" s="9">
        <v>24900</v>
      </c>
      <c r="U391" s="9">
        <v>0</v>
      </c>
      <c r="V391" s="8">
        <v>31</v>
      </c>
      <c r="W391" s="8">
        <v>29</v>
      </c>
      <c r="X391" s="6" t="s">
        <v>112</v>
      </c>
      <c r="Y391" s="8">
        <v>0</v>
      </c>
      <c r="Z391" s="8">
        <v>12</v>
      </c>
      <c r="AA391" s="8">
        <v>0</v>
      </c>
      <c r="AB391" s="8">
        <v>1</v>
      </c>
      <c r="AC391" s="8">
        <v>3</v>
      </c>
      <c r="AD391" s="8">
        <v>4</v>
      </c>
      <c r="AE391" s="7" t="s">
        <v>45</v>
      </c>
      <c r="AG391">
        <f t="shared" ca="1" si="18"/>
        <v>3</v>
      </c>
      <c r="AH391" s="23" t="str" cm="1">
        <f t="array" ref="AH391">_xlfn.IFS(E391&gt;49,"50+",E391&gt;39,"40-49",E391&gt;29,"30-39",E391&gt;19,"20-29")</f>
        <v>20-29</v>
      </c>
      <c r="AI391" s="24" t="str" cm="1">
        <f t="array" aca="1" ref="AI391" ca="1">_xlfn.IFS(AG391&gt;10,"10+",AG391&gt;4,"5-10 YIL",AG391&gt;2,"3-5 YIL",AG391&gt;0.9,"1-3 YIL",AG391&lt;1,"0-1 YIL")</f>
        <v>3-5 YIL</v>
      </c>
      <c r="AJ391">
        <f t="shared" si="19"/>
        <v>2023</v>
      </c>
      <c r="AK391" t="e">
        <f t="shared" si="20"/>
        <v>#VALUE!</v>
      </c>
    </row>
    <row r="392" spans="1:37" x14ac:dyDescent="0.3">
      <c r="A392" s="2" t="s">
        <v>743</v>
      </c>
      <c r="B392" s="3" t="s">
        <v>744</v>
      </c>
      <c r="C392" s="2" t="s">
        <v>33</v>
      </c>
      <c r="D392" s="13">
        <v>31131</v>
      </c>
      <c r="E392" s="4">
        <v>41</v>
      </c>
      <c r="F392" s="2" t="s">
        <v>49</v>
      </c>
      <c r="G392" s="4">
        <v>2</v>
      </c>
      <c r="H392" s="2" t="s">
        <v>184</v>
      </c>
      <c r="I392" s="3" t="s">
        <v>139</v>
      </c>
      <c r="J392" s="3" t="s">
        <v>140</v>
      </c>
      <c r="K392" s="2" t="s">
        <v>79</v>
      </c>
      <c r="L392" s="2" t="s">
        <v>63</v>
      </c>
      <c r="M392" s="3" t="s">
        <v>80</v>
      </c>
      <c r="N392" s="2" t="s">
        <v>41</v>
      </c>
      <c r="O392" s="13">
        <v>40833</v>
      </c>
      <c r="P392" s="2" t="s">
        <v>44</v>
      </c>
      <c r="Q392" s="3" t="s">
        <v>44</v>
      </c>
      <c r="R392" s="2" t="s">
        <v>44</v>
      </c>
      <c r="S392" s="2" t="s">
        <v>56</v>
      </c>
      <c r="T392" s="5">
        <v>132500</v>
      </c>
      <c r="U392" s="5">
        <v>0</v>
      </c>
      <c r="V392" s="4">
        <v>9</v>
      </c>
      <c r="W392" s="4">
        <v>29</v>
      </c>
      <c r="X392" s="2" t="s">
        <v>57</v>
      </c>
      <c r="Y392" s="4">
        <v>1</v>
      </c>
      <c r="Z392" s="4">
        <v>2</v>
      </c>
      <c r="AA392" s="4">
        <v>0</v>
      </c>
      <c r="AB392" s="4">
        <v>0</v>
      </c>
      <c r="AC392" s="4">
        <v>3</v>
      </c>
      <c r="AD392" s="4">
        <v>10</v>
      </c>
      <c r="AE392" s="3" t="s">
        <v>45</v>
      </c>
      <c r="AG392">
        <f t="shared" ca="1" si="18"/>
        <v>14</v>
      </c>
      <c r="AH392" s="23" t="str" cm="1">
        <f t="array" ref="AH392">_xlfn.IFS(E392&gt;49,"50+",E392&gt;39,"40-49",E392&gt;29,"30-39",E392&gt;19,"20-29")</f>
        <v>40-49</v>
      </c>
      <c r="AI392" s="24" t="str" cm="1">
        <f t="array" aca="1" ref="AI392" ca="1">_xlfn.IFS(AG392&gt;10,"10+",AG392&gt;4,"5-10 YIL",AG392&gt;2,"3-5 YIL",AG392&gt;0.9,"1-3 YIL",AG392&lt;1,"0-1 YIL")</f>
        <v>10+</v>
      </c>
      <c r="AJ392">
        <f t="shared" si="19"/>
        <v>2011</v>
      </c>
      <c r="AK392" t="e">
        <f t="shared" si="20"/>
        <v>#VALUE!</v>
      </c>
    </row>
    <row r="393" spans="1:37" x14ac:dyDescent="0.3">
      <c r="A393" s="6" t="s">
        <v>745</v>
      </c>
      <c r="B393" s="7" t="s">
        <v>118</v>
      </c>
      <c r="C393" s="6" t="s">
        <v>33</v>
      </c>
      <c r="D393" s="14">
        <v>31521</v>
      </c>
      <c r="E393" s="8">
        <v>40</v>
      </c>
      <c r="F393" s="6" t="s">
        <v>34</v>
      </c>
      <c r="G393" s="8">
        <v>0</v>
      </c>
      <c r="H393" s="6" t="s">
        <v>35</v>
      </c>
      <c r="I393" s="7" t="s">
        <v>139</v>
      </c>
      <c r="J393" s="7" t="s">
        <v>161</v>
      </c>
      <c r="K393" s="6" t="s">
        <v>51</v>
      </c>
      <c r="L393" s="6" t="s">
        <v>63</v>
      </c>
      <c r="M393" s="7" t="s">
        <v>162</v>
      </c>
      <c r="N393" s="6" t="s">
        <v>52</v>
      </c>
      <c r="O393" s="14">
        <v>41803</v>
      </c>
      <c r="P393" s="6" t="s">
        <v>44</v>
      </c>
      <c r="Q393" s="7" t="s">
        <v>44</v>
      </c>
      <c r="R393" s="6" t="s">
        <v>44</v>
      </c>
      <c r="S393" s="6" t="s">
        <v>56</v>
      </c>
      <c r="T393" s="9">
        <v>80400</v>
      </c>
      <c r="U393" s="9">
        <v>0</v>
      </c>
      <c r="V393" s="8">
        <v>5</v>
      </c>
      <c r="W393" s="8">
        <v>30</v>
      </c>
      <c r="X393" s="6" t="s">
        <v>44</v>
      </c>
      <c r="Y393" s="8">
        <v>0</v>
      </c>
      <c r="Z393" s="8">
        <v>8</v>
      </c>
      <c r="AA393" s="8">
        <v>0</v>
      </c>
      <c r="AB393" s="8">
        <v>0</v>
      </c>
      <c r="AC393" s="8">
        <v>3</v>
      </c>
      <c r="AD393" s="8">
        <v>11</v>
      </c>
      <c r="AE393" s="7" t="s">
        <v>73</v>
      </c>
      <c r="AG393">
        <f t="shared" ca="1" si="18"/>
        <v>12</v>
      </c>
      <c r="AH393" s="23" t="str" cm="1">
        <f t="array" ref="AH393">_xlfn.IFS(E393&gt;49,"50+",E393&gt;39,"40-49",E393&gt;29,"30-39",E393&gt;19,"20-29")</f>
        <v>40-49</v>
      </c>
      <c r="AI393" s="24" t="str" cm="1">
        <f t="array" aca="1" ref="AI393" ca="1">_xlfn.IFS(AG393&gt;10,"10+",AG393&gt;4,"5-10 YIL",AG393&gt;2,"3-5 YIL",AG393&gt;0.9,"1-3 YIL",AG393&lt;1,"0-1 YIL")</f>
        <v>10+</v>
      </c>
      <c r="AJ393">
        <f t="shared" si="19"/>
        <v>2014</v>
      </c>
      <c r="AK393" t="e">
        <f t="shared" si="20"/>
        <v>#VALUE!</v>
      </c>
    </row>
    <row r="394" spans="1:37" x14ac:dyDescent="0.3">
      <c r="A394" s="2" t="s">
        <v>746</v>
      </c>
      <c r="B394" s="3" t="s">
        <v>433</v>
      </c>
      <c r="C394" s="2" t="s">
        <v>33</v>
      </c>
      <c r="D394" s="13">
        <v>31005</v>
      </c>
      <c r="E394" s="4">
        <v>42</v>
      </c>
      <c r="F394" s="2" t="s">
        <v>49</v>
      </c>
      <c r="G394" s="4">
        <v>1</v>
      </c>
      <c r="H394" s="2" t="s">
        <v>35</v>
      </c>
      <c r="I394" s="3" t="s">
        <v>36</v>
      </c>
      <c r="J394" s="3" t="s">
        <v>50</v>
      </c>
      <c r="K394" s="2" t="s">
        <v>51</v>
      </c>
      <c r="L394" s="2" t="s">
        <v>39</v>
      </c>
      <c r="M394" s="3" t="s">
        <v>40</v>
      </c>
      <c r="N394" s="2" t="s">
        <v>41</v>
      </c>
      <c r="O394" s="13">
        <v>42025</v>
      </c>
      <c r="P394" s="2" t="s">
        <v>44</v>
      </c>
      <c r="Q394" s="3" t="s">
        <v>44</v>
      </c>
      <c r="R394" s="2" t="s">
        <v>44</v>
      </c>
      <c r="S394" s="2" t="s">
        <v>56</v>
      </c>
      <c r="T394" s="5">
        <v>45500</v>
      </c>
      <c r="U394" s="5">
        <v>0</v>
      </c>
      <c r="V394" s="4">
        <v>44</v>
      </c>
      <c r="W394" s="4">
        <v>29</v>
      </c>
      <c r="X394" s="2" t="s">
        <v>57</v>
      </c>
      <c r="Y394" s="4">
        <v>1</v>
      </c>
      <c r="Z394" s="4">
        <v>10</v>
      </c>
      <c r="AA394" s="4">
        <v>0</v>
      </c>
      <c r="AB394" s="4">
        <v>0</v>
      </c>
      <c r="AC394" s="4">
        <v>3</v>
      </c>
      <c r="AD394" s="4">
        <v>3</v>
      </c>
      <c r="AE394" s="3" t="s">
        <v>58</v>
      </c>
      <c r="AG394">
        <f t="shared" ca="1" si="18"/>
        <v>11</v>
      </c>
      <c r="AH394" s="23" t="str" cm="1">
        <f t="array" ref="AH394">_xlfn.IFS(E394&gt;49,"50+",E394&gt;39,"40-49",E394&gt;29,"30-39",E394&gt;19,"20-29")</f>
        <v>40-49</v>
      </c>
      <c r="AI394" s="24" t="str" cm="1">
        <f t="array" aca="1" ref="AI394" ca="1">_xlfn.IFS(AG394&gt;10,"10+",AG394&gt;4,"5-10 YIL",AG394&gt;2,"3-5 YIL",AG394&gt;0.9,"1-3 YIL",AG394&lt;1,"0-1 YIL")</f>
        <v>10+</v>
      </c>
      <c r="AJ394">
        <f t="shared" si="19"/>
        <v>2015</v>
      </c>
      <c r="AK394" t="e">
        <f t="shared" si="20"/>
        <v>#VALUE!</v>
      </c>
    </row>
    <row r="395" spans="1:37" x14ac:dyDescent="0.3">
      <c r="A395" s="6" t="s">
        <v>747</v>
      </c>
      <c r="B395" s="7" t="s">
        <v>748</v>
      </c>
      <c r="C395" s="6" t="s">
        <v>48</v>
      </c>
      <c r="D395" s="14">
        <v>29668</v>
      </c>
      <c r="E395" s="8">
        <v>45</v>
      </c>
      <c r="F395" s="6" t="s">
        <v>49</v>
      </c>
      <c r="G395" s="8">
        <v>0</v>
      </c>
      <c r="H395" s="6" t="s">
        <v>85</v>
      </c>
      <c r="I395" s="7" t="s">
        <v>70</v>
      </c>
      <c r="J395" s="7" t="s">
        <v>71</v>
      </c>
      <c r="K395" s="6" t="s">
        <v>51</v>
      </c>
      <c r="L395" s="6" t="s">
        <v>63</v>
      </c>
      <c r="M395" s="7" t="s">
        <v>72</v>
      </c>
      <c r="N395" s="6" t="s">
        <v>41</v>
      </c>
      <c r="O395" s="14">
        <v>42403</v>
      </c>
      <c r="P395" s="6" t="s">
        <v>44</v>
      </c>
      <c r="Q395" s="7" t="s">
        <v>44</v>
      </c>
      <c r="R395" s="6" t="s">
        <v>44</v>
      </c>
      <c r="S395" s="6" t="s">
        <v>56</v>
      </c>
      <c r="T395" s="9">
        <v>58400</v>
      </c>
      <c r="U395" s="9">
        <v>0</v>
      </c>
      <c r="V395" s="8">
        <v>4</v>
      </c>
      <c r="W395" s="8">
        <v>30</v>
      </c>
      <c r="X395" s="6" t="s">
        <v>44</v>
      </c>
      <c r="Y395" s="8">
        <v>0</v>
      </c>
      <c r="Z395" s="8">
        <v>8</v>
      </c>
      <c r="AA395" s="8">
        <v>0</v>
      </c>
      <c r="AB395" s="8">
        <v>0</v>
      </c>
      <c r="AC395" s="8">
        <v>1</v>
      </c>
      <c r="AD395" s="8">
        <v>11</v>
      </c>
      <c r="AE395" s="7" t="s">
        <v>45</v>
      </c>
      <c r="AG395">
        <f t="shared" ca="1" si="18"/>
        <v>10</v>
      </c>
      <c r="AH395" s="23" t="str" cm="1">
        <f t="array" ref="AH395">_xlfn.IFS(E395&gt;49,"50+",E395&gt;39,"40-49",E395&gt;29,"30-39",E395&gt;19,"20-29")</f>
        <v>40-49</v>
      </c>
      <c r="AI395" s="24" t="str" cm="1">
        <f t="array" aca="1" ref="AI395" ca="1">_xlfn.IFS(AG395&gt;10,"10+",AG395&gt;4,"5-10 YIL",AG395&gt;2,"3-5 YIL",AG395&gt;0.9,"1-3 YIL",AG395&lt;1,"0-1 YIL")</f>
        <v>5-10 YIL</v>
      </c>
      <c r="AJ395">
        <f t="shared" si="19"/>
        <v>2016</v>
      </c>
      <c r="AK395" t="e">
        <f t="shared" si="20"/>
        <v>#VALUE!</v>
      </c>
    </row>
    <row r="396" spans="1:37" x14ac:dyDescent="0.3">
      <c r="A396" s="2" t="s">
        <v>749</v>
      </c>
      <c r="B396" s="3" t="s">
        <v>750</v>
      </c>
      <c r="C396" s="2" t="s">
        <v>33</v>
      </c>
      <c r="D396" s="13">
        <v>36816</v>
      </c>
      <c r="E396" s="4">
        <v>26</v>
      </c>
      <c r="F396" s="2" t="s">
        <v>34</v>
      </c>
      <c r="G396" s="4">
        <v>0</v>
      </c>
      <c r="H396" s="2" t="s">
        <v>35</v>
      </c>
      <c r="I396" s="3" t="s">
        <v>148</v>
      </c>
      <c r="J396" s="3" t="s">
        <v>252</v>
      </c>
      <c r="K396" s="2" t="s">
        <v>38</v>
      </c>
      <c r="L396" s="2" t="s">
        <v>63</v>
      </c>
      <c r="M396" s="3" t="s">
        <v>150</v>
      </c>
      <c r="N396" s="2" t="s">
        <v>41</v>
      </c>
      <c r="O396" s="13">
        <v>45609</v>
      </c>
      <c r="P396" s="2" t="s">
        <v>44</v>
      </c>
      <c r="Q396" s="3" t="s">
        <v>44</v>
      </c>
      <c r="R396" s="2" t="s">
        <v>44</v>
      </c>
      <c r="S396" s="2" t="s">
        <v>56</v>
      </c>
      <c r="T396" s="5">
        <v>33300</v>
      </c>
      <c r="U396" s="5">
        <v>0</v>
      </c>
      <c r="V396" s="4">
        <v>5</v>
      </c>
      <c r="W396" s="4">
        <v>29</v>
      </c>
      <c r="X396" s="2" t="s">
        <v>81</v>
      </c>
      <c r="Y396" s="4">
        <v>0</v>
      </c>
      <c r="Z396" s="4">
        <v>4</v>
      </c>
      <c r="AA396" s="4">
        <v>1</v>
      </c>
      <c r="AB396" s="4">
        <v>0</v>
      </c>
      <c r="AC396" s="4">
        <v>3</v>
      </c>
      <c r="AD396" s="4">
        <v>6</v>
      </c>
      <c r="AE396" s="3" t="s">
        <v>82</v>
      </c>
      <c r="AG396">
        <f t="shared" ca="1" si="18"/>
        <v>1</v>
      </c>
      <c r="AH396" s="23" t="str" cm="1">
        <f t="array" ref="AH396">_xlfn.IFS(E396&gt;49,"50+",E396&gt;39,"40-49",E396&gt;29,"30-39",E396&gt;19,"20-29")</f>
        <v>20-29</v>
      </c>
      <c r="AI396" s="24" t="str" cm="1">
        <f t="array" aca="1" ref="AI396" ca="1">_xlfn.IFS(AG396&gt;10,"10+",AG396&gt;4,"5-10 YIL",AG396&gt;2,"3-5 YIL",AG396&gt;0.9,"1-3 YIL",AG396&lt;1,"0-1 YIL")</f>
        <v>1-3 YIL</v>
      </c>
      <c r="AJ396">
        <f t="shared" si="19"/>
        <v>2024</v>
      </c>
      <c r="AK396" t="e">
        <f t="shared" si="20"/>
        <v>#VALUE!</v>
      </c>
    </row>
    <row r="397" spans="1:37" x14ac:dyDescent="0.3">
      <c r="A397" s="6" t="s">
        <v>751</v>
      </c>
      <c r="B397" s="7" t="s">
        <v>748</v>
      </c>
      <c r="C397" s="6" t="s">
        <v>48</v>
      </c>
      <c r="D397" s="14">
        <v>29337</v>
      </c>
      <c r="E397" s="8">
        <v>46</v>
      </c>
      <c r="F397" s="6" t="s">
        <v>49</v>
      </c>
      <c r="G397" s="8">
        <v>2</v>
      </c>
      <c r="H397" s="6" t="s">
        <v>85</v>
      </c>
      <c r="I397" s="7" t="s">
        <v>70</v>
      </c>
      <c r="J397" s="7" t="s">
        <v>129</v>
      </c>
      <c r="K397" s="6" t="s">
        <v>79</v>
      </c>
      <c r="L397" s="6" t="s">
        <v>63</v>
      </c>
      <c r="M397" s="7" t="s">
        <v>80</v>
      </c>
      <c r="N397" s="6" t="s">
        <v>52</v>
      </c>
      <c r="O397" s="14">
        <v>44236</v>
      </c>
      <c r="P397" s="6" t="s">
        <v>44</v>
      </c>
      <c r="Q397" s="7" t="s">
        <v>44</v>
      </c>
      <c r="R397" s="6" t="s">
        <v>44</v>
      </c>
      <c r="S397" s="6" t="s">
        <v>56</v>
      </c>
      <c r="T397" s="9">
        <v>126000</v>
      </c>
      <c r="U397" s="9">
        <v>15500</v>
      </c>
      <c r="V397" s="8">
        <v>5</v>
      </c>
      <c r="W397" s="8">
        <v>30</v>
      </c>
      <c r="X397" s="6" t="s">
        <v>44</v>
      </c>
      <c r="Y397" s="8">
        <v>0</v>
      </c>
      <c r="Z397" s="8">
        <v>14</v>
      </c>
      <c r="AA397" s="8">
        <v>0</v>
      </c>
      <c r="AB397" s="8">
        <v>0</v>
      </c>
      <c r="AC397" s="8">
        <v>3</v>
      </c>
      <c r="AD397" s="8">
        <v>4</v>
      </c>
      <c r="AE397" s="7" t="s">
        <v>58</v>
      </c>
      <c r="AG397">
        <f t="shared" ca="1" si="18"/>
        <v>5</v>
      </c>
      <c r="AH397" s="23" t="str" cm="1">
        <f t="array" ref="AH397">_xlfn.IFS(E397&gt;49,"50+",E397&gt;39,"40-49",E397&gt;29,"30-39",E397&gt;19,"20-29")</f>
        <v>40-49</v>
      </c>
      <c r="AI397" s="24" t="str" cm="1">
        <f t="array" aca="1" ref="AI397" ca="1">_xlfn.IFS(AG397&gt;10,"10+",AG397&gt;4,"5-10 YIL",AG397&gt;2,"3-5 YIL",AG397&gt;0.9,"1-3 YIL",AG397&lt;1,"0-1 YIL")</f>
        <v>5-10 YIL</v>
      </c>
      <c r="AJ397">
        <f t="shared" si="19"/>
        <v>2021</v>
      </c>
      <c r="AK397" t="e">
        <f t="shared" si="20"/>
        <v>#VALUE!</v>
      </c>
    </row>
    <row r="398" spans="1:37" x14ac:dyDescent="0.3">
      <c r="A398" s="2" t="s">
        <v>752</v>
      </c>
      <c r="B398" s="3" t="s">
        <v>708</v>
      </c>
      <c r="C398" s="2" t="s">
        <v>48</v>
      </c>
      <c r="D398" s="13">
        <v>35577</v>
      </c>
      <c r="E398" s="4">
        <v>29</v>
      </c>
      <c r="F398" s="2" t="s">
        <v>49</v>
      </c>
      <c r="G398" s="4">
        <v>0</v>
      </c>
      <c r="H398" s="2" t="s">
        <v>35</v>
      </c>
      <c r="I398" s="3" t="s">
        <v>36</v>
      </c>
      <c r="J398" s="3" t="s">
        <v>37</v>
      </c>
      <c r="K398" s="2" t="s">
        <v>38</v>
      </c>
      <c r="L398" s="2" t="s">
        <v>39</v>
      </c>
      <c r="M398" s="3" t="s">
        <v>40</v>
      </c>
      <c r="N398" s="2" t="s">
        <v>41</v>
      </c>
      <c r="O398" s="13">
        <v>45010</v>
      </c>
      <c r="P398" s="2" t="s">
        <v>44</v>
      </c>
      <c r="Q398" s="3" t="s">
        <v>44</v>
      </c>
      <c r="R398" s="2" t="s">
        <v>44</v>
      </c>
      <c r="S398" s="2" t="s">
        <v>56</v>
      </c>
      <c r="T398" s="5">
        <v>24000</v>
      </c>
      <c r="U398" s="5">
        <v>0</v>
      </c>
      <c r="V398" s="4">
        <v>44</v>
      </c>
      <c r="W398" s="4">
        <v>29</v>
      </c>
      <c r="X398" s="2" t="s">
        <v>57</v>
      </c>
      <c r="Y398" s="4">
        <v>1</v>
      </c>
      <c r="Z398" s="4">
        <v>7</v>
      </c>
      <c r="AA398" s="4">
        <v>0</v>
      </c>
      <c r="AB398" s="4">
        <v>0</v>
      </c>
      <c r="AC398" s="4">
        <v>3</v>
      </c>
      <c r="AD398" s="4">
        <v>16</v>
      </c>
      <c r="AE398" s="3" t="s">
        <v>58</v>
      </c>
      <c r="AG398">
        <f t="shared" ca="1" si="18"/>
        <v>3</v>
      </c>
      <c r="AH398" s="23" t="str" cm="1">
        <f t="array" ref="AH398">_xlfn.IFS(E398&gt;49,"50+",E398&gt;39,"40-49",E398&gt;29,"30-39",E398&gt;19,"20-29")</f>
        <v>20-29</v>
      </c>
      <c r="AI398" s="24" t="str" cm="1">
        <f t="array" aca="1" ref="AI398" ca="1">_xlfn.IFS(AG398&gt;10,"10+",AG398&gt;4,"5-10 YIL",AG398&gt;2,"3-5 YIL",AG398&gt;0.9,"1-3 YIL",AG398&lt;1,"0-1 YIL")</f>
        <v>3-5 YIL</v>
      </c>
      <c r="AJ398">
        <f t="shared" si="19"/>
        <v>2023</v>
      </c>
      <c r="AK398" t="e">
        <f t="shared" si="20"/>
        <v>#VALUE!</v>
      </c>
    </row>
    <row r="399" spans="1:37" x14ac:dyDescent="0.3">
      <c r="A399" s="6" t="s">
        <v>753</v>
      </c>
      <c r="B399" s="7" t="s">
        <v>754</v>
      </c>
      <c r="C399" s="6" t="s">
        <v>33</v>
      </c>
      <c r="D399" s="14">
        <v>36917</v>
      </c>
      <c r="E399" s="8">
        <v>25</v>
      </c>
      <c r="F399" s="6" t="s">
        <v>34</v>
      </c>
      <c r="G399" s="8">
        <v>0</v>
      </c>
      <c r="H399" s="6" t="s">
        <v>35</v>
      </c>
      <c r="I399" s="7" t="s">
        <v>70</v>
      </c>
      <c r="J399" s="7" t="s">
        <v>92</v>
      </c>
      <c r="K399" s="6" t="s">
        <v>38</v>
      </c>
      <c r="L399" s="6" t="s">
        <v>63</v>
      </c>
      <c r="M399" s="7" t="s">
        <v>72</v>
      </c>
      <c r="N399" s="6" t="s">
        <v>52</v>
      </c>
      <c r="O399" s="14">
        <v>44775</v>
      </c>
      <c r="P399" s="6" t="s">
        <v>44</v>
      </c>
      <c r="Q399" s="7" t="s">
        <v>44</v>
      </c>
      <c r="R399" s="6" t="s">
        <v>44</v>
      </c>
      <c r="S399" s="6" t="s">
        <v>56</v>
      </c>
      <c r="T399" s="9">
        <v>40100</v>
      </c>
      <c r="U399" s="9">
        <v>0</v>
      </c>
      <c r="V399" s="8">
        <v>7</v>
      </c>
      <c r="W399" s="8">
        <v>30</v>
      </c>
      <c r="X399" s="6" t="s">
        <v>44</v>
      </c>
      <c r="Y399" s="8">
        <v>0</v>
      </c>
      <c r="Z399" s="8">
        <v>11</v>
      </c>
      <c r="AA399" s="8">
        <v>0</v>
      </c>
      <c r="AB399" s="8">
        <v>0</v>
      </c>
      <c r="AC399" s="8">
        <v>1</v>
      </c>
      <c r="AD399" s="8">
        <v>13</v>
      </c>
      <c r="AE399" s="7" t="s">
        <v>45</v>
      </c>
      <c r="AG399">
        <f t="shared" ca="1" si="18"/>
        <v>3</v>
      </c>
      <c r="AH399" s="23" t="str" cm="1">
        <f t="array" ref="AH399">_xlfn.IFS(E399&gt;49,"50+",E399&gt;39,"40-49",E399&gt;29,"30-39",E399&gt;19,"20-29")</f>
        <v>20-29</v>
      </c>
      <c r="AI399" s="24" t="str" cm="1">
        <f t="array" aca="1" ref="AI399" ca="1">_xlfn.IFS(AG399&gt;10,"10+",AG399&gt;4,"5-10 YIL",AG399&gt;2,"3-5 YIL",AG399&gt;0.9,"1-3 YIL",AG399&lt;1,"0-1 YIL")</f>
        <v>3-5 YIL</v>
      </c>
      <c r="AJ399">
        <f t="shared" si="19"/>
        <v>2022</v>
      </c>
      <c r="AK399" t="e">
        <f t="shared" si="20"/>
        <v>#VALUE!</v>
      </c>
    </row>
    <row r="400" spans="1:37" x14ac:dyDescent="0.3">
      <c r="A400" s="2" t="s">
        <v>755</v>
      </c>
      <c r="B400" s="3" t="s">
        <v>677</v>
      </c>
      <c r="C400" s="2" t="s">
        <v>48</v>
      </c>
      <c r="D400" s="13">
        <v>36632</v>
      </c>
      <c r="E400" s="4">
        <v>26</v>
      </c>
      <c r="F400" s="2" t="s">
        <v>49</v>
      </c>
      <c r="G400" s="4">
        <v>2</v>
      </c>
      <c r="H400" s="2" t="s">
        <v>88</v>
      </c>
      <c r="I400" s="3" t="s">
        <v>36</v>
      </c>
      <c r="J400" s="3" t="s">
        <v>37</v>
      </c>
      <c r="K400" s="2" t="s">
        <v>38</v>
      </c>
      <c r="L400" s="2" t="s">
        <v>39</v>
      </c>
      <c r="M400" s="3" t="s">
        <v>40</v>
      </c>
      <c r="N400" s="2" t="s">
        <v>95</v>
      </c>
      <c r="O400" s="13">
        <v>45844</v>
      </c>
      <c r="P400" s="2" t="s">
        <v>44</v>
      </c>
      <c r="Q400" s="3" t="s">
        <v>44</v>
      </c>
      <c r="R400" s="2" t="s">
        <v>44</v>
      </c>
      <c r="S400" s="2" t="s">
        <v>56</v>
      </c>
      <c r="T400" s="5">
        <v>25700</v>
      </c>
      <c r="U400" s="5">
        <v>0</v>
      </c>
      <c r="V400" s="4">
        <v>42</v>
      </c>
      <c r="W400" s="4">
        <v>30</v>
      </c>
      <c r="X400" s="2" t="s">
        <v>44</v>
      </c>
      <c r="Y400" s="4">
        <v>0</v>
      </c>
      <c r="Z400" s="4">
        <v>0</v>
      </c>
      <c r="AA400" s="4">
        <v>0</v>
      </c>
      <c r="AB400" s="4">
        <v>0</v>
      </c>
      <c r="AC400" s="4">
        <v>3</v>
      </c>
      <c r="AD400" s="4">
        <v>7</v>
      </c>
      <c r="AE400" s="3" t="s">
        <v>58</v>
      </c>
      <c r="AG400">
        <f t="shared" ca="1" si="18"/>
        <v>0</v>
      </c>
      <c r="AH400" s="23" t="str" cm="1">
        <f t="array" ref="AH400">_xlfn.IFS(E400&gt;49,"50+",E400&gt;39,"40-49",E400&gt;29,"30-39",E400&gt;19,"20-29")</f>
        <v>20-29</v>
      </c>
      <c r="AI400" s="24" t="str" cm="1">
        <f t="array" aca="1" ref="AI400" ca="1">_xlfn.IFS(AG400&gt;10,"10+",AG400&gt;4,"5-10 YIL",AG400&gt;2,"3-5 YIL",AG400&gt;0.9,"1-3 YIL",AG400&lt;1,"0-1 YIL")</f>
        <v>0-1 YIL</v>
      </c>
      <c r="AJ400">
        <f t="shared" si="19"/>
        <v>2025</v>
      </c>
      <c r="AK400" t="e">
        <f t="shared" si="20"/>
        <v>#VALUE!</v>
      </c>
    </row>
    <row r="401" spans="1:37" x14ac:dyDescent="0.3">
      <c r="A401" s="6" t="s">
        <v>756</v>
      </c>
      <c r="B401" s="7" t="s">
        <v>757</v>
      </c>
      <c r="C401" s="6" t="s">
        <v>48</v>
      </c>
      <c r="D401" s="14">
        <v>36872</v>
      </c>
      <c r="E401" s="8">
        <v>26</v>
      </c>
      <c r="F401" s="6" t="s">
        <v>49</v>
      </c>
      <c r="G401" s="8">
        <v>0</v>
      </c>
      <c r="H401" s="6" t="s">
        <v>35</v>
      </c>
      <c r="I401" s="7" t="s">
        <v>61</v>
      </c>
      <c r="J401" s="7" t="s">
        <v>62</v>
      </c>
      <c r="K401" s="6" t="s">
        <v>38</v>
      </c>
      <c r="L401" s="6" t="s">
        <v>63</v>
      </c>
      <c r="M401" s="7" t="s">
        <v>64</v>
      </c>
      <c r="N401" s="6" t="s">
        <v>52</v>
      </c>
      <c r="O401" s="14">
        <v>45819</v>
      </c>
      <c r="P401" s="14">
        <v>46026</v>
      </c>
      <c r="Q401" s="7" t="s">
        <v>42</v>
      </c>
      <c r="R401" s="6">
        <v>3</v>
      </c>
      <c r="S401" s="6" t="s">
        <v>43</v>
      </c>
      <c r="T401" s="9">
        <v>35400</v>
      </c>
      <c r="U401" s="9">
        <v>5800</v>
      </c>
      <c r="V401" s="8">
        <v>4</v>
      </c>
      <c r="W401" s="8">
        <v>30</v>
      </c>
      <c r="X401" s="6" t="s">
        <v>44</v>
      </c>
      <c r="Y401" s="8">
        <v>0</v>
      </c>
      <c r="Z401" s="8">
        <v>0</v>
      </c>
      <c r="AA401" s="8">
        <v>0</v>
      </c>
      <c r="AB401" s="8">
        <v>0</v>
      </c>
      <c r="AC401" s="8">
        <v>2</v>
      </c>
      <c r="AD401" s="8">
        <v>17</v>
      </c>
      <c r="AE401" s="7" t="s">
        <v>58</v>
      </c>
      <c r="AG401">
        <f t="shared" ca="1" si="18"/>
        <v>1</v>
      </c>
      <c r="AH401" s="23" t="str" cm="1">
        <f t="array" ref="AH401">_xlfn.IFS(E401&gt;49,"50+",E401&gt;39,"40-49",E401&gt;29,"30-39",E401&gt;19,"20-29")</f>
        <v>20-29</v>
      </c>
      <c r="AI401" s="24" t="str" cm="1">
        <f t="array" aca="1" ref="AI401" ca="1">_xlfn.IFS(AG401&gt;10,"10+",AG401&gt;4,"5-10 YIL",AG401&gt;2,"3-5 YIL",AG401&gt;0.9,"1-3 YIL",AG401&lt;1,"0-1 YIL")</f>
        <v>1-3 YIL</v>
      </c>
      <c r="AJ401">
        <f t="shared" si="19"/>
        <v>2025</v>
      </c>
      <c r="AK401">
        <f t="shared" si="20"/>
        <v>2026</v>
      </c>
    </row>
    <row r="402" spans="1:37" x14ac:dyDescent="0.3">
      <c r="A402" s="2" t="s">
        <v>758</v>
      </c>
      <c r="B402" s="3" t="s">
        <v>759</v>
      </c>
      <c r="C402" s="2" t="s">
        <v>48</v>
      </c>
      <c r="D402" s="13">
        <v>31983</v>
      </c>
      <c r="E402" s="4">
        <v>39</v>
      </c>
      <c r="F402" s="2" t="s">
        <v>49</v>
      </c>
      <c r="G402" s="4">
        <v>0</v>
      </c>
      <c r="H402" s="2" t="s">
        <v>35</v>
      </c>
      <c r="I402" s="3" t="s">
        <v>36</v>
      </c>
      <c r="J402" s="3" t="s">
        <v>50</v>
      </c>
      <c r="K402" s="2" t="s">
        <v>51</v>
      </c>
      <c r="L402" s="2" t="s">
        <v>39</v>
      </c>
      <c r="M402" s="3" t="s">
        <v>40</v>
      </c>
      <c r="N402" s="2" t="s">
        <v>41</v>
      </c>
      <c r="O402" s="13">
        <v>43703</v>
      </c>
      <c r="P402" s="2" t="s">
        <v>44</v>
      </c>
      <c r="Q402" s="3" t="s">
        <v>44</v>
      </c>
      <c r="R402" s="2" t="s">
        <v>44</v>
      </c>
      <c r="S402" s="2" t="s">
        <v>56</v>
      </c>
      <c r="T402" s="5">
        <v>41500</v>
      </c>
      <c r="U402" s="5">
        <v>0</v>
      </c>
      <c r="V402" s="4">
        <v>39</v>
      </c>
      <c r="W402" s="4">
        <v>30</v>
      </c>
      <c r="X402" s="2" t="s">
        <v>44</v>
      </c>
      <c r="Y402" s="4">
        <v>0</v>
      </c>
      <c r="Z402" s="4">
        <v>7</v>
      </c>
      <c r="AA402" s="4">
        <v>0</v>
      </c>
      <c r="AB402" s="4">
        <v>0</v>
      </c>
      <c r="AC402" s="4">
        <v>4</v>
      </c>
      <c r="AD402" s="4">
        <v>18</v>
      </c>
      <c r="AE402" s="3" t="s">
        <v>45</v>
      </c>
      <c r="AG402">
        <f t="shared" ca="1" si="18"/>
        <v>6</v>
      </c>
      <c r="AH402" s="23" t="str" cm="1">
        <f t="array" ref="AH402">_xlfn.IFS(E402&gt;49,"50+",E402&gt;39,"40-49",E402&gt;29,"30-39",E402&gt;19,"20-29")</f>
        <v>30-39</v>
      </c>
      <c r="AI402" s="24" t="str" cm="1">
        <f t="array" aca="1" ref="AI402" ca="1">_xlfn.IFS(AG402&gt;10,"10+",AG402&gt;4,"5-10 YIL",AG402&gt;2,"3-5 YIL",AG402&gt;0.9,"1-3 YIL",AG402&lt;1,"0-1 YIL")</f>
        <v>5-10 YIL</v>
      </c>
      <c r="AJ402">
        <f t="shared" si="19"/>
        <v>2019</v>
      </c>
      <c r="AK402" t="e">
        <f t="shared" si="20"/>
        <v>#VALUE!</v>
      </c>
    </row>
    <row r="403" spans="1:37" x14ac:dyDescent="0.3">
      <c r="A403" s="6" t="s">
        <v>760</v>
      </c>
      <c r="B403" s="7" t="s">
        <v>761</v>
      </c>
      <c r="C403" s="6" t="s">
        <v>33</v>
      </c>
      <c r="D403" s="14">
        <v>36810</v>
      </c>
      <c r="E403" s="8">
        <v>26</v>
      </c>
      <c r="F403" s="6" t="s">
        <v>49</v>
      </c>
      <c r="G403" s="8">
        <v>1</v>
      </c>
      <c r="H403" s="6" t="s">
        <v>35</v>
      </c>
      <c r="I403" s="7" t="s">
        <v>36</v>
      </c>
      <c r="J403" s="7" t="s">
        <v>37</v>
      </c>
      <c r="K403" s="6" t="s">
        <v>38</v>
      </c>
      <c r="L403" s="6" t="s">
        <v>39</v>
      </c>
      <c r="M403" s="7" t="s">
        <v>40</v>
      </c>
      <c r="N403" s="6" t="s">
        <v>41</v>
      </c>
      <c r="O403" s="14">
        <v>45870</v>
      </c>
      <c r="P403" s="14">
        <v>46146</v>
      </c>
      <c r="Q403" s="7" t="s">
        <v>53</v>
      </c>
      <c r="R403" s="6">
        <v>4</v>
      </c>
      <c r="S403" s="6" t="s">
        <v>43</v>
      </c>
      <c r="T403" s="9">
        <v>28100</v>
      </c>
      <c r="U403" s="9">
        <v>0</v>
      </c>
      <c r="V403" s="8">
        <v>15</v>
      </c>
      <c r="W403" s="8">
        <v>30</v>
      </c>
      <c r="X403" s="6" t="s">
        <v>44</v>
      </c>
      <c r="Y403" s="8">
        <v>0</v>
      </c>
      <c r="Z403" s="8">
        <v>0</v>
      </c>
      <c r="AA403" s="8">
        <v>0</v>
      </c>
      <c r="AB403" s="8">
        <v>0</v>
      </c>
      <c r="AC403" s="8">
        <v>4</v>
      </c>
      <c r="AD403" s="8">
        <v>22</v>
      </c>
      <c r="AE403" s="7" t="s">
        <v>82</v>
      </c>
      <c r="AG403">
        <f t="shared" ca="1" si="18"/>
        <v>0</v>
      </c>
      <c r="AH403" s="23" t="str" cm="1">
        <f t="array" ref="AH403">_xlfn.IFS(E403&gt;49,"50+",E403&gt;39,"40-49",E403&gt;29,"30-39",E403&gt;19,"20-29")</f>
        <v>20-29</v>
      </c>
      <c r="AI403" s="24" t="str" cm="1">
        <f t="array" aca="1" ref="AI403" ca="1">_xlfn.IFS(AG403&gt;10,"10+",AG403&gt;4,"5-10 YIL",AG403&gt;2,"3-5 YIL",AG403&gt;0.9,"1-3 YIL",AG403&lt;1,"0-1 YIL")</f>
        <v>0-1 YIL</v>
      </c>
      <c r="AJ403">
        <f t="shared" si="19"/>
        <v>2025</v>
      </c>
      <c r="AK403">
        <f t="shared" si="20"/>
        <v>2026</v>
      </c>
    </row>
    <row r="404" spans="1:37" x14ac:dyDescent="0.3">
      <c r="A404" s="2" t="s">
        <v>762</v>
      </c>
      <c r="B404" s="3" t="s">
        <v>763</v>
      </c>
      <c r="C404" s="2" t="s">
        <v>48</v>
      </c>
      <c r="D404" s="13">
        <v>38224</v>
      </c>
      <c r="E404" s="4">
        <v>22</v>
      </c>
      <c r="F404" s="2" t="s">
        <v>34</v>
      </c>
      <c r="G404" s="4">
        <v>0</v>
      </c>
      <c r="H404" s="2" t="s">
        <v>35</v>
      </c>
      <c r="I404" s="3" t="s">
        <v>36</v>
      </c>
      <c r="J404" s="3" t="s">
        <v>37</v>
      </c>
      <c r="K404" s="2" t="s">
        <v>38</v>
      </c>
      <c r="L404" s="2" t="s">
        <v>39</v>
      </c>
      <c r="M404" s="3" t="s">
        <v>40</v>
      </c>
      <c r="N404" s="2" t="s">
        <v>89</v>
      </c>
      <c r="O404" s="13">
        <v>44999</v>
      </c>
      <c r="P404" s="2" t="s">
        <v>44</v>
      </c>
      <c r="Q404" s="3" t="s">
        <v>44</v>
      </c>
      <c r="R404" s="2" t="s">
        <v>44</v>
      </c>
      <c r="S404" s="2" t="s">
        <v>56</v>
      </c>
      <c r="T404" s="5">
        <v>26300</v>
      </c>
      <c r="U404" s="5">
        <v>0</v>
      </c>
      <c r="V404" s="4">
        <v>43</v>
      </c>
      <c r="W404" s="4">
        <v>28</v>
      </c>
      <c r="X404" s="2" t="s">
        <v>57</v>
      </c>
      <c r="Y404" s="4">
        <v>1</v>
      </c>
      <c r="Z404" s="4">
        <v>0</v>
      </c>
      <c r="AA404" s="4">
        <v>1</v>
      </c>
      <c r="AB404" s="4">
        <v>0</v>
      </c>
      <c r="AC404" s="4">
        <v>2</v>
      </c>
      <c r="AD404" s="4">
        <v>2</v>
      </c>
      <c r="AE404" s="3" t="s">
        <v>58</v>
      </c>
      <c r="AG404">
        <f t="shared" ca="1" si="18"/>
        <v>3</v>
      </c>
      <c r="AH404" s="23" t="str" cm="1">
        <f t="array" ref="AH404">_xlfn.IFS(E404&gt;49,"50+",E404&gt;39,"40-49",E404&gt;29,"30-39",E404&gt;19,"20-29")</f>
        <v>20-29</v>
      </c>
      <c r="AI404" s="24" t="str" cm="1">
        <f t="array" aca="1" ref="AI404" ca="1">_xlfn.IFS(AG404&gt;10,"10+",AG404&gt;4,"5-10 YIL",AG404&gt;2,"3-5 YIL",AG404&gt;0.9,"1-3 YIL",AG404&lt;1,"0-1 YIL")</f>
        <v>3-5 YIL</v>
      </c>
      <c r="AJ404">
        <f t="shared" si="19"/>
        <v>2023</v>
      </c>
      <c r="AK404" t="e">
        <f t="shared" si="20"/>
        <v>#VALUE!</v>
      </c>
    </row>
    <row r="405" spans="1:37" x14ac:dyDescent="0.3">
      <c r="A405" s="6" t="s">
        <v>764</v>
      </c>
      <c r="B405" s="7" t="s">
        <v>680</v>
      </c>
      <c r="C405" s="6" t="s">
        <v>48</v>
      </c>
      <c r="D405" s="14">
        <v>37487</v>
      </c>
      <c r="E405" s="8">
        <v>24</v>
      </c>
      <c r="F405" s="6" t="s">
        <v>49</v>
      </c>
      <c r="G405" s="8">
        <v>1</v>
      </c>
      <c r="H405" s="6" t="s">
        <v>35</v>
      </c>
      <c r="I405" s="7" t="s">
        <v>36</v>
      </c>
      <c r="J405" s="7" t="s">
        <v>37</v>
      </c>
      <c r="K405" s="6" t="s">
        <v>38</v>
      </c>
      <c r="L405" s="6" t="s">
        <v>39</v>
      </c>
      <c r="M405" s="7" t="s">
        <v>40</v>
      </c>
      <c r="N405" s="6" t="s">
        <v>41</v>
      </c>
      <c r="O405" s="14">
        <v>45466</v>
      </c>
      <c r="P405" s="6" t="s">
        <v>44</v>
      </c>
      <c r="Q405" s="7" t="s">
        <v>44</v>
      </c>
      <c r="R405" s="6" t="s">
        <v>44</v>
      </c>
      <c r="S405" s="6" t="s">
        <v>56</v>
      </c>
      <c r="T405" s="9">
        <v>25000</v>
      </c>
      <c r="U405" s="9">
        <v>0</v>
      </c>
      <c r="V405" s="8">
        <v>37</v>
      </c>
      <c r="W405" s="8">
        <v>29</v>
      </c>
      <c r="X405" s="6" t="s">
        <v>57</v>
      </c>
      <c r="Y405" s="8">
        <v>1</v>
      </c>
      <c r="Z405" s="8">
        <v>12</v>
      </c>
      <c r="AA405" s="8">
        <v>0</v>
      </c>
      <c r="AB405" s="8">
        <v>0</v>
      </c>
      <c r="AC405" s="8">
        <v>2</v>
      </c>
      <c r="AD405" s="8">
        <v>8</v>
      </c>
      <c r="AE405" s="7" t="s">
        <v>82</v>
      </c>
      <c r="AG405">
        <f t="shared" ca="1" si="18"/>
        <v>2</v>
      </c>
      <c r="AH405" s="23" t="str" cm="1">
        <f t="array" ref="AH405">_xlfn.IFS(E405&gt;49,"50+",E405&gt;39,"40-49",E405&gt;29,"30-39",E405&gt;19,"20-29")</f>
        <v>20-29</v>
      </c>
      <c r="AI405" s="24" t="str" cm="1">
        <f t="array" aca="1" ref="AI405" ca="1">_xlfn.IFS(AG405&gt;10,"10+",AG405&gt;4,"5-10 YIL",AG405&gt;2,"3-5 YIL",AG405&gt;0.9,"1-3 YIL",AG405&lt;1,"0-1 YIL")</f>
        <v>1-3 YIL</v>
      </c>
      <c r="AJ405">
        <f t="shared" si="19"/>
        <v>2024</v>
      </c>
      <c r="AK405" t="e">
        <f t="shared" si="20"/>
        <v>#VALUE!</v>
      </c>
    </row>
    <row r="406" spans="1:37" x14ac:dyDescent="0.3">
      <c r="A406" s="2" t="s">
        <v>765</v>
      </c>
      <c r="B406" s="3" t="s">
        <v>766</v>
      </c>
      <c r="C406" s="2" t="s">
        <v>48</v>
      </c>
      <c r="D406" s="13">
        <v>34495</v>
      </c>
      <c r="E406" s="4">
        <v>32</v>
      </c>
      <c r="F406" s="2" t="s">
        <v>49</v>
      </c>
      <c r="G406" s="4">
        <v>0</v>
      </c>
      <c r="H406" s="2" t="s">
        <v>35</v>
      </c>
      <c r="I406" s="3" t="s">
        <v>36</v>
      </c>
      <c r="J406" s="3" t="s">
        <v>50</v>
      </c>
      <c r="K406" s="2" t="s">
        <v>51</v>
      </c>
      <c r="L406" s="2" t="s">
        <v>39</v>
      </c>
      <c r="M406" s="3" t="s">
        <v>40</v>
      </c>
      <c r="N406" s="2" t="s">
        <v>41</v>
      </c>
      <c r="O406" s="13">
        <v>43573</v>
      </c>
      <c r="P406" s="2" t="s">
        <v>44</v>
      </c>
      <c r="Q406" s="3" t="s">
        <v>44</v>
      </c>
      <c r="R406" s="2" t="s">
        <v>44</v>
      </c>
      <c r="S406" s="2" t="s">
        <v>56</v>
      </c>
      <c r="T406" s="5">
        <v>40900</v>
      </c>
      <c r="U406" s="5">
        <v>0</v>
      </c>
      <c r="V406" s="4">
        <v>38</v>
      </c>
      <c r="W406" s="4">
        <v>30</v>
      </c>
      <c r="X406" s="2" t="s">
        <v>44</v>
      </c>
      <c r="Y406" s="4">
        <v>0</v>
      </c>
      <c r="Z406" s="4">
        <v>4</v>
      </c>
      <c r="AA406" s="4">
        <v>0</v>
      </c>
      <c r="AB406" s="4">
        <v>0</v>
      </c>
      <c r="AC406" s="4">
        <v>1</v>
      </c>
      <c r="AD406" s="4">
        <v>2</v>
      </c>
      <c r="AE406" s="3" t="s">
        <v>45</v>
      </c>
      <c r="AG406">
        <f t="shared" ca="1" si="18"/>
        <v>7</v>
      </c>
      <c r="AH406" s="23" t="str" cm="1">
        <f t="array" ref="AH406">_xlfn.IFS(E406&gt;49,"50+",E406&gt;39,"40-49",E406&gt;29,"30-39",E406&gt;19,"20-29")</f>
        <v>30-39</v>
      </c>
      <c r="AI406" s="24" t="str" cm="1">
        <f t="array" aca="1" ref="AI406" ca="1">_xlfn.IFS(AG406&gt;10,"10+",AG406&gt;4,"5-10 YIL",AG406&gt;2,"3-5 YIL",AG406&gt;0.9,"1-3 YIL",AG406&lt;1,"0-1 YIL")</f>
        <v>5-10 YIL</v>
      </c>
      <c r="AJ406">
        <f t="shared" si="19"/>
        <v>2019</v>
      </c>
      <c r="AK406" t="e">
        <f t="shared" si="20"/>
        <v>#VALUE!</v>
      </c>
    </row>
    <row r="407" spans="1:37" x14ac:dyDescent="0.3">
      <c r="A407" s="6" t="s">
        <v>767</v>
      </c>
      <c r="B407" s="7" t="s">
        <v>768</v>
      </c>
      <c r="C407" s="6" t="s">
        <v>48</v>
      </c>
      <c r="D407" s="14">
        <v>38127</v>
      </c>
      <c r="E407" s="8">
        <v>22</v>
      </c>
      <c r="F407" s="6" t="s">
        <v>34</v>
      </c>
      <c r="G407" s="8">
        <v>0</v>
      </c>
      <c r="H407" s="6" t="s">
        <v>85</v>
      </c>
      <c r="I407" s="7" t="s">
        <v>36</v>
      </c>
      <c r="J407" s="7" t="s">
        <v>37</v>
      </c>
      <c r="K407" s="6" t="s">
        <v>38</v>
      </c>
      <c r="L407" s="6" t="s">
        <v>39</v>
      </c>
      <c r="M407" s="7" t="s">
        <v>40</v>
      </c>
      <c r="N407" s="6" t="s">
        <v>89</v>
      </c>
      <c r="O407" s="14">
        <v>45302</v>
      </c>
      <c r="P407" s="6" t="s">
        <v>44</v>
      </c>
      <c r="Q407" s="7" t="s">
        <v>44</v>
      </c>
      <c r="R407" s="6" t="s">
        <v>44</v>
      </c>
      <c r="S407" s="6" t="s">
        <v>56</v>
      </c>
      <c r="T407" s="9">
        <v>28300</v>
      </c>
      <c r="U407" s="9">
        <v>0</v>
      </c>
      <c r="V407" s="8">
        <v>15</v>
      </c>
      <c r="W407" s="8">
        <v>30</v>
      </c>
      <c r="X407" s="6" t="s">
        <v>44</v>
      </c>
      <c r="Y407" s="8">
        <v>0</v>
      </c>
      <c r="Z407" s="8">
        <v>2</v>
      </c>
      <c r="AA407" s="8">
        <v>0</v>
      </c>
      <c r="AB407" s="8">
        <v>0</v>
      </c>
      <c r="AC407" s="8">
        <v>1</v>
      </c>
      <c r="AD407" s="8">
        <v>17</v>
      </c>
      <c r="AE407" s="7" t="s">
        <v>45</v>
      </c>
      <c r="AG407">
        <f t="shared" ca="1" si="18"/>
        <v>2</v>
      </c>
      <c r="AH407" s="23" t="str" cm="1">
        <f t="array" ref="AH407">_xlfn.IFS(E407&gt;49,"50+",E407&gt;39,"40-49",E407&gt;29,"30-39",E407&gt;19,"20-29")</f>
        <v>20-29</v>
      </c>
      <c r="AI407" s="24" t="str" cm="1">
        <f t="array" aca="1" ref="AI407" ca="1">_xlfn.IFS(AG407&gt;10,"10+",AG407&gt;4,"5-10 YIL",AG407&gt;2,"3-5 YIL",AG407&gt;0.9,"1-3 YIL",AG407&lt;1,"0-1 YIL")</f>
        <v>1-3 YIL</v>
      </c>
      <c r="AJ407">
        <f t="shared" si="19"/>
        <v>2024</v>
      </c>
      <c r="AK407" t="e">
        <f t="shared" si="20"/>
        <v>#VALUE!</v>
      </c>
    </row>
    <row r="408" spans="1:37" x14ac:dyDescent="0.3">
      <c r="A408" s="2" t="s">
        <v>769</v>
      </c>
      <c r="B408" s="3" t="s">
        <v>770</v>
      </c>
      <c r="C408" s="2" t="s">
        <v>33</v>
      </c>
      <c r="D408" s="13">
        <v>37581</v>
      </c>
      <c r="E408" s="4">
        <v>24</v>
      </c>
      <c r="F408" s="2" t="s">
        <v>49</v>
      </c>
      <c r="G408" s="4">
        <v>2</v>
      </c>
      <c r="H408" s="2" t="s">
        <v>85</v>
      </c>
      <c r="I408" s="3" t="s">
        <v>36</v>
      </c>
      <c r="J408" s="3" t="s">
        <v>37</v>
      </c>
      <c r="K408" s="2" t="s">
        <v>38</v>
      </c>
      <c r="L408" s="2" t="s">
        <v>39</v>
      </c>
      <c r="M408" s="3" t="s">
        <v>40</v>
      </c>
      <c r="N408" s="2" t="s">
        <v>41</v>
      </c>
      <c r="O408" s="13">
        <v>45034</v>
      </c>
      <c r="P408" s="2" t="s">
        <v>44</v>
      </c>
      <c r="Q408" s="3" t="s">
        <v>44</v>
      </c>
      <c r="R408" s="2" t="s">
        <v>44</v>
      </c>
      <c r="S408" s="2" t="s">
        <v>56</v>
      </c>
      <c r="T408" s="5">
        <v>25800</v>
      </c>
      <c r="U408" s="5">
        <v>0</v>
      </c>
      <c r="V408" s="4">
        <v>42</v>
      </c>
      <c r="W408" s="4">
        <v>30</v>
      </c>
      <c r="X408" s="2" t="s">
        <v>44</v>
      </c>
      <c r="Y408" s="4">
        <v>0</v>
      </c>
      <c r="Z408" s="4">
        <v>13</v>
      </c>
      <c r="AA408" s="4">
        <v>0</v>
      </c>
      <c r="AB408" s="4">
        <v>0</v>
      </c>
      <c r="AC408" s="4">
        <v>3</v>
      </c>
      <c r="AD408" s="4">
        <v>16</v>
      </c>
      <c r="AE408" s="3" t="s">
        <v>45</v>
      </c>
      <c r="AG408">
        <f t="shared" ca="1" si="18"/>
        <v>3</v>
      </c>
      <c r="AH408" s="23" t="str" cm="1">
        <f t="array" ref="AH408">_xlfn.IFS(E408&gt;49,"50+",E408&gt;39,"40-49",E408&gt;29,"30-39",E408&gt;19,"20-29")</f>
        <v>20-29</v>
      </c>
      <c r="AI408" s="24" t="str" cm="1">
        <f t="array" aca="1" ref="AI408" ca="1">_xlfn.IFS(AG408&gt;10,"10+",AG408&gt;4,"5-10 YIL",AG408&gt;2,"3-5 YIL",AG408&gt;0.9,"1-3 YIL",AG408&lt;1,"0-1 YIL")</f>
        <v>3-5 YIL</v>
      </c>
      <c r="AJ408">
        <f t="shared" si="19"/>
        <v>2023</v>
      </c>
      <c r="AK408" t="e">
        <f t="shared" si="20"/>
        <v>#VALUE!</v>
      </c>
    </row>
    <row r="409" spans="1:37" x14ac:dyDescent="0.3">
      <c r="A409" s="6" t="s">
        <v>771</v>
      </c>
      <c r="B409" s="7" t="s">
        <v>634</v>
      </c>
      <c r="C409" s="6" t="s">
        <v>48</v>
      </c>
      <c r="D409" s="14">
        <v>30876</v>
      </c>
      <c r="E409" s="8">
        <v>42</v>
      </c>
      <c r="F409" s="6" t="s">
        <v>34</v>
      </c>
      <c r="G409" s="8">
        <v>0</v>
      </c>
      <c r="H409" s="6" t="s">
        <v>88</v>
      </c>
      <c r="I409" s="7" t="s">
        <v>36</v>
      </c>
      <c r="J409" s="7" t="s">
        <v>78</v>
      </c>
      <c r="K409" s="6" t="s">
        <v>79</v>
      </c>
      <c r="L409" s="6" t="s">
        <v>63</v>
      </c>
      <c r="M409" s="7" t="s">
        <v>80</v>
      </c>
      <c r="N409" s="6" t="s">
        <v>67</v>
      </c>
      <c r="O409" s="14">
        <v>39742</v>
      </c>
      <c r="P409" s="6" t="s">
        <v>44</v>
      </c>
      <c r="Q409" s="7" t="s">
        <v>44</v>
      </c>
      <c r="R409" s="6" t="s">
        <v>44</v>
      </c>
      <c r="S409" s="6" t="s">
        <v>56</v>
      </c>
      <c r="T409" s="9">
        <v>100400</v>
      </c>
      <c r="U409" s="9">
        <v>0</v>
      </c>
      <c r="V409" s="8">
        <v>4</v>
      </c>
      <c r="W409" s="8">
        <v>30</v>
      </c>
      <c r="X409" s="6" t="s">
        <v>44</v>
      </c>
      <c r="Y409" s="8">
        <v>0</v>
      </c>
      <c r="Z409" s="8">
        <v>10</v>
      </c>
      <c r="AA409" s="8">
        <v>0</v>
      </c>
      <c r="AB409" s="8">
        <v>0</v>
      </c>
      <c r="AC409" s="8">
        <v>3</v>
      </c>
      <c r="AD409" s="8">
        <v>7</v>
      </c>
      <c r="AE409" s="7" t="s">
        <v>45</v>
      </c>
      <c r="AG409">
        <f t="shared" ca="1" si="18"/>
        <v>17</v>
      </c>
      <c r="AH409" s="23" t="str" cm="1">
        <f t="array" ref="AH409">_xlfn.IFS(E409&gt;49,"50+",E409&gt;39,"40-49",E409&gt;29,"30-39",E409&gt;19,"20-29")</f>
        <v>40-49</v>
      </c>
      <c r="AI409" s="24" t="str" cm="1">
        <f t="array" aca="1" ref="AI409" ca="1">_xlfn.IFS(AG409&gt;10,"10+",AG409&gt;4,"5-10 YIL",AG409&gt;2,"3-5 YIL",AG409&gt;0.9,"1-3 YIL",AG409&lt;1,"0-1 YIL")</f>
        <v>10+</v>
      </c>
      <c r="AJ409">
        <f t="shared" si="19"/>
        <v>2008</v>
      </c>
      <c r="AK409" t="e">
        <f t="shared" si="20"/>
        <v>#VALUE!</v>
      </c>
    </row>
    <row r="410" spans="1:37" x14ac:dyDescent="0.3">
      <c r="A410" s="2" t="s">
        <v>772</v>
      </c>
      <c r="B410" s="3" t="s">
        <v>601</v>
      </c>
      <c r="C410" s="2" t="s">
        <v>33</v>
      </c>
      <c r="D410" s="13">
        <v>31025</v>
      </c>
      <c r="E410" s="4">
        <v>42</v>
      </c>
      <c r="F410" s="2" t="s">
        <v>49</v>
      </c>
      <c r="G410" s="4">
        <v>2</v>
      </c>
      <c r="H410" s="2" t="s">
        <v>35</v>
      </c>
      <c r="I410" s="3" t="s">
        <v>61</v>
      </c>
      <c r="J410" s="3" t="s">
        <v>107</v>
      </c>
      <c r="K410" s="2" t="s">
        <v>51</v>
      </c>
      <c r="L410" s="2" t="s">
        <v>63</v>
      </c>
      <c r="M410" s="3" t="s">
        <v>64</v>
      </c>
      <c r="N410" s="2" t="s">
        <v>41</v>
      </c>
      <c r="O410" s="13">
        <v>43228</v>
      </c>
      <c r="P410" s="13">
        <v>45830</v>
      </c>
      <c r="Q410" s="3" t="s">
        <v>53</v>
      </c>
      <c r="R410" s="2">
        <v>4</v>
      </c>
      <c r="S410" s="2" t="s">
        <v>43</v>
      </c>
      <c r="T410" s="5">
        <v>53800</v>
      </c>
      <c r="U410" s="5">
        <v>0</v>
      </c>
      <c r="V410" s="4">
        <v>1</v>
      </c>
      <c r="W410" s="4">
        <v>30</v>
      </c>
      <c r="X410" s="2" t="s">
        <v>44</v>
      </c>
      <c r="Y410" s="4">
        <v>0</v>
      </c>
      <c r="Z410" s="4">
        <v>7</v>
      </c>
      <c r="AA410" s="4">
        <v>0</v>
      </c>
      <c r="AB410" s="4">
        <v>0</v>
      </c>
      <c r="AC410" s="4">
        <v>4</v>
      </c>
      <c r="AD410" s="4">
        <v>32</v>
      </c>
      <c r="AE410" s="3" t="s">
        <v>73</v>
      </c>
      <c r="AG410">
        <f t="shared" ca="1" si="18"/>
        <v>8</v>
      </c>
      <c r="AH410" s="23" t="str" cm="1">
        <f t="array" ref="AH410">_xlfn.IFS(E410&gt;49,"50+",E410&gt;39,"40-49",E410&gt;29,"30-39",E410&gt;19,"20-29")</f>
        <v>40-49</v>
      </c>
      <c r="AI410" s="24" t="str" cm="1">
        <f t="array" aca="1" ref="AI410" ca="1">_xlfn.IFS(AG410&gt;10,"10+",AG410&gt;4,"5-10 YIL",AG410&gt;2,"3-5 YIL",AG410&gt;0.9,"1-3 YIL",AG410&lt;1,"0-1 YIL")</f>
        <v>5-10 YIL</v>
      </c>
      <c r="AJ410">
        <f t="shared" si="19"/>
        <v>2018</v>
      </c>
      <c r="AK410">
        <f t="shared" si="20"/>
        <v>2025</v>
      </c>
    </row>
    <row r="411" spans="1:37" x14ac:dyDescent="0.3">
      <c r="A411" s="6" t="s">
        <v>773</v>
      </c>
      <c r="B411" s="7" t="s">
        <v>296</v>
      </c>
      <c r="C411" s="6" t="s">
        <v>33</v>
      </c>
      <c r="D411" s="14">
        <v>35962</v>
      </c>
      <c r="E411" s="8">
        <v>28</v>
      </c>
      <c r="F411" s="6" t="s">
        <v>34</v>
      </c>
      <c r="G411" s="8">
        <v>0</v>
      </c>
      <c r="H411" s="6" t="s">
        <v>35</v>
      </c>
      <c r="I411" s="7" t="s">
        <v>36</v>
      </c>
      <c r="J411" s="7" t="s">
        <v>37</v>
      </c>
      <c r="K411" s="6" t="s">
        <v>38</v>
      </c>
      <c r="L411" s="6" t="s">
        <v>39</v>
      </c>
      <c r="M411" s="7" t="s">
        <v>40</v>
      </c>
      <c r="N411" s="6" t="s">
        <v>41</v>
      </c>
      <c r="O411" s="14">
        <v>45198</v>
      </c>
      <c r="P411" s="6" t="s">
        <v>44</v>
      </c>
      <c r="Q411" s="7" t="s">
        <v>44</v>
      </c>
      <c r="R411" s="6" t="s">
        <v>44</v>
      </c>
      <c r="S411" s="6" t="s">
        <v>56</v>
      </c>
      <c r="T411" s="9">
        <v>27400</v>
      </c>
      <c r="U411" s="9">
        <v>0</v>
      </c>
      <c r="V411" s="8">
        <v>38</v>
      </c>
      <c r="W411" s="8">
        <v>30</v>
      </c>
      <c r="X411" s="6" t="s">
        <v>44</v>
      </c>
      <c r="Y411" s="8">
        <v>0</v>
      </c>
      <c r="Z411" s="8">
        <v>7</v>
      </c>
      <c r="AA411" s="8">
        <v>0</v>
      </c>
      <c r="AB411" s="8">
        <v>0</v>
      </c>
      <c r="AC411" s="8">
        <v>2</v>
      </c>
      <c r="AD411" s="8">
        <v>19</v>
      </c>
      <c r="AE411" s="7" t="s">
        <v>58</v>
      </c>
      <c r="AG411">
        <f t="shared" ca="1" si="18"/>
        <v>2</v>
      </c>
      <c r="AH411" s="23" t="str" cm="1">
        <f t="array" ref="AH411">_xlfn.IFS(E411&gt;49,"50+",E411&gt;39,"40-49",E411&gt;29,"30-39",E411&gt;19,"20-29")</f>
        <v>20-29</v>
      </c>
      <c r="AI411" s="24" t="str" cm="1">
        <f t="array" aca="1" ref="AI411" ca="1">_xlfn.IFS(AG411&gt;10,"10+",AG411&gt;4,"5-10 YIL",AG411&gt;2,"3-5 YIL",AG411&gt;0.9,"1-3 YIL",AG411&lt;1,"0-1 YIL")</f>
        <v>1-3 YIL</v>
      </c>
      <c r="AJ411">
        <f t="shared" si="19"/>
        <v>2023</v>
      </c>
      <c r="AK411" t="e">
        <f t="shared" si="20"/>
        <v>#VALUE!</v>
      </c>
    </row>
    <row r="412" spans="1:37" x14ac:dyDescent="0.3">
      <c r="A412" s="2" t="s">
        <v>774</v>
      </c>
      <c r="B412" s="3" t="s">
        <v>775</v>
      </c>
      <c r="C412" s="2" t="s">
        <v>48</v>
      </c>
      <c r="D412" s="13">
        <v>37093</v>
      </c>
      <c r="E412" s="4">
        <v>25</v>
      </c>
      <c r="F412" s="2" t="s">
        <v>49</v>
      </c>
      <c r="G412" s="4">
        <v>1</v>
      </c>
      <c r="H412" s="2" t="s">
        <v>35</v>
      </c>
      <c r="I412" s="3" t="s">
        <v>36</v>
      </c>
      <c r="J412" s="3" t="s">
        <v>37</v>
      </c>
      <c r="K412" s="2" t="s">
        <v>38</v>
      </c>
      <c r="L412" s="2" t="s">
        <v>39</v>
      </c>
      <c r="M412" s="3" t="s">
        <v>40</v>
      </c>
      <c r="N412" s="2" t="s">
        <v>41</v>
      </c>
      <c r="O412" s="13">
        <v>45772</v>
      </c>
      <c r="P412" s="2" t="s">
        <v>44</v>
      </c>
      <c r="Q412" s="3" t="s">
        <v>44</v>
      </c>
      <c r="R412" s="2" t="s">
        <v>44</v>
      </c>
      <c r="S412" s="2" t="s">
        <v>56</v>
      </c>
      <c r="T412" s="5">
        <v>26400</v>
      </c>
      <c r="U412" s="5">
        <v>0</v>
      </c>
      <c r="V412" s="4">
        <v>17</v>
      </c>
      <c r="W412" s="4">
        <v>30</v>
      </c>
      <c r="X412" s="2" t="s">
        <v>44</v>
      </c>
      <c r="Y412" s="4">
        <v>0</v>
      </c>
      <c r="Z412" s="4">
        <v>14</v>
      </c>
      <c r="AA412" s="4">
        <v>0</v>
      </c>
      <c r="AB412" s="4">
        <v>0</v>
      </c>
      <c r="AC412" s="4">
        <v>5</v>
      </c>
      <c r="AD412" s="4">
        <v>26</v>
      </c>
      <c r="AE412" s="3" t="s">
        <v>45</v>
      </c>
      <c r="AG412">
        <f t="shared" ca="1" si="18"/>
        <v>1</v>
      </c>
      <c r="AH412" s="23" t="str" cm="1">
        <f t="array" ref="AH412">_xlfn.IFS(E412&gt;49,"50+",E412&gt;39,"40-49",E412&gt;29,"30-39",E412&gt;19,"20-29")</f>
        <v>20-29</v>
      </c>
      <c r="AI412" s="24" t="str" cm="1">
        <f t="array" aca="1" ref="AI412" ca="1">_xlfn.IFS(AG412&gt;10,"10+",AG412&gt;4,"5-10 YIL",AG412&gt;2,"3-5 YIL",AG412&gt;0.9,"1-3 YIL",AG412&lt;1,"0-1 YIL")</f>
        <v>1-3 YIL</v>
      </c>
      <c r="AJ412">
        <f t="shared" si="19"/>
        <v>2025</v>
      </c>
      <c r="AK412" t="e">
        <f t="shared" si="20"/>
        <v>#VALUE!</v>
      </c>
    </row>
    <row r="413" spans="1:37" x14ac:dyDescent="0.3">
      <c r="A413" s="6" t="s">
        <v>776</v>
      </c>
      <c r="B413" s="7" t="s">
        <v>520</v>
      </c>
      <c r="C413" s="6" t="s">
        <v>48</v>
      </c>
      <c r="D413" s="14">
        <v>29030</v>
      </c>
      <c r="E413" s="8">
        <v>47</v>
      </c>
      <c r="F413" s="6" t="s">
        <v>49</v>
      </c>
      <c r="G413" s="8">
        <v>1</v>
      </c>
      <c r="H413" s="6" t="s">
        <v>88</v>
      </c>
      <c r="I413" s="7" t="s">
        <v>36</v>
      </c>
      <c r="J413" s="7" t="s">
        <v>50</v>
      </c>
      <c r="K413" s="6" t="s">
        <v>51</v>
      </c>
      <c r="L413" s="6" t="s">
        <v>39</v>
      </c>
      <c r="M413" s="7" t="s">
        <v>40</v>
      </c>
      <c r="N413" s="6" t="s">
        <v>89</v>
      </c>
      <c r="O413" s="14">
        <v>43383</v>
      </c>
      <c r="P413" s="6" t="s">
        <v>44</v>
      </c>
      <c r="Q413" s="7" t="s">
        <v>44</v>
      </c>
      <c r="R413" s="6" t="s">
        <v>44</v>
      </c>
      <c r="S413" s="6" t="s">
        <v>56</v>
      </c>
      <c r="T413" s="9">
        <v>40700</v>
      </c>
      <c r="U413" s="9">
        <v>0</v>
      </c>
      <c r="V413" s="8">
        <v>25</v>
      </c>
      <c r="W413" s="8">
        <v>28</v>
      </c>
      <c r="X413" s="6" t="s">
        <v>57</v>
      </c>
      <c r="Y413" s="8">
        <v>2</v>
      </c>
      <c r="Z413" s="8">
        <v>11</v>
      </c>
      <c r="AA413" s="8">
        <v>0</v>
      </c>
      <c r="AB413" s="8">
        <v>0</v>
      </c>
      <c r="AC413" s="8">
        <v>5</v>
      </c>
      <c r="AD413" s="8">
        <v>24</v>
      </c>
      <c r="AE413" s="7" t="s">
        <v>58</v>
      </c>
      <c r="AG413">
        <f t="shared" ca="1" si="18"/>
        <v>7</v>
      </c>
      <c r="AH413" s="23" t="str" cm="1">
        <f t="array" ref="AH413">_xlfn.IFS(E413&gt;49,"50+",E413&gt;39,"40-49",E413&gt;29,"30-39",E413&gt;19,"20-29")</f>
        <v>40-49</v>
      </c>
      <c r="AI413" s="24" t="str" cm="1">
        <f t="array" aca="1" ref="AI413" ca="1">_xlfn.IFS(AG413&gt;10,"10+",AG413&gt;4,"5-10 YIL",AG413&gt;2,"3-5 YIL",AG413&gt;0.9,"1-3 YIL",AG413&lt;1,"0-1 YIL")</f>
        <v>5-10 YIL</v>
      </c>
      <c r="AJ413">
        <f t="shared" si="19"/>
        <v>2018</v>
      </c>
      <c r="AK413" t="e">
        <f t="shared" si="20"/>
        <v>#VALUE!</v>
      </c>
    </row>
    <row r="414" spans="1:37" x14ac:dyDescent="0.3">
      <c r="A414" s="2" t="s">
        <v>777</v>
      </c>
      <c r="B414" s="3" t="s">
        <v>415</v>
      </c>
      <c r="C414" s="2" t="s">
        <v>33</v>
      </c>
      <c r="D414" s="13">
        <v>38086</v>
      </c>
      <c r="E414" s="4">
        <v>22</v>
      </c>
      <c r="F414" s="2" t="s">
        <v>34</v>
      </c>
      <c r="G414" s="4">
        <v>0</v>
      </c>
      <c r="H414" s="2" t="s">
        <v>35</v>
      </c>
      <c r="I414" s="3" t="s">
        <v>36</v>
      </c>
      <c r="J414" s="3" t="s">
        <v>37</v>
      </c>
      <c r="K414" s="2" t="s">
        <v>38</v>
      </c>
      <c r="L414" s="2" t="s">
        <v>39</v>
      </c>
      <c r="M414" s="3" t="s">
        <v>40</v>
      </c>
      <c r="N414" s="2" t="s">
        <v>41</v>
      </c>
      <c r="O414" s="13">
        <v>45993</v>
      </c>
      <c r="P414" s="2" t="s">
        <v>44</v>
      </c>
      <c r="Q414" s="3" t="s">
        <v>44</v>
      </c>
      <c r="R414" s="2" t="s">
        <v>44</v>
      </c>
      <c r="S414" s="2" t="s">
        <v>56</v>
      </c>
      <c r="T414" s="5">
        <v>25200</v>
      </c>
      <c r="U414" s="5">
        <v>0</v>
      </c>
      <c r="V414" s="4">
        <v>13</v>
      </c>
      <c r="W414" s="4">
        <v>28</v>
      </c>
      <c r="X414" s="2" t="s">
        <v>57</v>
      </c>
      <c r="Y414" s="4">
        <v>2</v>
      </c>
      <c r="Z414" s="4">
        <v>0</v>
      </c>
      <c r="AA414" s="4">
        <v>0</v>
      </c>
      <c r="AB414" s="4">
        <v>0</v>
      </c>
      <c r="AC414" s="4">
        <v>3</v>
      </c>
      <c r="AD414" s="4">
        <v>5</v>
      </c>
      <c r="AE414" s="3" t="s">
        <v>45</v>
      </c>
      <c r="AG414">
        <f t="shared" ca="1" si="18"/>
        <v>0</v>
      </c>
      <c r="AH414" s="23" t="str" cm="1">
        <f t="array" ref="AH414">_xlfn.IFS(E414&gt;49,"50+",E414&gt;39,"40-49",E414&gt;29,"30-39",E414&gt;19,"20-29")</f>
        <v>20-29</v>
      </c>
      <c r="AI414" s="24" t="str" cm="1">
        <f t="array" aca="1" ref="AI414" ca="1">_xlfn.IFS(AG414&gt;10,"10+",AG414&gt;4,"5-10 YIL",AG414&gt;2,"3-5 YIL",AG414&gt;0.9,"1-3 YIL",AG414&lt;1,"0-1 YIL")</f>
        <v>0-1 YIL</v>
      </c>
      <c r="AJ414">
        <f t="shared" si="19"/>
        <v>2025</v>
      </c>
      <c r="AK414" t="e">
        <f t="shared" si="20"/>
        <v>#VALUE!</v>
      </c>
    </row>
    <row r="415" spans="1:37" x14ac:dyDescent="0.3">
      <c r="A415" s="6" t="s">
        <v>778</v>
      </c>
      <c r="B415" s="7" t="s">
        <v>779</v>
      </c>
      <c r="C415" s="6" t="s">
        <v>33</v>
      </c>
      <c r="D415" s="14">
        <v>37363</v>
      </c>
      <c r="E415" s="8">
        <v>24</v>
      </c>
      <c r="F415" s="6" t="s">
        <v>49</v>
      </c>
      <c r="G415" s="8">
        <v>1</v>
      </c>
      <c r="H415" s="6" t="s">
        <v>35</v>
      </c>
      <c r="I415" s="7" t="s">
        <v>36</v>
      </c>
      <c r="J415" s="7" t="s">
        <v>37</v>
      </c>
      <c r="K415" s="6" t="s">
        <v>38</v>
      </c>
      <c r="L415" s="6" t="s">
        <v>39</v>
      </c>
      <c r="M415" s="7" t="s">
        <v>40</v>
      </c>
      <c r="N415" s="6" t="s">
        <v>41</v>
      </c>
      <c r="O415" s="14">
        <v>46111</v>
      </c>
      <c r="P415" s="6" t="s">
        <v>44</v>
      </c>
      <c r="Q415" s="7" t="s">
        <v>44</v>
      </c>
      <c r="R415" s="6" t="s">
        <v>44</v>
      </c>
      <c r="S415" s="6" t="s">
        <v>56</v>
      </c>
      <c r="T415" s="9">
        <v>27700</v>
      </c>
      <c r="U415" s="9">
        <v>0</v>
      </c>
      <c r="V415" s="8">
        <v>24</v>
      </c>
      <c r="W415" s="8">
        <v>29</v>
      </c>
      <c r="X415" s="6" t="s">
        <v>57</v>
      </c>
      <c r="Y415" s="8">
        <v>1</v>
      </c>
      <c r="Z415" s="8">
        <v>0</v>
      </c>
      <c r="AA415" s="8">
        <v>0</v>
      </c>
      <c r="AB415" s="8">
        <v>0</v>
      </c>
      <c r="AC415" s="8">
        <v>3</v>
      </c>
      <c r="AD415" s="8">
        <v>14</v>
      </c>
      <c r="AE415" s="7" t="s">
        <v>58</v>
      </c>
      <c r="AG415">
        <f t="shared" ca="1" si="18"/>
        <v>0</v>
      </c>
      <c r="AH415" s="23" t="str" cm="1">
        <f t="array" ref="AH415">_xlfn.IFS(E415&gt;49,"50+",E415&gt;39,"40-49",E415&gt;29,"30-39",E415&gt;19,"20-29")</f>
        <v>20-29</v>
      </c>
      <c r="AI415" s="24" t="str" cm="1">
        <f t="array" aca="1" ref="AI415" ca="1">_xlfn.IFS(AG415&gt;10,"10+",AG415&gt;4,"5-10 YIL",AG415&gt;2,"3-5 YIL",AG415&gt;0.9,"1-3 YIL",AG415&lt;1,"0-1 YIL")</f>
        <v>0-1 YIL</v>
      </c>
      <c r="AJ415">
        <f t="shared" si="19"/>
        <v>2026</v>
      </c>
      <c r="AK415" t="e">
        <f t="shared" si="20"/>
        <v>#VALUE!</v>
      </c>
    </row>
    <row r="416" spans="1:37" x14ac:dyDescent="0.3">
      <c r="A416" s="2" t="s">
        <v>780</v>
      </c>
      <c r="B416" s="3" t="s">
        <v>781</v>
      </c>
      <c r="C416" s="2" t="s">
        <v>48</v>
      </c>
      <c r="D416" s="13">
        <v>30310</v>
      </c>
      <c r="E416" s="4">
        <v>44</v>
      </c>
      <c r="F416" s="2" t="s">
        <v>49</v>
      </c>
      <c r="G416" s="4">
        <v>1</v>
      </c>
      <c r="H416" s="2" t="s">
        <v>35</v>
      </c>
      <c r="I416" s="3" t="s">
        <v>61</v>
      </c>
      <c r="J416" s="3" t="s">
        <v>124</v>
      </c>
      <c r="K416" s="2" t="s">
        <v>79</v>
      </c>
      <c r="L416" s="2" t="s">
        <v>63</v>
      </c>
      <c r="M416" s="3" t="s">
        <v>80</v>
      </c>
      <c r="N416" s="2" t="s">
        <v>41</v>
      </c>
      <c r="O416" s="13">
        <v>41471</v>
      </c>
      <c r="P416" s="2" t="s">
        <v>44</v>
      </c>
      <c r="Q416" s="3" t="s">
        <v>44</v>
      </c>
      <c r="R416" s="2" t="s">
        <v>44</v>
      </c>
      <c r="S416" s="2" t="s">
        <v>56</v>
      </c>
      <c r="T416" s="5">
        <v>101400</v>
      </c>
      <c r="U416" s="5">
        <v>0</v>
      </c>
      <c r="V416" s="4">
        <v>0</v>
      </c>
      <c r="W416" s="4">
        <v>30</v>
      </c>
      <c r="X416" s="2" t="s">
        <v>44</v>
      </c>
      <c r="Y416" s="4">
        <v>0</v>
      </c>
      <c r="Z416" s="4">
        <v>0</v>
      </c>
      <c r="AA416" s="4">
        <v>0</v>
      </c>
      <c r="AB416" s="4">
        <v>0</v>
      </c>
      <c r="AC416" s="4">
        <v>3</v>
      </c>
      <c r="AD416" s="4">
        <v>15</v>
      </c>
      <c r="AE416" s="3" t="s">
        <v>96</v>
      </c>
      <c r="AG416">
        <f t="shared" ca="1" si="18"/>
        <v>12</v>
      </c>
      <c r="AH416" s="23" t="str" cm="1">
        <f t="array" ref="AH416">_xlfn.IFS(E416&gt;49,"50+",E416&gt;39,"40-49",E416&gt;29,"30-39",E416&gt;19,"20-29")</f>
        <v>40-49</v>
      </c>
      <c r="AI416" s="24" t="str" cm="1">
        <f t="array" aca="1" ref="AI416" ca="1">_xlfn.IFS(AG416&gt;10,"10+",AG416&gt;4,"5-10 YIL",AG416&gt;2,"3-5 YIL",AG416&gt;0.9,"1-3 YIL",AG416&lt;1,"0-1 YIL")</f>
        <v>10+</v>
      </c>
      <c r="AJ416">
        <f t="shared" si="19"/>
        <v>2013</v>
      </c>
      <c r="AK416" t="e">
        <f t="shared" si="20"/>
        <v>#VALUE!</v>
      </c>
    </row>
    <row r="417" spans="1:37" x14ac:dyDescent="0.3">
      <c r="A417" s="6" t="s">
        <v>782</v>
      </c>
      <c r="B417" s="7" t="s">
        <v>196</v>
      </c>
      <c r="C417" s="6" t="s">
        <v>48</v>
      </c>
      <c r="D417" s="14">
        <v>29124</v>
      </c>
      <c r="E417" s="8">
        <v>47</v>
      </c>
      <c r="F417" s="6" t="s">
        <v>49</v>
      </c>
      <c r="G417" s="8">
        <v>0</v>
      </c>
      <c r="H417" s="6" t="s">
        <v>184</v>
      </c>
      <c r="I417" s="7" t="s">
        <v>36</v>
      </c>
      <c r="J417" s="7" t="s">
        <v>50</v>
      </c>
      <c r="K417" s="6" t="s">
        <v>51</v>
      </c>
      <c r="L417" s="6" t="s">
        <v>39</v>
      </c>
      <c r="M417" s="7" t="s">
        <v>40</v>
      </c>
      <c r="N417" s="6" t="s">
        <v>41</v>
      </c>
      <c r="O417" s="14">
        <v>44482</v>
      </c>
      <c r="P417" s="6" t="s">
        <v>44</v>
      </c>
      <c r="Q417" s="7" t="s">
        <v>44</v>
      </c>
      <c r="R417" s="6" t="s">
        <v>44</v>
      </c>
      <c r="S417" s="6" t="s">
        <v>56</v>
      </c>
      <c r="T417" s="9">
        <v>41700</v>
      </c>
      <c r="U417" s="9">
        <v>0</v>
      </c>
      <c r="V417" s="8">
        <v>31</v>
      </c>
      <c r="W417" s="8">
        <v>28</v>
      </c>
      <c r="X417" s="6" t="s">
        <v>57</v>
      </c>
      <c r="Y417" s="8">
        <v>2</v>
      </c>
      <c r="Z417" s="8">
        <v>12</v>
      </c>
      <c r="AA417" s="8">
        <v>0</v>
      </c>
      <c r="AB417" s="8">
        <v>0</v>
      </c>
      <c r="AC417" s="8">
        <v>4</v>
      </c>
      <c r="AD417" s="8">
        <v>14</v>
      </c>
      <c r="AE417" s="7" t="s">
        <v>73</v>
      </c>
      <c r="AG417">
        <f t="shared" ca="1" si="18"/>
        <v>4</v>
      </c>
      <c r="AH417" s="23" t="str" cm="1">
        <f t="array" ref="AH417">_xlfn.IFS(E417&gt;49,"50+",E417&gt;39,"40-49",E417&gt;29,"30-39",E417&gt;19,"20-29")</f>
        <v>40-49</v>
      </c>
      <c r="AI417" s="24" t="str" cm="1">
        <f t="array" aca="1" ref="AI417" ca="1">_xlfn.IFS(AG417&gt;10,"10+",AG417&gt;4,"5-10 YIL",AG417&gt;2,"3-5 YIL",AG417&gt;0.9,"1-3 YIL",AG417&lt;1,"0-1 YIL")</f>
        <v>3-5 YIL</v>
      </c>
      <c r="AJ417">
        <f t="shared" si="19"/>
        <v>2021</v>
      </c>
      <c r="AK417" t="e">
        <f t="shared" si="20"/>
        <v>#VALUE!</v>
      </c>
    </row>
    <row r="418" spans="1:37" x14ac:dyDescent="0.3">
      <c r="A418" s="2" t="s">
        <v>783</v>
      </c>
      <c r="B418" s="3" t="s">
        <v>784</v>
      </c>
      <c r="C418" s="2" t="s">
        <v>48</v>
      </c>
      <c r="D418" s="13">
        <v>35612</v>
      </c>
      <c r="E418" s="4">
        <v>29</v>
      </c>
      <c r="F418" s="2" t="s">
        <v>49</v>
      </c>
      <c r="G418" s="4">
        <v>1</v>
      </c>
      <c r="H418" s="2" t="s">
        <v>35</v>
      </c>
      <c r="I418" s="3" t="s">
        <v>36</v>
      </c>
      <c r="J418" s="3" t="s">
        <v>37</v>
      </c>
      <c r="K418" s="2" t="s">
        <v>38</v>
      </c>
      <c r="L418" s="2" t="s">
        <v>39</v>
      </c>
      <c r="M418" s="3" t="s">
        <v>40</v>
      </c>
      <c r="N418" s="2" t="s">
        <v>41</v>
      </c>
      <c r="O418" s="13">
        <v>46114</v>
      </c>
      <c r="P418" s="2" t="s">
        <v>44</v>
      </c>
      <c r="Q418" s="3" t="s">
        <v>44</v>
      </c>
      <c r="R418" s="2" t="s">
        <v>44</v>
      </c>
      <c r="S418" s="2" t="s">
        <v>56</v>
      </c>
      <c r="T418" s="5">
        <v>27600</v>
      </c>
      <c r="U418" s="5">
        <v>0</v>
      </c>
      <c r="V418" s="4">
        <v>23</v>
      </c>
      <c r="W418" s="4">
        <v>30</v>
      </c>
      <c r="X418" s="2" t="s">
        <v>44</v>
      </c>
      <c r="Y418" s="4">
        <v>0</v>
      </c>
      <c r="Z418" s="4">
        <v>0</v>
      </c>
      <c r="AA418" s="4">
        <v>0</v>
      </c>
      <c r="AB418" s="4">
        <v>0</v>
      </c>
      <c r="AC418" s="4">
        <v>4</v>
      </c>
      <c r="AD418" s="4">
        <v>37</v>
      </c>
      <c r="AE418" s="3" t="s">
        <v>45</v>
      </c>
      <c r="AG418">
        <f t="shared" ca="1" si="18"/>
        <v>0</v>
      </c>
      <c r="AH418" s="23" t="str" cm="1">
        <f t="array" ref="AH418">_xlfn.IFS(E418&gt;49,"50+",E418&gt;39,"40-49",E418&gt;29,"30-39",E418&gt;19,"20-29")</f>
        <v>20-29</v>
      </c>
      <c r="AI418" s="24" t="str" cm="1">
        <f t="array" aca="1" ref="AI418" ca="1">_xlfn.IFS(AG418&gt;10,"10+",AG418&gt;4,"5-10 YIL",AG418&gt;2,"3-5 YIL",AG418&gt;0.9,"1-3 YIL",AG418&lt;1,"0-1 YIL")</f>
        <v>0-1 YIL</v>
      </c>
      <c r="AJ418">
        <f t="shared" si="19"/>
        <v>2026</v>
      </c>
      <c r="AK418" t="e">
        <f t="shared" si="20"/>
        <v>#VALUE!</v>
      </c>
    </row>
    <row r="419" spans="1:37" x14ac:dyDescent="0.3">
      <c r="A419" s="6" t="s">
        <v>785</v>
      </c>
      <c r="B419" s="7" t="s">
        <v>786</v>
      </c>
      <c r="C419" s="6" t="s">
        <v>48</v>
      </c>
      <c r="D419" s="14">
        <v>30881</v>
      </c>
      <c r="E419" s="8">
        <v>42</v>
      </c>
      <c r="F419" s="6" t="s">
        <v>49</v>
      </c>
      <c r="G419" s="8">
        <v>0</v>
      </c>
      <c r="H419" s="6" t="s">
        <v>35</v>
      </c>
      <c r="I419" s="7" t="s">
        <v>36</v>
      </c>
      <c r="J419" s="7" t="s">
        <v>50</v>
      </c>
      <c r="K419" s="6" t="s">
        <v>51</v>
      </c>
      <c r="L419" s="6" t="s">
        <v>39</v>
      </c>
      <c r="M419" s="7" t="s">
        <v>40</v>
      </c>
      <c r="N419" s="6" t="s">
        <v>67</v>
      </c>
      <c r="O419" s="14">
        <v>42841</v>
      </c>
      <c r="P419" s="6" t="s">
        <v>44</v>
      </c>
      <c r="Q419" s="7" t="s">
        <v>44</v>
      </c>
      <c r="R419" s="6" t="s">
        <v>44</v>
      </c>
      <c r="S419" s="6" t="s">
        <v>56</v>
      </c>
      <c r="T419" s="9">
        <v>39800</v>
      </c>
      <c r="U419" s="9">
        <v>0</v>
      </c>
      <c r="V419" s="8">
        <v>13</v>
      </c>
      <c r="W419" s="8">
        <v>30</v>
      </c>
      <c r="X419" s="6" t="s">
        <v>44</v>
      </c>
      <c r="Y419" s="8">
        <v>0</v>
      </c>
      <c r="Z419" s="8">
        <v>6</v>
      </c>
      <c r="AA419" s="8">
        <v>0</v>
      </c>
      <c r="AB419" s="8">
        <v>0</v>
      </c>
      <c r="AC419" s="8">
        <v>2</v>
      </c>
      <c r="AD419" s="8">
        <v>18</v>
      </c>
      <c r="AE419" s="7" t="s">
        <v>58</v>
      </c>
      <c r="AG419">
        <f t="shared" ca="1" si="18"/>
        <v>9</v>
      </c>
      <c r="AH419" s="23" t="str" cm="1">
        <f t="array" ref="AH419">_xlfn.IFS(E419&gt;49,"50+",E419&gt;39,"40-49",E419&gt;29,"30-39",E419&gt;19,"20-29")</f>
        <v>40-49</v>
      </c>
      <c r="AI419" s="24" t="str" cm="1">
        <f t="array" aca="1" ref="AI419" ca="1">_xlfn.IFS(AG419&gt;10,"10+",AG419&gt;4,"5-10 YIL",AG419&gt;2,"3-5 YIL",AG419&gt;0.9,"1-3 YIL",AG419&lt;1,"0-1 YIL")</f>
        <v>5-10 YIL</v>
      </c>
      <c r="AJ419">
        <f t="shared" si="19"/>
        <v>2017</v>
      </c>
      <c r="AK419" t="e">
        <f t="shared" si="20"/>
        <v>#VALUE!</v>
      </c>
    </row>
    <row r="420" spans="1:37" x14ac:dyDescent="0.3">
      <c r="A420" s="2" t="s">
        <v>787</v>
      </c>
      <c r="B420" s="3" t="s">
        <v>541</v>
      </c>
      <c r="C420" s="2" t="s">
        <v>33</v>
      </c>
      <c r="D420" s="13">
        <v>37065</v>
      </c>
      <c r="E420" s="4">
        <v>25</v>
      </c>
      <c r="F420" s="2" t="s">
        <v>34</v>
      </c>
      <c r="G420" s="4">
        <v>0</v>
      </c>
      <c r="H420" s="2" t="s">
        <v>35</v>
      </c>
      <c r="I420" s="3" t="s">
        <v>36</v>
      </c>
      <c r="J420" s="3" t="s">
        <v>37</v>
      </c>
      <c r="K420" s="2" t="s">
        <v>38</v>
      </c>
      <c r="L420" s="2" t="s">
        <v>39</v>
      </c>
      <c r="M420" s="3" t="s">
        <v>40</v>
      </c>
      <c r="N420" s="2" t="s">
        <v>67</v>
      </c>
      <c r="O420" s="13">
        <v>45708</v>
      </c>
      <c r="P420" s="2" t="s">
        <v>44</v>
      </c>
      <c r="Q420" s="3" t="s">
        <v>44</v>
      </c>
      <c r="R420" s="2" t="s">
        <v>44</v>
      </c>
      <c r="S420" s="2" t="s">
        <v>56</v>
      </c>
      <c r="T420" s="5">
        <v>26400</v>
      </c>
      <c r="U420" s="5">
        <v>0</v>
      </c>
      <c r="V420" s="4">
        <v>42</v>
      </c>
      <c r="W420" s="4">
        <v>30</v>
      </c>
      <c r="X420" s="2" t="s">
        <v>44</v>
      </c>
      <c r="Y420" s="4">
        <v>0</v>
      </c>
      <c r="Z420" s="4">
        <v>9</v>
      </c>
      <c r="AA420" s="4">
        <v>0</v>
      </c>
      <c r="AB420" s="4">
        <v>0</v>
      </c>
      <c r="AC420" s="4">
        <v>3</v>
      </c>
      <c r="AD420" s="4">
        <v>8</v>
      </c>
      <c r="AE420" s="3" t="s">
        <v>58</v>
      </c>
      <c r="AG420">
        <f t="shared" ca="1" si="18"/>
        <v>1</v>
      </c>
      <c r="AH420" s="23" t="str" cm="1">
        <f t="array" ref="AH420">_xlfn.IFS(E420&gt;49,"50+",E420&gt;39,"40-49",E420&gt;29,"30-39",E420&gt;19,"20-29")</f>
        <v>20-29</v>
      </c>
      <c r="AI420" s="24" t="str" cm="1">
        <f t="array" aca="1" ref="AI420" ca="1">_xlfn.IFS(AG420&gt;10,"10+",AG420&gt;4,"5-10 YIL",AG420&gt;2,"3-5 YIL",AG420&gt;0.9,"1-3 YIL",AG420&lt;1,"0-1 YIL")</f>
        <v>1-3 YIL</v>
      </c>
      <c r="AJ420">
        <f t="shared" si="19"/>
        <v>2025</v>
      </c>
      <c r="AK420" t="e">
        <f t="shared" si="20"/>
        <v>#VALUE!</v>
      </c>
    </row>
    <row r="421" spans="1:37" x14ac:dyDescent="0.3">
      <c r="A421" s="6" t="s">
        <v>788</v>
      </c>
      <c r="B421" s="7" t="s">
        <v>270</v>
      </c>
      <c r="C421" s="6" t="s">
        <v>48</v>
      </c>
      <c r="D421" s="14">
        <v>36845</v>
      </c>
      <c r="E421" s="8">
        <v>26</v>
      </c>
      <c r="F421" s="6" t="s">
        <v>34</v>
      </c>
      <c r="G421" s="8">
        <v>0</v>
      </c>
      <c r="H421" s="6" t="s">
        <v>85</v>
      </c>
      <c r="I421" s="7" t="s">
        <v>36</v>
      </c>
      <c r="J421" s="7" t="s">
        <v>37</v>
      </c>
      <c r="K421" s="6" t="s">
        <v>38</v>
      </c>
      <c r="L421" s="6" t="s">
        <v>39</v>
      </c>
      <c r="M421" s="7" t="s">
        <v>40</v>
      </c>
      <c r="N421" s="6" t="s">
        <v>41</v>
      </c>
      <c r="O421" s="14">
        <v>46088</v>
      </c>
      <c r="P421" s="6" t="s">
        <v>44</v>
      </c>
      <c r="Q421" s="7" t="s">
        <v>44</v>
      </c>
      <c r="R421" s="6" t="s">
        <v>44</v>
      </c>
      <c r="S421" s="6" t="s">
        <v>56</v>
      </c>
      <c r="T421" s="9">
        <v>27800</v>
      </c>
      <c r="U421" s="9">
        <v>0</v>
      </c>
      <c r="V421" s="8">
        <v>43</v>
      </c>
      <c r="W421" s="8">
        <v>29</v>
      </c>
      <c r="X421" s="6" t="s">
        <v>57</v>
      </c>
      <c r="Y421" s="8">
        <v>1</v>
      </c>
      <c r="Z421" s="8">
        <v>0</v>
      </c>
      <c r="AA421" s="8">
        <v>0</v>
      </c>
      <c r="AB421" s="8">
        <v>0</v>
      </c>
      <c r="AC421" s="8">
        <v>4</v>
      </c>
      <c r="AD421" s="8">
        <v>12</v>
      </c>
      <c r="AE421" s="7" t="s">
        <v>45</v>
      </c>
      <c r="AG421">
        <f t="shared" ca="1" si="18"/>
        <v>0</v>
      </c>
      <c r="AH421" s="23" t="str" cm="1">
        <f t="array" ref="AH421">_xlfn.IFS(E421&gt;49,"50+",E421&gt;39,"40-49",E421&gt;29,"30-39",E421&gt;19,"20-29")</f>
        <v>20-29</v>
      </c>
      <c r="AI421" s="24" t="str" cm="1">
        <f t="array" aca="1" ref="AI421" ca="1">_xlfn.IFS(AG421&gt;10,"10+",AG421&gt;4,"5-10 YIL",AG421&gt;2,"3-5 YIL",AG421&gt;0.9,"1-3 YIL",AG421&lt;1,"0-1 YIL")</f>
        <v>0-1 YIL</v>
      </c>
      <c r="AJ421">
        <f t="shared" si="19"/>
        <v>2026</v>
      </c>
      <c r="AK421" t="e">
        <f t="shared" si="20"/>
        <v>#VALUE!</v>
      </c>
    </row>
    <row r="422" spans="1:37" x14ac:dyDescent="0.3">
      <c r="A422" s="2" t="s">
        <v>789</v>
      </c>
      <c r="B422" s="3" t="s">
        <v>711</v>
      </c>
      <c r="C422" s="2" t="s">
        <v>33</v>
      </c>
      <c r="D422" s="13">
        <v>30187</v>
      </c>
      <c r="E422" s="4">
        <v>44</v>
      </c>
      <c r="F422" s="2" t="s">
        <v>49</v>
      </c>
      <c r="G422" s="4">
        <v>2</v>
      </c>
      <c r="H422" s="2" t="s">
        <v>35</v>
      </c>
      <c r="I422" s="3" t="s">
        <v>148</v>
      </c>
      <c r="J422" s="3" t="s">
        <v>149</v>
      </c>
      <c r="K422" s="2" t="s">
        <v>51</v>
      </c>
      <c r="L422" s="2" t="s">
        <v>63</v>
      </c>
      <c r="M422" s="3" t="s">
        <v>150</v>
      </c>
      <c r="N422" s="2" t="s">
        <v>41</v>
      </c>
      <c r="O422" s="13">
        <v>43795</v>
      </c>
      <c r="P422" s="2" t="s">
        <v>44</v>
      </c>
      <c r="Q422" s="3" t="s">
        <v>44</v>
      </c>
      <c r="R422" s="2" t="s">
        <v>44</v>
      </c>
      <c r="S422" s="2" t="s">
        <v>56</v>
      </c>
      <c r="T422" s="5">
        <v>51000</v>
      </c>
      <c r="U422" s="5">
        <v>0</v>
      </c>
      <c r="V422" s="4">
        <v>3</v>
      </c>
      <c r="W422" s="4">
        <v>27</v>
      </c>
      <c r="X422" s="2" t="s">
        <v>81</v>
      </c>
      <c r="Y422" s="4">
        <v>0</v>
      </c>
      <c r="Z422" s="4">
        <v>11</v>
      </c>
      <c r="AA422" s="4">
        <v>3</v>
      </c>
      <c r="AB422" s="4">
        <v>0</v>
      </c>
      <c r="AC422" s="4">
        <v>3</v>
      </c>
      <c r="AD422" s="4">
        <v>12</v>
      </c>
      <c r="AE422" s="3" t="s">
        <v>45</v>
      </c>
      <c r="AG422">
        <f t="shared" ca="1" si="18"/>
        <v>6</v>
      </c>
      <c r="AH422" s="23" t="str" cm="1">
        <f t="array" ref="AH422">_xlfn.IFS(E422&gt;49,"50+",E422&gt;39,"40-49",E422&gt;29,"30-39",E422&gt;19,"20-29")</f>
        <v>40-49</v>
      </c>
      <c r="AI422" s="24" t="str" cm="1">
        <f t="array" aca="1" ref="AI422" ca="1">_xlfn.IFS(AG422&gt;10,"10+",AG422&gt;4,"5-10 YIL",AG422&gt;2,"3-5 YIL",AG422&gt;0.9,"1-3 YIL",AG422&lt;1,"0-1 YIL")</f>
        <v>5-10 YIL</v>
      </c>
      <c r="AJ422">
        <f t="shared" si="19"/>
        <v>2019</v>
      </c>
      <c r="AK422" t="e">
        <f t="shared" si="20"/>
        <v>#VALUE!</v>
      </c>
    </row>
    <row r="423" spans="1:37" x14ac:dyDescent="0.3">
      <c r="A423" s="6" t="s">
        <v>790</v>
      </c>
      <c r="B423" s="7" t="s">
        <v>791</v>
      </c>
      <c r="C423" s="6" t="s">
        <v>48</v>
      </c>
      <c r="D423" s="14">
        <v>37340</v>
      </c>
      <c r="E423" s="8">
        <v>24</v>
      </c>
      <c r="F423" s="6" t="s">
        <v>49</v>
      </c>
      <c r="G423" s="8">
        <v>1</v>
      </c>
      <c r="H423" s="6" t="s">
        <v>88</v>
      </c>
      <c r="I423" s="7" t="s">
        <v>36</v>
      </c>
      <c r="J423" s="7" t="s">
        <v>37</v>
      </c>
      <c r="K423" s="6" t="s">
        <v>38</v>
      </c>
      <c r="L423" s="6" t="s">
        <v>39</v>
      </c>
      <c r="M423" s="7" t="s">
        <v>40</v>
      </c>
      <c r="N423" s="6" t="s">
        <v>41</v>
      </c>
      <c r="O423" s="14">
        <v>45999</v>
      </c>
      <c r="P423" s="6" t="s">
        <v>44</v>
      </c>
      <c r="Q423" s="7" t="s">
        <v>44</v>
      </c>
      <c r="R423" s="6" t="s">
        <v>44</v>
      </c>
      <c r="S423" s="6" t="s">
        <v>56</v>
      </c>
      <c r="T423" s="9">
        <v>24700</v>
      </c>
      <c r="U423" s="9">
        <v>0</v>
      </c>
      <c r="V423" s="8">
        <v>26</v>
      </c>
      <c r="W423" s="8">
        <v>29</v>
      </c>
      <c r="X423" s="6" t="s">
        <v>81</v>
      </c>
      <c r="Y423" s="8">
        <v>0</v>
      </c>
      <c r="Z423" s="8">
        <v>0</v>
      </c>
      <c r="AA423" s="8">
        <v>1</v>
      </c>
      <c r="AB423" s="8">
        <v>0</v>
      </c>
      <c r="AC423" s="8">
        <v>3</v>
      </c>
      <c r="AD423" s="8">
        <v>17</v>
      </c>
      <c r="AE423" s="7" t="s">
        <v>58</v>
      </c>
      <c r="AG423">
        <f t="shared" ca="1" si="18"/>
        <v>0</v>
      </c>
      <c r="AH423" s="23" t="str" cm="1">
        <f t="array" ref="AH423">_xlfn.IFS(E423&gt;49,"50+",E423&gt;39,"40-49",E423&gt;29,"30-39",E423&gt;19,"20-29")</f>
        <v>20-29</v>
      </c>
      <c r="AI423" s="24" t="str" cm="1">
        <f t="array" aca="1" ref="AI423" ca="1">_xlfn.IFS(AG423&gt;10,"10+",AG423&gt;4,"5-10 YIL",AG423&gt;2,"3-5 YIL",AG423&gt;0.9,"1-3 YIL",AG423&lt;1,"0-1 YIL")</f>
        <v>0-1 YIL</v>
      </c>
      <c r="AJ423">
        <f t="shared" si="19"/>
        <v>2025</v>
      </c>
      <c r="AK423" t="e">
        <f t="shared" si="20"/>
        <v>#VALUE!</v>
      </c>
    </row>
    <row r="424" spans="1:37" x14ac:dyDescent="0.3">
      <c r="A424" s="2" t="s">
        <v>792</v>
      </c>
      <c r="B424" s="3" t="s">
        <v>453</v>
      </c>
      <c r="C424" s="2" t="s">
        <v>33</v>
      </c>
      <c r="D424" s="13">
        <v>38114</v>
      </c>
      <c r="E424" s="4">
        <v>22</v>
      </c>
      <c r="F424" s="2" t="s">
        <v>49</v>
      </c>
      <c r="G424" s="4">
        <v>0</v>
      </c>
      <c r="H424" s="2" t="s">
        <v>35</v>
      </c>
      <c r="I424" s="3" t="s">
        <v>139</v>
      </c>
      <c r="J424" s="3" t="s">
        <v>235</v>
      </c>
      <c r="K424" s="2" t="s">
        <v>38</v>
      </c>
      <c r="L424" s="2" t="s">
        <v>63</v>
      </c>
      <c r="M424" s="3" t="s">
        <v>162</v>
      </c>
      <c r="N424" s="2" t="s">
        <v>41</v>
      </c>
      <c r="O424" s="13">
        <v>46115</v>
      </c>
      <c r="P424" s="2" t="s">
        <v>44</v>
      </c>
      <c r="Q424" s="3" t="s">
        <v>44</v>
      </c>
      <c r="R424" s="2" t="s">
        <v>44</v>
      </c>
      <c r="S424" s="2" t="s">
        <v>56</v>
      </c>
      <c r="T424" s="5">
        <v>51300</v>
      </c>
      <c r="U424" s="5">
        <v>3200</v>
      </c>
      <c r="V424" s="4">
        <v>8</v>
      </c>
      <c r="W424" s="4">
        <v>30</v>
      </c>
      <c r="X424" s="2" t="s">
        <v>44</v>
      </c>
      <c r="Y424" s="4">
        <v>0</v>
      </c>
      <c r="Z424" s="4">
        <v>0</v>
      </c>
      <c r="AA424" s="4">
        <v>0</v>
      </c>
      <c r="AB424" s="4">
        <v>0</v>
      </c>
      <c r="AC424" s="4">
        <v>3</v>
      </c>
      <c r="AD424" s="4">
        <v>14</v>
      </c>
      <c r="AE424" s="3" t="s">
        <v>58</v>
      </c>
      <c r="AG424">
        <f t="shared" ca="1" si="18"/>
        <v>0</v>
      </c>
      <c r="AH424" s="23" t="str" cm="1">
        <f t="array" ref="AH424">_xlfn.IFS(E424&gt;49,"50+",E424&gt;39,"40-49",E424&gt;29,"30-39",E424&gt;19,"20-29")</f>
        <v>20-29</v>
      </c>
      <c r="AI424" s="24" t="str" cm="1">
        <f t="array" aca="1" ref="AI424" ca="1">_xlfn.IFS(AG424&gt;10,"10+",AG424&gt;4,"5-10 YIL",AG424&gt;2,"3-5 YIL",AG424&gt;0.9,"1-3 YIL",AG424&lt;1,"0-1 YIL")</f>
        <v>0-1 YIL</v>
      </c>
      <c r="AJ424">
        <f t="shared" si="19"/>
        <v>2026</v>
      </c>
      <c r="AK424" t="e">
        <f t="shared" si="20"/>
        <v>#VALUE!</v>
      </c>
    </row>
    <row r="425" spans="1:37" x14ac:dyDescent="0.3">
      <c r="A425" s="6" t="s">
        <v>793</v>
      </c>
      <c r="B425" s="7" t="s">
        <v>775</v>
      </c>
      <c r="C425" s="6" t="s">
        <v>48</v>
      </c>
      <c r="D425" s="14">
        <v>29069</v>
      </c>
      <c r="E425" s="8">
        <v>47</v>
      </c>
      <c r="F425" s="6" t="s">
        <v>49</v>
      </c>
      <c r="G425" s="8">
        <v>0</v>
      </c>
      <c r="H425" s="6" t="s">
        <v>88</v>
      </c>
      <c r="I425" s="7" t="s">
        <v>70</v>
      </c>
      <c r="J425" s="7" t="s">
        <v>71</v>
      </c>
      <c r="K425" s="6" t="s">
        <v>51</v>
      </c>
      <c r="L425" s="6" t="s">
        <v>63</v>
      </c>
      <c r="M425" s="7" t="s">
        <v>72</v>
      </c>
      <c r="N425" s="6" t="s">
        <v>41</v>
      </c>
      <c r="O425" s="14">
        <v>43872</v>
      </c>
      <c r="P425" s="6" t="s">
        <v>44</v>
      </c>
      <c r="Q425" s="7" t="s">
        <v>44</v>
      </c>
      <c r="R425" s="6" t="s">
        <v>44</v>
      </c>
      <c r="S425" s="6" t="s">
        <v>56</v>
      </c>
      <c r="T425" s="9">
        <v>56900</v>
      </c>
      <c r="U425" s="9">
        <v>0</v>
      </c>
      <c r="V425" s="8">
        <v>5</v>
      </c>
      <c r="W425" s="8">
        <v>27</v>
      </c>
      <c r="X425" s="6" t="s">
        <v>81</v>
      </c>
      <c r="Y425" s="8">
        <v>0</v>
      </c>
      <c r="Z425" s="8">
        <v>13</v>
      </c>
      <c r="AA425" s="8">
        <v>3</v>
      </c>
      <c r="AB425" s="8">
        <v>0</v>
      </c>
      <c r="AC425" s="8">
        <v>4</v>
      </c>
      <c r="AD425" s="8">
        <v>31</v>
      </c>
      <c r="AE425" s="7" t="s">
        <v>58</v>
      </c>
      <c r="AG425">
        <f t="shared" ca="1" si="18"/>
        <v>6</v>
      </c>
      <c r="AH425" s="23" t="str" cm="1">
        <f t="array" ref="AH425">_xlfn.IFS(E425&gt;49,"50+",E425&gt;39,"40-49",E425&gt;29,"30-39",E425&gt;19,"20-29")</f>
        <v>40-49</v>
      </c>
      <c r="AI425" s="24" t="str" cm="1">
        <f t="array" aca="1" ref="AI425" ca="1">_xlfn.IFS(AG425&gt;10,"10+",AG425&gt;4,"5-10 YIL",AG425&gt;2,"3-5 YIL",AG425&gt;0.9,"1-3 YIL",AG425&lt;1,"0-1 YIL")</f>
        <v>5-10 YIL</v>
      </c>
      <c r="AJ425">
        <f t="shared" si="19"/>
        <v>2020</v>
      </c>
      <c r="AK425" t="e">
        <f t="shared" si="20"/>
        <v>#VALUE!</v>
      </c>
    </row>
    <row r="426" spans="1:37" x14ac:dyDescent="0.3">
      <c r="A426" s="2" t="s">
        <v>794</v>
      </c>
      <c r="B426" s="3" t="s">
        <v>795</v>
      </c>
      <c r="C426" s="2" t="s">
        <v>48</v>
      </c>
      <c r="D426" s="13">
        <v>37026</v>
      </c>
      <c r="E426" s="4">
        <v>25</v>
      </c>
      <c r="F426" s="2" t="s">
        <v>49</v>
      </c>
      <c r="G426" s="4">
        <v>0</v>
      </c>
      <c r="H426" s="2" t="s">
        <v>35</v>
      </c>
      <c r="I426" s="3" t="s">
        <v>36</v>
      </c>
      <c r="J426" s="3" t="s">
        <v>37</v>
      </c>
      <c r="K426" s="2" t="s">
        <v>38</v>
      </c>
      <c r="L426" s="2" t="s">
        <v>39</v>
      </c>
      <c r="M426" s="3" t="s">
        <v>40</v>
      </c>
      <c r="N426" s="2" t="s">
        <v>89</v>
      </c>
      <c r="O426" s="13">
        <v>45072</v>
      </c>
      <c r="P426" s="2" t="s">
        <v>44</v>
      </c>
      <c r="Q426" s="3" t="s">
        <v>44</v>
      </c>
      <c r="R426" s="2" t="s">
        <v>44</v>
      </c>
      <c r="S426" s="2" t="s">
        <v>56</v>
      </c>
      <c r="T426" s="5">
        <v>25500</v>
      </c>
      <c r="U426" s="5">
        <v>0</v>
      </c>
      <c r="V426" s="4">
        <v>38</v>
      </c>
      <c r="W426" s="4">
        <v>30</v>
      </c>
      <c r="X426" s="2" t="s">
        <v>44</v>
      </c>
      <c r="Y426" s="4">
        <v>0</v>
      </c>
      <c r="Z426" s="4">
        <v>7</v>
      </c>
      <c r="AA426" s="4">
        <v>0</v>
      </c>
      <c r="AB426" s="4">
        <v>0</v>
      </c>
      <c r="AC426" s="4">
        <v>4</v>
      </c>
      <c r="AD426" s="4">
        <v>21</v>
      </c>
      <c r="AE426" s="3" t="s">
        <v>58</v>
      </c>
      <c r="AG426">
        <f t="shared" ca="1" si="18"/>
        <v>3</v>
      </c>
      <c r="AH426" s="23" t="str" cm="1">
        <f t="array" ref="AH426">_xlfn.IFS(E426&gt;49,"50+",E426&gt;39,"40-49",E426&gt;29,"30-39",E426&gt;19,"20-29")</f>
        <v>20-29</v>
      </c>
      <c r="AI426" s="24" t="str" cm="1">
        <f t="array" aca="1" ref="AI426" ca="1">_xlfn.IFS(AG426&gt;10,"10+",AG426&gt;4,"5-10 YIL",AG426&gt;2,"3-5 YIL",AG426&gt;0.9,"1-3 YIL",AG426&lt;1,"0-1 YIL")</f>
        <v>3-5 YIL</v>
      </c>
      <c r="AJ426">
        <f t="shared" si="19"/>
        <v>2023</v>
      </c>
      <c r="AK426" t="e">
        <f t="shared" si="20"/>
        <v>#VALUE!</v>
      </c>
    </row>
    <row r="427" spans="1:37" x14ac:dyDescent="0.3">
      <c r="A427" s="6" t="s">
        <v>796</v>
      </c>
      <c r="B427" s="7" t="s">
        <v>797</v>
      </c>
      <c r="C427" s="6" t="s">
        <v>33</v>
      </c>
      <c r="D427" s="14">
        <v>37825</v>
      </c>
      <c r="E427" s="8">
        <v>23</v>
      </c>
      <c r="F427" s="6" t="s">
        <v>34</v>
      </c>
      <c r="G427" s="8">
        <v>0</v>
      </c>
      <c r="H427" s="6" t="s">
        <v>35</v>
      </c>
      <c r="I427" s="7" t="s">
        <v>61</v>
      </c>
      <c r="J427" s="7" t="s">
        <v>62</v>
      </c>
      <c r="K427" s="6" t="s">
        <v>38</v>
      </c>
      <c r="L427" s="6" t="s">
        <v>63</v>
      </c>
      <c r="M427" s="7" t="s">
        <v>64</v>
      </c>
      <c r="N427" s="6" t="s">
        <v>41</v>
      </c>
      <c r="O427" s="14">
        <v>45111</v>
      </c>
      <c r="P427" s="6" t="s">
        <v>44</v>
      </c>
      <c r="Q427" s="7" t="s">
        <v>44</v>
      </c>
      <c r="R427" s="6" t="s">
        <v>44</v>
      </c>
      <c r="S427" s="6" t="s">
        <v>56</v>
      </c>
      <c r="T427" s="9">
        <v>36300</v>
      </c>
      <c r="U427" s="9">
        <v>4100</v>
      </c>
      <c r="V427" s="8">
        <v>1</v>
      </c>
      <c r="W427" s="8">
        <v>30</v>
      </c>
      <c r="X427" s="6" t="s">
        <v>44</v>
      </c>
      <c r="Y427" s="8">
        <v>0</v>
      </c>
      <c r="Z427" s="8">
        <v>1</v>
      </c>
      <c r="AA427" s="8">
        <v>0</v>
      </c>
      <c r="AB427" s="8">
        <v>0</v>
      </c>
      <c r="AC427" s="8">
        <v>1</v>
      </c>
      <c r="AD427" s="8">
        <v>19</v>
      </c>
      <c r="AE427" s="7" t="s">
        <v>45</v>
      </c>
      <c r="AG427">
        <f t="shared" ca="1" si="18"/>
        <v>2</v>
      </c>
      <c r="AH427" s="23" t="str" cm="1">
        <f t="array" ref="AH427">_xlfn.IFS(E427&gt;49,"50+",E427&gt;39,"40-49",E427&gt;29,"30-39",E427&gt;19,"20-29")</f>
        <v>20-29</v>
      </c>
      <c r="AI427" s="24" t="str" cm="1">
        <f t="array" aca="1" ref="AI427" ca="1">_xlfn.IFS(AG427&gt;10,"10+",AG427&gt;4,"5-10 YIL",AG427&gt;2,"3-5 YIL",AG427&gt;0.9,"1-3 YIL",AG427&lt;1,"0-1 YIL")</f>
        <v>1-3 YIL</v>
      </c>
      <c r="AJ427">
        <f t="shared" si="19"/>
        <v>2023</v>
      </c>
      <c r="AK427" t="e">
        <f t="shared" si="20"/>
        <v>#VALUE!</v>
      </c>
    </row>
    <row r="428" spans="1:37" x14ac:dyDescent="0.3">
      <c r="A428" s="2" t="s">
        <v>798</v>
      </c>
      <c r="B428" s="3" t="s">
        <v>335</v>
      </c>
      <c r="C428" s="2" t="s">
        <v>48</v>
      </c>
      <c r="D428" s="13">
        <v>35665</v>
      </c>
      <c r="E428" s="4">
        <v>29</v>
      </c>
      <c r="F428" s="2" t="s">
        <v>34</v>
      </c>
      <c r="G428" s="4">
        <v>0</v>
      </c>
      <c r="H428" s="2" t="s">
        <v>88</v>
      </c>
      <c r="I428" s="3" t="s">
        <v>36</v>
      </c>
      <c r="J428" s="3" t="s">
        <v>37</v>
      </c>
      <c r="K428" s="2" t="s">
        <v>38</v>
      </c>
      <c r="L428" s="2" t="s">
        <v>39</v>
      </c>
      <c r="M428" s="3" t="s">
        <v>40</v>
      </c>
      <c r="N428" s="2" t="s">
        <v>41</v>
      </c>
      <c r="O428" s="13">
        <v>45060</v>
      </c>
      <c r="P428" s="2" t="s">
        <v>44</v>
      </c>
      <c r="Q428" s="3" t="s">
        <v>44</v>
      </c>
      <c r="R428" s="2" t="s">
        <v>44</v>
      </c>
      <c r="S428" s="2" t="s">
        <v>56</v>
      </c>
      <c r="T428" s="5">
        <v>24300</v>
      </c>
      <c r="U428" s="5">
        <v>0</v>
      </c>
      <c r="V428" s="4">
        <v>39</v>
      </c>
      <c r="W428" s="4">
        <v>30</v>
      </c>
      <c r="X428" s="2" t="s">
        <v>44</v>
      </c>
      <c r="Y428" s="4">
        <v>0</v>
      </c>
      <c r="Z428" s="4">
        <v>7</v>
      </c>
      <c r="AA428" s="4">
        <v>0</v>
      </c>
      <c r="AB428" s="4">
        <v>0</v>
      </c>
      <c r="AC428" s="4">
        <v>4</v>
      </c>
      <c r="AD428" s="4">
        <v>22</v>
      </c>
      <c r="AE428" s="3" t="s">
        <v>58</v>
      </c>
      <c r="AG428">
        <f t="shared" ca="1" si="18"/>
        <v>3</v>
      </c>
      <c r="AH428" s="23" t="str" cm="1">
        <f t="array" ref="AH428">_xlfn.IFS(E428&gt;49,"50+",E428&gt;39,"40-49",E428&gt;29,"30-39",E428&gt;19,"20-29")</f>
        <v>20-29</v>
      </c>
      <c r="AI428" s="24" t="str" cm="1">
        <f t="array" aca="1" ref="AI428" ca="1">_xlfn.IFS(AG428&gt;10,"10+",AG428&gt;4,"5-10 YIL",AG428&gt;2,"3-5 YIL",AG428&gt;0.9,"1-3 YIL",AG428&lt;1,"0-1 YIL")</f>
        <v>3-5 YIL</v>
      </c>
      <c r="AJ428">
        <f t="shared" si="19"/>
        <v>2023</v>
      </c>
      <c r="AK428" t="e">
        <f t="shared" si="20"/>
        <v>#VALUE!</v>
      </c>
    </row>
    <row r="429" spans="1:37" x14ac:dyDescent="0.3">
      <c r="A429" s="6" t="s">
        <v>799</v>
      </c>
      <c r="B429" s="7" t="s">
        <v>234</v>
      </c>
      <c r="C429" s="6" t="s">
        <v>33</v>
      </c>
      <c r="D429" s="14">
        <v>36856</v>
      </c>
      <c r="E429" s="8">
        <v>26</v>
      </c>
      <c r="F429" s="6" t="s">
        <v>34</v>
      </c>
      <c r="G429" s="8">
        <v>0</v>
      </c>
      <c r="H429" s="6" t="s">
        <v>35</v>
      </c>
      <c r="I429" s="7" t="s">
        <v>36</v>
      </c>
      <c r="J429" s="7" t="s">
        <v>37</v>
      </c>
      <c r="K429" s="6" t="s">
        <v>38</v>
      </c>
      <c r="L429" s="6" t="s">
        <v>39</v>
      </c>
      <c r="M429" s="7" t="s">
        <v>40</v>
      </c>
      <c r="N429" s="6" t="s">
        <v>89</v>
      </c>
      <c r="O429" s="14">
        <v>45385</v>
      </c>
      <c r="P429" s="6" t="s">
        <v>44</v>
      </c>
      <c r="Q429" s="7" t="s">
        <v>44</v>
      </c>
      <c r="R429" s="6" t="s">
        <v>44</v>
      </c>
      <c r="S429" s="6" t="s">
        <v>56</v>
      </c>
      <c r="T429" s="9">
        <v>27700</v>
      </c>
      <c r="U429" s="9">
        <v>0</v>
      </c>
      <c r="V429" s="8">
        <v>40</v>
      </c>
      <c r="W429" s="8">
        <v>30</v>
      </c>
      <c r="X429" s="6" t="s">
        <v>44</v>
      </c>
      <c r="Y429" s="8">
        <v>0</v>
      </c>
      <c r="Z429" s="8">
        <v>12</v>
      </c>
      <c r="AA429" s="8">
        <v>0</v>
      </c>
      <c r="AB429" s="8">
        <v>0</v>
      </c>
      <c r="AC429" s="8">
        <v>1</v>
      </c>
      <c r="AD429" s="8">
        <v>16</v>
      </c>
      <c r="AE429" s="7" t="s">
        <v>82</v>
      </c>
      <c r="AG429">
        <f t="shared" ca="1" si="18"/>
        <v>2</v>
      </c>
      <c r="AH429" s="23" t="str" cm="1">
        <f t="array" ref="AH429">_xlfn.IFS(E429&gt;49,"50+",E429&gt;39,"40-49",E429&gt;29,"30-39",E429&gt;19,"20-29")</f>
        <v>20-29</v>
      </c>
      <c r="AI429" s="24" t="str" cm="1">
        <f t="array" aca="1" ref="AI429" ca="1">_xlfn.IFS(AG429&gt;10,"10+",AG429&gt;4,"5-10 YIL",AG429&gt;2,"3-5 YIL",AG429&gt;0.9,"1-3 YIL",AG429&lt;1,"0-1 YIL")</f>
        <v>1-3 YIL</v>
      </c>
      <c r="AJ429">
        <f t="shared" si="19"/>
        <v>2024</v>
      </c>
      <c r="AK429" t="e">
        <f t="shared" si="20"/>
        <v>#VALUE!</v>
      </c>
    </row>
    <row r="430" spans="1:37" x14ac:dyDescent="0.3">
      <c r="A430" s="2" t="s">
        <v>800</v>
      </c>
      <c r="B430" s="3" t="s">
        <v>801</v>
      </c>
      <c r="C430" s="2" t="s">
        <v>48</v>
      </c>
      <c r="D430" s="13">
        <v>31876</v>
      </c>
      <c r="E430" s="4">
        <v>39</v>
      </c>
      <c r="F430" s="2" t="s">
        <v>34</v>
      </c>
      <c r="G430" s="4">
        <v>0</v>
      </c>
      <c r="H430" s="2" t="s">
        <v>35</v>
      </c>
      <c r="I430" s="3" t="s">
        <v>36</v>
      </c>
      <c r="J430" s="3" t="s">
        <v>50</v>
      </c>
      <c r="K430" s="2" t="s">
        <v>51</v>
      </c>
      <c r="L430" s="2" t="s">
        <v>39</v>
      </c>
      <c r="M430" s="3" t="s">
        <v>40</v>
      </c>
      <c r="N430" s="2" t="s">
        <v>41</v>
      </c>
      <c r="O430" s="13">
        <v>42696</v>
      </c>
      <c r="P430" s="2" t="s">
        <v>44</v>
      </c>
      <c r="Q430" s="3" t="s">
        <v>44</v>
      </c>
      <c r="R430" s="2" t="s">
        <v>44</v>
      </c>
      <c r="S430" s="2" t="s">
        <v>56</v>
      </c>
      <c r="T430" s="5">
        <v>42600</v>
      </c>
      <c r="U430" s="5">
        <v>0</v>
      </c>
      <c r="V430" s="4">
        <v>32</v>
      </c>
      <c r="W430" s="4">
        <v>30</v>
      </c>
      <c r="X430" s="2" t="s">
        <v>44</v>
      </c>
      <c r="Y430" s="4">
        <v>0</v>
      </c>
      <c r="Z430" s="4">
        <v>1</v>
      </c>
      <c r="AA430" s="4">
        <v>0</v>
      </c>
      <c r="AB430" s="4">
        <v>0</v>
      </c>
      <c r="AC430" s="4">
        <v>4</v>
      </c>
      <c r="AD430" s="4">
        <v>31</v>
      </c>
      <c r="AE430" s="3" t="s">
        <v>58</v>
      </c>
      <c r="AG430">
        <f t="shared" ca="1" si="18"/>
        <v>9</v>
      </c>
      <c r="AH430" s="23" t="str" cm="1">
        <f t="array" ref="AH430">_xlfn.IFS(E430&gt;49,"50+",E430&gt;39,"40-49",E430&gt;29,"30-39",E430&gt;19,"20-29")</f>
        <v>30-39</v>
      </c>
      <c r="AI430" s="24" t="str" cm="1">
        <f t="array" aca="1" ref="AI430" ca="1">_xlfn.IFS(AG430&gt;10,"10+",AG430&gt;4,"5-10 YIL",AG430&gt;2,"3-5 YIL",AG430&gt;0.9,"1-3 YIL",AG430&lt;1,"0-1 YIL")</f>
        <v>5-10 YIL</v>
      </c>
      <c r="AJ430">
        <f t="shared" si="19"/>
        <v>2016</v>
      </c>
      <c r="AK430" t="e">
        <f t="shared" si="20"/>
        <v>#VALUE!</v>
      </c>
    </row>
    <row r="431" spans="1:37" x14ac:dyDescent="0.3">
      <c r="A431" s="6" t="s">
        <v>802</v>
      </c>
      <c r="B431" s="7" t="s">
        <v>803</v>
      </c>
      <c r="C431" s="6" t="s">
        <v>48</v>
      </c>
      <c r="D431" s="14">
        <v>35591</v>
      </c>
      <c r="E431" s="8">
        <v>29</v>
      </c>
      <c r="F431" s="6" t="s">
        <v>34</v>
      </c>
      <c r="G431" s="8">
        <v>0</v>
      </c>
      <c r="H431" s="6" t="s">
        <v>88</v>
      </c>
      <c r="I431" s="7" t="s">
        <v>36</v>
      </c>
      <c r="J431" s="7" t="s">
        <v>37</v>
      </c>
      <c r="K431" s="6" t="s">
        <v>38</v>
      </c>
      <c r="L431" s="6" t="s">
        <v>39</v>
      </c>
      <c r="M431" s="7" t="s">
        <v>40</v>
      </c>
      <c r="N431" s="6" t="s">
        <v>41</v>
      </c>
      <c r="O431" s="14">
        <v>45681</v>
      </c>
      <c r="P431" s="6" t="s">
        <v>44</v>
      </c>
      <c r="Q431" s="7" t="s">
        <v>44</v>
      </c>
      <c r="R431" s="6" t="s">
        <v>44</v>
      </c>
      <c r="S431" s="6" t="s">
        <v>56</v>
      </c>
      <c r="T431" s="9">
        <v>26200</v>
      </c>
      <c r="U431" s="9">
        <v>0</v>
      </c>
      <c r="V431" s="8">
        <v>34</v>
      </c>
      <c r="W431" s="8">
        <v>25</v>
      </c>
      <c r="X431" s="6" t="s">
        <v>57</v>
      </c>
      <c r="Y431" s="8">
        <v>5</v>
      </c>
      <c r="Z431" s="8">
        <v>12</v>
      </c>
      <c r="AA431" s="8">
        <v>0</v>
      </c>
      <c r="AB431" s="8">
        <v>0</v>
      </c>
      <c r="AC431" s="8">
        <v>3</v>
      </c>
      <c r="AD431" s="8">
        <v>6</v>
      </c>
      <c r="AE431" s="7" t="s">
        <v>58</v>
      </c>
      <c r="AG431">
        <f t="shared" ca="1" si="18"/>
        <v>1</v>
      </c>
      <c r="AH431" s="23" t="str" cm="1">
        <f t="array" ref="AH431">_xlfn.IFS(E431&gt;49,"50+",E431&gt;39,"40-49",E431&gt;29,"30-39",E431&gt;19,"20-29")</f>
        <v>20-29</v>
      </c>
      <c r="AI431" s="24" t="str" cm="1">
        <f t="array" aca="1" ref="AI431" ca="1">_xlfn.IFS(AG431&gt;10,"10+",AG431&gt;4,"5-10 YIL",AG431&gt;2,"3-5 YIL",AG431&gt;0.9,"1-3 YIL",AG431&lt;1,"0-1 YIL")</f>
        <v>1-3 YIL</v>
      </c>
      <c r="AJ431">
        <f t="shared" si="19"/>
        <v>2025</v>
      </c>
      <c r="AK431" t="e">
        <f t="shared" si="20"/>
        <v>#VALUE!</v>
      </c>
    </row>
    <row r="432" spans="1:37" x14ac:dyDescent="0.3">
      <c r="A432" s="2" t="s">
        <v>804</v>
      </c>
      <c r="B432" s="3" t="s">
        <v>628</v>
      </c>
      <c r="C432" s="2" t="s">
        <v>48</v>
      </c>
      <c r="D432" s="13">
        <v>33761</v>
      </c>
      <c r="E432" s="4">
        <v>34</v>
      </c>
      <c r="F432" s="2" t="s">
        <v>49</v>
      </c>
      <c r="G432" s="4">
        <v>1</v>
      </c>
      <c r="H432" s="2" t="s">
        <v>85</v>
      </c>
      <c r="I432" s="3" t="s">
        <v>139</v>
      </c>
      <c r="J432" s="3" t="s">
        <v>161</v>
      </c>
      <c r="K432" s="2" t="s">
        <v>51</v>
      </c>
      <c r="L432" s="2" t="s">
        <v>63</v>
      </c>
      <c r="M432" s="3" t="s">
        <v>162</v>
      </c>
      <c r="N432" s="2" t="s">
        <v>41</v>
      </c>
      <c r="O432" s="13">
        <v>44407</v>
      </c>
      <c r="P432" s="2" t="s">
        <v>44</v>
      </c>
      <c r="Q432" s="3" t="s">
        <v>44</v>
      </c>
      <c r="R432" s="2" t="s">
        <v>44</v>
      </c>
      <c r="S432" s="2" t="s">
        <v>56</v>
      </c>
      <c r="T432" s="5">
        <v>72600</v>
      </c>
      <c r="U432" s="5">
        <v>0</v>
      </c>
      <c r="V432" s="4">
        <v>1</v>
      </c>
      <c r="W432" s="4">
        <v>28</v>
      </c>
      <c r="X432" s="2" t="s">
        <v>57</v>
      </c>
      <c r="Y432" s="4">
        <v>1</v>
      </c>
      <c r="Z432" s="4">
        <v>8</v>
      </c>
      <c r="AA432" s="4">
        <v>1</v>
      </c>
      <c r="AB432" s="4">
        <v>0</v>
      </c>
      <c r="AC432" s="4">
        <v>4</v>
      </c>
      <c r="AD432" s="4">
        <v>33</v>
      </c>
      <c r="AE432" s="3" t="s">
        <v>82</v>
      </c>
      <c r="AG432">
        <f t="shared" ca="1" si="18"/>
        <v>4</v>
      </c>
      <c r="AH432" s="23" t="str" cm="1">
        <f t="array" ref="AH432">_xlfn.IFS(E432&gt;49,"50+",E432&gt;39,"40-49",E432&gt;29,"30-39",E432&gt;19,"20-29")</f>
        <v>30-39</v>
      </c>
      <c r="AI432" s="24" t="str" cm="1">
        <f t="array" aca="1" ref="AI432" ca="1">_xlfn.IFS(AG432&gt;10,"10+",AG432&gt;4,"5-10 YIL",AG432&gt;2,"3-5 YIL",AG432&gt;0.9,"1-3 YIL",AG432&lt;1,"0-1 YIL")</f>
        <v>3-5 YIL</v>
      </c>
      <c r="AJ432">
        <f t="shared" si="19"/>
        <v>2021</v>
      </c>
      <c r="AK432" t="e">
        <f t="shared" si="20"/>
        <v>#VALUE!</v>
      </c>
    </row>
    <row r="433" spans="1:37" x14ac:dyDescent="0.3">
      <c r="A433" s="6" t="s">
        <v>805</v>
      </c>
      <c r="B433" s="7" t="s">
        <v>640</v>
      </c>
      <c r="C433" s="6" t="s">
        <v>33</v>
      </c>
      <c r="D433" s="14">
        <v>35833</v>
      </c>
      <c r="E433" s="8">
        <v>28</v>
      </c>
      <c r="F433" s="6" t="s">
        <v>34</v>
      </c>
      <c r="G433" s="8">
        <v>0</v>
      </c>
      <c r="H433" s="6" t="s">
        <v>184</v>
      </c>
      <c r="I433" s="7" t="s">
        <v>36</v>
      </c>
      <c r="J433" s="7" t="s">
        <v>37</v>
      </c>
      <c r="K433" s="6" t="s">
        <v>38</v>
      </c>
      <c r="L433" s="6" t="s">
        <v>39</v>
      </c>
      <c r="M433" s="7" t="s">
        <v>40</v>
      </c>
      <c r="N433" s="6" t="s">
        <v>67</v>
      </c>
      <c r="O433" s="14">
        <v>44913</v>
      </c>
      <c r="P433" s="6" t="s">
        <v>44</v>
      </c>
      <c r="Q433" s="7" t="s">
        <v>44</v>
      </c>
      <c r="R433" s="6" t="s">
        <v>44</v>
      </c>
      <c r="S433" s="6" t="s">
        <v>56</v>
      </c>
      <c r="T433" s="9">
        <v>25400</v>
      </c>
      <c r="U433" s="9">
        <v>0</v>
      </c>
      <c r="V433" s="8">
        <v>31</v>
      </c>
      <c r="W433" s="8">
        <v>28</v>
      </c>
      <c r="X433" s="6" t="s">
        <v>57</v>
      </c>
      <c r="Y433" s="8">
        <v>2</v>
      </c>
      <c r="Z433" s="8">
        <v>6</v>
      </c>
      <c r="AA433" s="8">
        <v>0</v>
      </c>
      <c r="AB433" s="8">
        <v>0</v>
      </c>
      <c r="AC433" s="8">
        <v>2</v>
      </c>
      <c r="AD433" s="8">
        <v>10</v>
      </c>
      <c r="AE433" s="7" t="s">
        <v>58</v>
      </c>
      <c r="AG433">
        <f t="shared" ca="1" si="18"/>
        <v>3</v>
      </c>
      <c r="AH433" s="23" t="str" cm="1">
        <f t="array" ref="AH433">_xlfn.IFS(E433&gt;49,"50+",E433&gt;39,"40-49",E433&gt;29,"30-39",E433&gt;19,"20-29")</f>
        <v>20-29</v>
      </c>
      <c r="AI433" s="24" t="str" cm="1">
        <f t="array" aca="1" ref="AI433" ca="1">_xlfn.IFS(AG433&gt;10,"10+",AG433&gt;4,"5-10 YIL",AG433&gt;2,"3-5 YIL",AG433&gt;0.9,"1-3 YIL",AG433&lt;1,"0-1 YIL")</f>
        <v>3-5 YIL</v>
      </c>
      <c r="AJ433">
        <f t="shared" si="19"/>
        <v>2022</v>
      </c>
      <c r="AK433" t="e">
        <f t="shared" si="20"/>
        <v>#VALUE!</v>
      </c>
    </row>
    <row r="434" spans="1:37" x14ac:dyDescent="0.3">
      <c r="A434" s="2" t="s">
        <v>806</v>
      </c>
      <c r="B434" s="3" t="s">
        <v>91</v>
      </c>
      <c r="C434" s="2" t="s">
        <v>48</v>
      </c>
      <c r="D434" s="13">
        <v>36913</v>
      </c>
      <c r="E434" s="4">
        <v>25</v>
      </c>
      <c r="F434" s="2" t="s">
        <v>34</v>
      </c>
      <c r="G434" s="4">
        <v>0</v>
      </c>
      <c r="H434" s="2" t="s">
        <v>35</v>
      </c>
      <c r="I434" s="3" t="s">
        <v>36</v>
      </c>
      <c r="J434" s="3" t="s">
        <v>37</v>
      </c>
      <c r="K434" s="2" t="s">
        <v>38</v>
      </c>
      <c r="L434" s="2" t="s">
        <v>39</v>
      </c>
      <c r="M434" s="3" t="s">
        <v>40</v>
      </c>
      <c r="N434" s="2" t="s">
        <v>41</v>
      </c>
      <c r="O434" s="13">
        <v>45825</v>
      </c>
      <c r="P434" s="2" t="s">
        <v>44</v>
      </c>
      <c r="Q434" s="3" t="s">
        <v>44</v>
      </c>
      <c r="R434" s="2" t="s">
        <v>44</v>
      </c>
      <c r="S434" s="2" t="s">
        <v>56</v>
      </c>
      <c r="T434" s="5">
        <v>25400</v>
      </c>
      <c r="U434" s="5">
        <v>0</v>
      </c>
      <c r="V434" s="4">
        <v>31</v>
      </c>
      <c r="W434" s="4">
        <v>29</v>
      </c>
      <c r="X434" s="2" t="s">
        <v>57</v>
      </c>
      <c r="Y434" s="4">
        <v>1</v>
      </c>
      <c r="Z434" s="4">
        <v>0</v>
      </c>
      <c r="AA434" s="4">
        <v>0</v>
      </c>
      <c r="AB434" s="4">
        <v>0</v>
      </c>
      <c r="AC434" s="4">
        <v>4</v>
      </c>
      <c r="AD434" s="4">
        <v>35</v>
      </c>
      <c r="AE434" s="3" t="s">
        <v>58</v>
      </c>
      <c r="AG434">
        <f t="shared" ca="1" si="18"/>
        <v>1</v>
      </c>
      <c r="AH434" s="23" t="str" cm="1">
        <f t="array" ref="AH434">_xlfn.IFS(E434&gt;49,"50+",E434&gt;39,"40-49",E434&gt;29,"30-39",E434&gt;19,"20-29")</f>
        <v>20-29</v>
      </c>
      <c r="AI434" s="24" t="str" cm="1">
        <f t="array" aca="1" ref="AI434" ca="1">_xlfn.IFS(AG434&gt;10,"10+",AG434&gt;4,"5-10 YIL",AG434&gt;2,"3-5 YIL",AG434&gt;0.9,"1-3 YIL",AG434&lt;1,"0-1 YIL")</f>
        <v>1-3 YIL</v>
      </c>
      <c r="AJ434">
        <f t="shared" si="19"/>
        <v>2025</v>
      </c>
      <c r="AK434" t="e">
        <f t="shared" si="20"/>
        <v>#VALUE!</v>
      </c>
    </row>
    <row r="435" spans="1:37" x14ac:dyDescent="0.3">
      <c r="A435" s="6" t="s">
        <v>807</v>
      </c>
      <c r="B435" s="7" t="s">
        <v>808</v>
      </c>
      <c r="C435" s="6" t="s">
        <v>48</v>
      </c>
      <c r="D435" s="14">
        <v>36639</v>
      </c>
      <c r="E435" s="8">
        <v>26</v>
      </c>
      <c r="F435" s="6" t="s">
        <v>34</v>
      </c>
      <c r="G435" s="8">
        <v>0</v>
      </c>
      <c r="H435" s="6" t="s">
        <v>85</v>
      </c>
      <c r="I435" s="7" t="s">
        <v>36</v>
      </c>
      <c r="J435" s="7" t="s">
        <v>37</v>
      </c>
      <c r="K435" s="6" t="s">
        <v>38</v>
      </c>
      <c r="L435" s="6" t="s">
        <v>39</v>
      </c>
      <c r="M435" s="7" t="s">
        <v>40</v>
      </c>
      <c r="N435" s="6" t="s">
        <v>67</v>
      </c>
      <c r="O435" s="14">
        <v>45172</v>
      </c>
      <c r="P435" s="6" t="s">
        <v>44</v>
      </c>
      <c r="Q435" s="7" t="s">
        <v>44</v>
      </c>
      <c r="R435" s="6" t="s">
        <v>44</v>
      </c>
      <c r="S435" s="6" t="s">
        <v>56</v>
      </c>
      <c r="T435" s="9">
        <v>28500</v>
      </c>
      <c r="U435" s="9">
        <v>0</v>
      </c>
      <c r="V435" s="8">
        <v>26</v>
      </c>
      <c r="W435" s="8">
        <v>30</v>
      </c>
      <c r="X435" s="6" t="s">
        <v>44</v>
      </c>
      <c r="Y435" s="8">
        <v>0</v>
      </c>
      <c r="Z435" s="8">
        <v>4</v>
      </c>
      <c r="AA435" s="8">
        <v>0</v>
      </c>
      <c r="AB435" s="8">
        <v>0</v>
      </c>
      <c r="AC435" s="8">
        <v>3</v>
      </c>
      <c r="AD435" s="8">
        <v>18</v>
      </c>
      <c r="AE435" s="7" t="s">
        <v>58</v>
      </c>
      <c r="AG435">
        <f t="shared" ca="1" si="18"/>
        <v>2</v>
      </c>
      <c r="AH435" s="23" t="str" cm="1">
        <f t="array" ref="AH435">_xlfn.IFS(E435&gt;49,"50+",E435&gt;39,"40-49",E435&gt;29,"30-39",E435&gt;19,"20-29")</f>
        <v>20-29</v>
      </c>
      <c r="AI435" s="24" t="str" cm="1">
        <f t="array" aca="1" ref="AI435" ca="1">_xlfn.IFS(AG435&gt;10,"10+",AG435&gt;4,"5-10 YIL",AG435&gt;2,"3-5 YIL",AG435&gt;0.9,"1-3 YIL",AG435&lt;1,"0-1 YIL")</f>
        <v>1-3 YIL</v>
      </c>
      <c r="AJ435">
        <f t="shared" si="19"/>
        <v>2023</v>
      </c>
      <c r="AK435" t="e">
        <f t="shared" si="20"/>
        <v>#VALUE!</v>
      </c>
    </row>
    <row r="436" spans="1:37" x14ac:dyDescent="0.3">
      <c r="A436" s="2" t="s">
        <v>809</v>
      </c>
      <c r="B436" s="3" t="s">
        <v>810</v>
      </c>
      <c r="C436" s="2" t="s">
        <v>48</v>
      </c>
      <c r="D436" s="13">
        <v>29233</v>
      </c>
      <c r="E436" s="4">
        <v>46</v>
      </c>
      <c r="F436" s="2" t="s">
        <v>49</v>
      </c>
      <c r="G436" s="4">
        <v>0</v>
      </c>
      <c r="H436" s="2" t="s">
        <v>88</v>
      </c>
      <c r="I436" s="3" t="s">
        <v>70</v>
      </c>
      <c r="J436" s="3" t="s">
        <v>71</v>
      </c>
      <c r="K436" s="2" t="s">
        <v>51</v>
      </c>
      <c r="L436" s="2" t="s">
        <v>63</v>
      </c>
      <c r="M436" s="3" t="s">
        <v>72</v>
      </c>
      <c r="N436" s="2" t="s">
        <v>95</v>
      </c>
      <c r="O436" s="13">
        <v>44892</v>
      </c>
      <c r="P436" s="2" t="s">
        <v>44</v>
      </c>
      <c r="Q436" s="3" t="s">
        <v>44</v>
      </c>
      <c r="R436" s="2" t="s">
        <v>44</v>
      </c>
      <c r="S436" s="2" t="s">
        <v>56</v>
      </c>
      <c r="T436" s="5">
        <v>62000</v>
      </c>
      <c r="U436" s="5">
        <v>0</v>
      </c>
      <c r="V436" s="4">
        <v>2</v>
      </c>
      <c r="W436" s="4">
        <v>28</v>
      </c>
      <c r="X436" s="2" t="s">
        <v>57</v>
      </c>
      <c r="Y436" s="4">
        <v>2</v>
      </c>
      <c r="Z436" s="4">
        <v>3</v>
      </c>
      <c r="AA436" s="4">
        <v>0</v>
      </c>
      <c r="AB436" s="4">
        <v>0</v>
      </c>
      <c r="AC436" s="4">
        <v>2</v>
      </c>
      <c r="AD436" s="4">
        <v>3</v>
      </c>
      <c r="AE436" s="3" t="s">
        <v>58</v>
      </c>
      <c r="AG436">
        <f t="shared" ca="1" si="18"/>
        <v>3</v>
      </c>
      <c r="AH436" s="23" t="str" cm="1">
        <f t="array" ref="AH436">_xlfn.IFS(E436&gt;49,"50+",E436&gt;39,"40-49",E436&gt;29,"30-39",E436&gt;19,"20-29")</f>
        <v>40-49</v>
      </c>
      <c r="AI436" s="24" t="str" cm="1">
        <f t="array" aca="1" ref="AI436" ca="1">_xlfn.IFS(AG436&gt;10,"10+",AG436&gt;4,"5-10 YIL",AG436&gt;2,"3-5 YIL",AG436&gt;0.9,"1-3 YIL",AG436&lt;1,"0-1 YIL")</f>
        <v>3-5 YIL</v>
      </c>
      <c r="AJ436">
        <f t="shared" si="19"/>
        <v>2022</v>
      </c>
      <c r="AK436" t="e">
        <f t="shared" si="20"/>
        <v>#VALUE!</v>
      </c>
    </row>
    <row r="437" spans="1:37" x14ac:dyDescent="0.3">
      <c r="A437" s="6" t="s">
        <v>811</v>
      </c>
      <c r="B437" s="7" t="s">
        <v>812</v>
      </c>
      <c r="C437" s="6" t="s">
        <v>33</v>
      </c>
      <c r="D437" s="14">
        <v>29608</v>
      </c>
      <c r="E437" s="8">
        <v>45</v>
      </c>
      <c r="F437" s="6" t="s">
        <v>49</v>
      </c>
      <c r="G437" s="8">
        <v>0</v>
      </c>
      <c r="H437" s="6" t="s">
        <v>35</v>
      </c>
      <c r="I437" s="7" t="s">
        <v>139</v>
      </c>
      <c r="J437" s="7" t="s">
        <v>161</v>
      </c>
      <c r="K437" s="6" t="s">
        <v>51</v>
      </c>
      <c r="L437" s="6" t="s">
        <v>63</v>
      </c>
      <c r="M437" s="7" t="s">
        <v>162</v>
      </c>
      <c r="N437" s="6" t="s">
        <v>67</v>
      </c>
      <c r="O437" s="14">
        <v>43242</v>
      </c>
      <c r="P437" s="14">
        <v>45583</v>
      </c>
      <c r="Q437" s="7" t="s">
        <v>53</v>
      </c>
      <c r="R437" s="6">
        <v>4</v>
      </c>
      <c r="S437" s="6" t="s">
        <v>43</v>
      </c>
      <c r="T437" s="9">
        <v>77600</v>
      </c>
      <c r="U437" s="9">
        <v>0</v>
      </c>
      <c r="V437" s="8">
        <v>5</v>
      </c>
      <c r="W437" s="8">
        <v>30</v>
      </c>
      <c r="X437" s="6" t="s">
        <v>44</v>
      </c>
      <c r="Y437" s="8">
        <v>0</v>
      </c>
      <c r="Z437" s="8">
        <v>3</v>
      </c>
      <c r="AA437" s="8">
        <v>0</v>
      </c>
      <c r="AB437" s="8">
        <v>0</v>
      </c>
      <c r="AC437" s="8">
        <v>5</v>
      </c>
      <c r="AD437" s="8">
        <v>19</v>
      </c>
      <c r="AE437" s="7" t="s">
        <v>82</v>
      </c>
      <c r="AG437">
        <f t="shared" ca="1" si="18"/>
        <v>8</v>
      </c>
      <c r="AH437" s="23" t="str" cm="1">
        <f t="array" ref="AH437">_xlfn.IFS(E437&gt;49,"50+",E437&gt;39,"40-49",E437&gt;29,"30-39",E437&gt;19,"20-29")</f>
        <v>40-49</v>
      </c>
      <c r="AI437" s="24" t="str" cm="1">
        <f t="array" aca="1" ref="AI437" ca="1">_xlfn.IFS(AG437&gt;10,"10+",AG437&gt;4,"5-10 YIL",AG437&gt;2,"3-5 YIL",AG437&gt;0.9,"1-3 YIL",AG437&lt;1,"0-1 YIL")</f>
        <v>5-10 YIL</v>
      </c>
      <c r="AJ437">
        <f t="shared" si="19"/>
        <v>2018</v>
      </c>
      <c r="AK437">
        <f t="shared" si="20"/>
        <v>2024</v>
      </c>
    </row>
    <row r="438" spans="1:37" x14ac:dyDescent="0.3">
      <c r="A438" s="2" t="s">
        <v>813</v>
      </c>
      <c r="B438" s="3" t="s">
        <v>637</v>
      </c>
      <c r="C438" s="2" t="s">
        <v>48</v>
      </c>
      <c r="D438" s="13">
        <v>35991</v>
      </c>
      <c r="E438" s="4">
        <v>28</v>
      </c>
      <c r="F438" s="2" t="s">
        <v>49</v>
      </c>
      <c r="G438" s="4">
        <v>1</v>
      </c>
      <c r="H438" s="2" t="s">
        <v>85</v>
      </c>
      <c r="I438" s="3" t="s">
        <v>36</v>
      </c>
      <c r="J438" s="3" t="s">
        <v>37</v>
      </c>
      <c r="K438" s="2" t="s">
        <v>38</v>
      </c>
      <c r="L438" s="2" t="s">
        <v>39</v>
      </c>
      <c r="M438" s="3" t="s">
        <v>40</v>
      </c>
      <c r="N438" s="2" t="s">
        <v>89</v>
      </c>
      <c r="O438" s="13">
        <v>45391</v>
      </c>
      <c r="P438" s="2" t="s">
        <v>44</v>
      </c>
      <c r="Q438" s="3" t="s">
        <v>44</v>
      </c>
      <c r="R438" s="2" t="s">
        <v>44</v>
      </c>
      <c r="S438" s="2" t="s">
        <v>56</v>
      </c>
      <c r="T438" s="5">
        <v>27500</v>
      </c>
      <c r="U438" s="5">
        <v>0</v>
      </c>
      <c r="V438" s="4">
        <v>25</v>
      </c>
      <c r="W438" s="4">
        <v>30</v>
      </c>
      <c r="X438" s="2" t="s">
        <v>44</v>
      </c>
      <c r="Y438" s="4">
        <v>0</v>
      </c>
      <c r="Z438" s="4">
        <v>1</v>
      </c>
      <c r="AA438" s="4">
        <v>0</v>
      </c>
      <c r="AB438" s="4">
        <v>0</v>
      </c>
      <c r="AC438" s="4">
        <v>4</v>
      </c>
      <c r="AD438" s="4">
        <v>38</v>
      </c>
      <c r="AE438" s="3" t="s">
        <v>45</v>
      </c>
      <c r="AG438">
        <f t="shared" ca="1" si="18"/>
        <v>2</v>
      </c>
      <c r="AH438" s="23" t="str" cm="1">
        <f t="array" ref="AH438">_xlfn.IFS(E438&gt;49,"50+",E438&gt;39,"40-49",E438&gt;29,"30-39",E438&gt;19,"20-29")</f>
        <v>20-29</v>
      </c>
      <c r="AI438" s="24" t="str" cm="1">
        <f t="array" aca="1" ref="AI438" ca="1">_xlfn.IFS(AG438&gt;10,"10+",AG438&gt;4,"5-10 YIL",AG438&gt;2,"3-5 YIL",AG438&gt;0.9,"1-3 YIL",AG438&lt;1,"0-1 YIL")</f>
        <v>1-3 YIL</v>
      </c>
      <c r="AJ438">
        <f t="shared" si="19"/>
        <v>2024</v>
      </c>
      <c r="AK438" t="e">
        <f t="shared" si="20"/>
        <v>#VALUE!</v>
      </c>
    </row>
    <row r="439" spans="1:37" x14ac:dyDescent="0.3">
      <c r="A439" s="6" t="s">
        <v>814</v>
      </c>
      <c r="B439" s="7" t="s">
        <v>196</v>
      </c>
      <c r="C439" s="6" t="s">
        <v>48</v>
      </c>
      <c r="D439" s="14">
        <v>35982</v>
      </c>
      <c r="E439" s="8">
        <v>28</v>
      </c>
      <c r="F439" s="6" t="s">
        <v>49</v>
      </c>
      <c r="G439" s="8">
        <v>1</v>
      </c>
      <c r="H439" s="6" t="s">
        <v>35</v>
      </c>
      <c r="I439" s="7" t="s">
        <v>61</v>
      </c>
      <c r="J439" s="7" t="s">
        <v>107</v>
      </c>
      <c r="K439" s="6" t="s">
        <v>51</v>
      </c>
      <c r="L439" s="6" t="s">
        <v>63</v>
      </c>
      <c r="M439" s="7" t="s">
        <v>64</v>
      </c>
      <c r="N439" s="6" t="s">
        <v>95</v>
      </c>
      <c r="O439" s="14">
        <v>42061</v>
      </c>
      <c r="P439" s="6" t="s">
        <v>44</v>
      </c>
      <c r="Q439" s="7" t="s">
        <v>44</v>
      </c>
      <c r="R439" s="6" t="s">
        <v>44</v>
      </c>
      <c r="S439" s="6" t="s">
        <v>56</v>
      </c>
      <c r="T439" s="9">
        <v>60500</v>
      </c>
      <c r="U439" s="9">
        <v>12700</v>
      </c>
      <c r="V439" s="8">
        <v>0</v>
      </c>
      <c r="W439" s="8">
        <v>29</v>
      </c>
      <c r="X439" s="6" t="s">
        <v>81</v>
      </c>
      <c r="Y439" s="8">
        <v>0</v>
      </c>
      <c r="Z439" s="8">
        <v>2</v>
      </c>
      <c r="AA439" s="8">
        <v>1</v>
      </c>
      <c r="AB439" s="8">
        <v>0</v>
      </c>
      <c r="AC439" s="8">
        <v>3</v>
      </c>
      <c r="AD439" s="8">
        <v>19</v>
      </c>
      <c r="AE439" s="7" t="s">
        <v>45</v>
      </c>
      <c r="AG439">
        <f t="shared" ca="1" si="18"/>
        <v>11</v>
      </c>
      <c r="AH439" s="23" t="str" cm="1">
        <f t="array" ref="AH439">_xlfn.IFS(E439&gt;49,"50+",E439&gt;39,"40-49",E439&gt;29,"30-39",E439&gt;19,"20-29")</f>
        <v>20-29</v>
      </c>
      <c r="AI439" s="24" t="str" cm="1">
        <f t="array" aca="1" ref="AI439" ca="1">_xlfn.IFS(AG439&gt;10,"10+",AG439&gt;4,"5-10 YIL",AG439&gt;2,"3-5 YIL",AG439&gt;0.9,"1-3 YIL",AG439&lt;1,"0-1 YIL")</f>
        <v>10+</v>
      </c>
      <c r="AJ439">
        <f t="shared" si="19"/>
        <v>2015</v>
      </c>
      <c r="AK439" t="e">
        <f t="shared" si="20"/>
        <v>#VALUE!</v>
      </c>
    </row>
    <row r="440" spans="1:37" x14ac:dyDescent="0.3">
      <c r="A440" s="2" t="s">
        <v>815</v>
      </c>
      <c r="B440" s="3" t="s">
        <v>160</v>
      </c>
      <c r="C440" s="2" t="s">
        <v>48</v>
      </c>
      <c r="D440" s="13">
        <v>34160</v>
      </c>
      <c r="E440" s="4">
        <v>33</v>
      </c>
      <c r="F440" s="2" t="s">
        <v>49</v>
      </c>
      <c r="G440" s="4">
        <v>1</v>
      </c>
      <c r="H440" s="2" t="s">
        <v>85</v>
      </c>
      <c r="I440" s="3" t="s">
        <v>36</v>
      </c>
      <c r="J440" s="3" t="s">
        <v>50</v>
      </c>
      <c r="K440" s="2" t="s">
        <v>51</v>
      </c>
      <c r="L440" s="2" t="s">
        <v>39</v>
      </c>
      <c r="M440" s="3" t="s">
        <v>40</v>
      </c>
      <c r="N440" s="2" t="s">
        <v>95</v>
      </c>
      <c r="O440" s="13">
        <v>44197</v>
      </c>
      <c r="P440" s="2" t="s">
        <v>44</v>
      </c>
      <c r="Q440" s="3" t="s">
        <v>44</v>
      </c>
      <c r="R440" s="2" t="s">
        <v>44</v>
      </c>
      <c r="S440" s="2" t="s">
        <v>56</v>
      </c>
      <c r="T440" s="5">
        <v>40300</v>
      </c>
      <c r="U440" s="5">
        <v>0</v>
      </c>
      <c r="V440" s="4">
        <v>26</v>
      </c>
      <c r="W440" s="4">
        <v>29</v>
      </c>
      <c r="X440" s="2" t="s">
        <v>57</v>
      </c>
      <c r="Y440" s="4">
        <v>1</v>
      </c>
      <c r="Z440" s="4">
        <v>8</v>
      </c>
      <c r="AA440" s="4">
        <v>0</v>
      </c>
      <c r="AB440" s="4">
        <v>0</v>
      </c>
      <c r="AC440" s="4">
        <v>4</v>
      </c>
      <c r="AD440" s="4">
        <v>23</v>
      </c>
      <c r="AE440" s="3" t="s">
        <v>58</v>
      </c>
      <c r="AG440">
        <f t="shared" ca="1" si="18"/>
        <v>5</v>
      </c>
      <c r="AH440" s="23" t="str" cm="1">
        <f t="array" ref="AH440">_xlfn.IFS(E440&gt;49,"50+",E440&gt;39,"40-49",E440&gt;29,"30-39",E440&gt;19,"20-29")</f>
        <v>30-39</v>
      </c>
      <c r="AI440" s="24" t="str" cm="1">
        <f t="array" aca="1" ref="AI440" ca="1">_xlfn.IFS(AG440&gt;10,"10+",AG440&gt;4,"5-10 YIL",AG440&gt;2,"3-5 YIL",AG440&gt;0.9,"1-3 YIL",AG440&lt;1,"0-1 YIL")</f>
        <v>5-10 YIL</v>
      </c>
      <c r="AJ440">
        <f t="shared" si="19"/>
        <v>2021</v>
      </c>
      <c r="AK440" t="e">
        <f t="shared" si="20"/>
        <v>#VALUE!</v>
      </c>
    </row>
    <row r="441" spans="1:37" x14ac:dyDescent="0.3">
      <c r="A441" s="6" t="s">
        <v>816</v>
      </c>
      <c r="B441" s="7" t="s">
        <v>337</v>
      </c>
      <c r="C441" s="6" t="s">
        <v>48</v>
      </c>
      <c r="D441" s="14">
        <v>27400</v>
      </c>
      <c r="E441" s="8">
        <v>51</v>
      </c>
      <c r="F441" s="6" t="s">
        <v>49</v>
      </c>
      <c r="G441" s="8">
        <v>1</v>
      </c>
      <c r="H441" s="6" t="s">
        <v>184</v>
      </c>
      <c r="I441" s="7" t="s">
        <v>148</v>
      </c>
      <c r="J441" s="7" t="s">
        <v>197</v>
      </c>
      <c r="K441" s="6" t="s">
        <v>79</v>
      </c>
      <c r="L441" s="6" t="s">
        <v>63</v>
      </c>
      <c r="M441" s="7" t="s">
        <v>80</v>
      </c>
      <c r="N441" s="6" t="s">
        <v>52</v>
      </c>
      <c r="O441" s="14">
        <v>41952</v>
      </c>
      <c r="P441" s="6" t="s">
        <v>44</v>
      </c>
      <c r="Q441" s="7" t="s">
        <v>44</v>
      </c>
      <c r="R441" s="6" t="s">
        <v>44</v>
      </c>
      <c r="S441" s="6" t="s">
        <v>56</v>
      </c>
      <c r="T441" s="9">
        <v>106700</v>
      </c>
      <c r="U441" s="9">
        <v>12700</v>
      </c>
      <c r="V441" s="8">
        <v>0</v>
      </c>
      <c r="W441" s="8">
        <v>30</v>
      </c>
      <c r="X441" s="6" t="s">
        <v>44</v>
      </c>
      <c r="Y441" s="8">
        <v>0</v>
      </c>
      <c r="Z441" s="8">
        <v>6</v>
      </c>
      <c r="AA441" s="8">
        <v>0</v>
      </c>
      <c r="AB441" s="8">
        <v>0</v>
      </c>
      <c r="AC441" s="8">
        <v>3</v>
      </c>
      <c r="AD441" s="8">
        <v>11</v>
      </c>
      <c r="AE441" s="7" t="s">
        <v>82</v>
      </c>
      <c r="AG441">
        <f t="shared" ca="1" si="18"/>
        <v>11</v>
      </c>
      <c r="AH441" s="23" t="str" cm="1">
        <f t="array" ref="AH441">_xlfn.IFS(E441&gt;49,"50+",E441&gt;39,"40-49",E441&gt;29,"30-39",E441&gt;19,"20-29")</f>
        <v>50+</v>
      </c>
      <c r="AI441" s="24" t="str" cm="1">
        <f t="array" aca="1" ref="AI441" ca="1">_xlfn.IFS(AG441&gt;10,"10+",AG441&gt;4,"5-10 YIL",AG441&gt;2,"3-5 YIL",AG441&gt;0.9,"1-3 YIL",AG441&lt;1,"0-1 YIL")</f>
        <v>10+</v>
      </c>
      <c r="AJ441">
        <f t="shared" si="19"/>
        <v>2014</v>
      </c>
      <c r="AK441" t="e">
        <f t="shared" si="20"/>
        <v>#VALUE!</v>
      </c>
    </row>
    <row r="442" spans="1:37" x14ac:dyDescent="0.3">
      <c r="A442" s="2" t="s">
        <v>817</v>
      </c>
      <c r="B442" s="3" t="s">
        <v>487</v>
      </c>
      <c r="C442" s="2" t="s">
        <v>48</v>
      </c>
      <c r="D442" s="13">
        <v>27247</v>
      </c>
      <c r="E442" s="4">
        <v>52</v>
      </c>
      <c r="F442" s="2" t="s">
        <v>49</v>
      </c>
      <c r="G442" s="4">
        <v>1</v>
      </c>
      <c r="H442" s="2" t="s">
        <v>35</v>
      </c>
      <c r="I442" s="3" t="s">
        <v>36</v>
      </c>
      <c r="J442" s="3" t="s">
        <v>78</v>
      </c>
      <c r="K442" s="2" t="s">
        <v>79</v>
      </c>
      <c r="L442" s="2" t="s">
        <v>63</v>
      </c>
      <c r="M442" s="3" t="s">
        <v>80</v>
      </c>
      <c r="N442" s="2" t="s">
        <v>41</v>
      </c>
      <c r="O442" s="13">
        <v>42792</v>
      </c>
      <c r="P442" s="2" t="s">
        <v>44</v>
      </c>
      <c r="Q442" s="3" t="s">
        <v>44</v>
      </c>
      <c r="R442" s="2" t="s">
        <v>44</v>
      </c>
      <c r="S442" s="2" t="s">
        <v>56</v>
      </c>
      <c r="T442" s="5">
        <v>91400</v>
      </c>
      <c r="U442" s="5">
        <v>0</v>
      </c>
      <c r="V442" s="4">
        <v>1</v>
      </c>
      <c r="W442" s="4">
        <v>30</v>
      </c>
      <c r="X442" s="2" t="s">
        <v>44</v>
      </c>
      <c r="Y442" s="4">
        <v>0</v>
      </c>
      <c r="Z442" s="4">
        <v>11</v>
      </c>
      <c r="AA442" s="4">
        <v>0</v>
      </c>
      <c r="AB442" s="4">
        <v>0</v>
      </c>
      <c r="AC442" s="4">
        <v>3</v>
      </c>
      <c r="AD442" s="4">
        <v>2</v>
      </c>
      <c r="AE442" s="3" t="s">
        <v>58</v>
      </c>
      <c r="AG442">
        <f t="shared" ca="1" si="18"/>
        <v>9</v>
      </c>
      <c r="AH442" s="23" t="str" cm="1">
        <f t="array" ref="AH442">_xlfn.IFS(E442&gt;49,"50+",E442&gt;39,"40-49",E442&gt;29,"30-39",E442&gt;19,"20-29")</f>
        <v>50+</v>
      </c>
      <c r="AI442" s="24" t="str" cm="1">
        <f t="array" aca="1" ref="AI442" ca="1">_xlfn.IFS(AG442&gt;10,"10+",AG442&gt;4,"5-10 YIL",AG442&gt;2,"3-5 YIL",AG442&gt;0.9,"1-3 YIL",AG442&lt;1,"0-1 YIL")</f>
        <v>5-10 YIL</v>
      </c>
      <c r="AJ442">
        <f t="shared" si="19"/>
        <v>2017</v>
      </c>
      <c r="AK442" t="e">
        <f t="shared" si="20"/>
        <v>#VALUE!</v>
      </c>
    </row>
    <row r="443" spans="1:37" x14ac:dyDescent="0.3">
      <c r="A443" s="6" t="s">
        <v>818</v>
      </c>
      <c r="B443" s="7" t="s">
        <v>232</v>
      </c>
      <c r="C443" s="6" t="s">
        <v>33</v>
      </c>
      <c r="D443" s="14">
        <v>28493</v>
      </c>
      <c r="E443" s="8">
        <v>48</v>
      </c>
      <c r="F443" s="6" t="s">
        <v>49</v>
      </c>
      <c r="G443" s="8">
        <v>1</v>
      </c>
      <c r="H443" s="6" t="s">
        <v>35</v>
      </c>
      <c r="I443" s="7" t="s">
        <v>139</v>
      </c>
      <c r="J443" s="7" t="s">
        <v>140</v>
      </c>
      <c r="K443" s="6" t="s">
        <v>79</v>
      </c>
      <c r="L443" s="6" t="s">
        <v>63</v>
      </c>
      <c r="M443" s="7" t="s">
        <v>80</v>
      </c>
      <c r="N443" s="6" t="s">
        <v>67</v>
      </c>
      <c r="O443" s="14">
        <v>41698</v>
      </c>
      <c r="P443" s="6" t="s">
        <v>44</v>
      </c>
      <c r="Q443" s="7" t="s">
        <v>44</v>
      </c>
      <c r="R443" s="6" t="s">
        <v>44</v>
      </c>
      <c r="S443" s="6" t="s">
        <v>56</v>
      </c>
      <c r="T443" s="9">
        <v>126800</v>
      </c>
      <c r="U443" s="9">
        <v>0</v>
      </c>
      <c r="V443" s="8">
        <v>3</v>
      </c>
      <c r="W443" s="8">
        <v>30</v>
      </c>
      <c r="X443" s="6" t="s">
        <v>44</v>
      </c>
      <c r="Y443" s="8">
        <v>0</v>
      </c>
      <c r="Z443" s="8">
        <v>11</v>
      </c>
      <c r="AA443" s="8">
        <v>0</v>
      </c>
      <c r="AB443" s="8">
        <v>0</v>
      </c>
      <c r="AC443" s="8">
        <v>4</v>
      </c>
      <c r="AD443" s="8">
        <v>28</v>
      </c>
      <c r="AE443" s="7" t="s">
        <v>45</v>
      </c>
      <c r="AG443">
        <f t="shared" ca="1" si="18"/>
        <v>12</v>
      </c>
      <c r="AH443" s="23" t="str" cm="1">
        <f t="array" ref="AH443">_xlfn.IFS(E443&gt;49,"50+",E443&gt;39,"40-49",E443&gt;29,"30-39",E443&gt;19,"20-29")</f>
        <v>40-49</v>
      </c>
      <c r="AI443" s="24" t="str" cm="1">
        <f t="array" aca="1" ref="AI443" ca="1">_xlfn.IFS(AG443&gt;10,"10+",AG443&gt;4,"5-10 YIL",AG443&gt;2,"3-5 YIL",AG443&gt;0.9,"1-3 YIL",AG443&lt;1,"0-1 YIL")</f>
        <v>10+</v>
      </c>
      <c r="AJ443">
        <f t="shared" si="19"/>
        <v>2014</v>
      </c>
      <c r="AK443" t="e">
        <f t="shared" si="20"/>
        <v>#VALUE!</v>
      </c>
    </row>
    <row r="444" spans="1:37" x14ac:dyDescent="0.3">
      <c r="A444" s="2" t="s">
        <v>819</v>
      </c>
      <c r="B444" s="3" t="s">
        <v>820</v>
      </c>
      <c r="C444" s="2" t="s">
        <v>33</v>
      </c>
      <c r="D444" s="13">
        <v>36184</v>
      </c>
      <c r="E444" s="4">
        <v>27</v>
      </c>
      <c r="F444" s="2" t="s">
        <v>34</v>
      </c>
      <c r="G444" s="4">
        <v>0</v>
      </c>
      <c r="H444" s="2" t="s">
        <v>35</v>
      </c>
      <c r="I444" s="3" t="s">
        <v>36</v>
      </c>
      <c r="J444" s="3" t="s">
        <v>37</v>
      </c>
      <c r="K444" s="2" t="s">
        <v>38</v>
      </c>
      <c r="L444" s="2" t="s">
        <v>39</v>
      </c>
      <c r="M444" s="3" t="s">
        <v>40</v>
      </c>
      <c r="N444" s="2" t="s">
        <v>41</v>
      </c>
      <c r="O444" s="13">
        <v>45775</v>
      </c>
      <c r="P444" s="2" t="s">
        <v>44</v>
      </c>
      <c r="Q444" s="3" t="s">
        <v>44</v>
      </c>
      <c r="R444" s="2" t="s">
        <v>44</v>
      </c>
      <c r="S444" s="2" t="s">
        <v>56</v>
      </c>
      <c r="T444" s="5">
        <v>28700</v>
      </c>
      <c r="U444" s="5">
        <v>0</v>
      </c>
      <c r="V444" s="4">
        <v>22</v>
      </c>
      <c r="W444" s="4">
        <v>29</v>
      </c>
      <c r="X444" s="2" t="s">
        <v>81</v>
      </c>
      <c r="Y444" s="4">
        <v>0</v>
      </c>
      <c r="Z444" s="4">
        <v>8</v>
      </c>
      <c r="AA444" s="4">
        <v>1</v>
      </c>
      <c r="AB444" s="4">
        <v>0</v>
      </c>
      <c r="AC444" s="4">
        <v>3</v>
      </c>
      <c r="AD444" s="4">
        <v>11</v>
      </c>
      <c r="AE444" s="3" t="s">
        <v>82</v>
      </c>
      <c r="AG444">
        <f t="shared" ca="1" si="18"/>
        <v>1</v>
      </c>
      <c r="AH444" s="23" t="str" cm="1">
        <f t="array" ref="AH444">_xlfn.IFS(E444&gt;49,"50+",E444&gt;39,"40-49",E444&gt;29,"30-39",E444&gt;19,"20-29")</f>
        <v>20-29</v>
      </c>
      <c r="AI444" s="24" t="str" cm="1">
        <f t="array" aca="1" ref="AI444" ca="1">_xlfn.IFS(AG444&gt;10,"10+",AG444&gt;4,"5-10 YIL",AG444&gt;2,"3-5 YIL",AG444&gt;0.9,"1-3 YIL",AG444&lt;1,"0-1 YIL")</f>
        <v>1-3 YIL</v>
      </c>
      <c r="AJ444">
        <f t="shared" si="19"/>
        <v>2025</v>
      </c>
      <c r="AK444" t="e">
        <f t="shared" si="20"/>
        <v>#VALUE!</v>
      </c>
    </row>
    <row r="445" spans="1:37" x14ac:dyDescent="0.3">
      <c r="A445" s="6" t="s">
        <v>821</v>
      </c>
      <c r="B445" s="7" t="s">
        <v>280</v>
      </c>
      <c r="C445" s="6" t="s">
        <v>48</v>
      </c>
      <c r="D445" s="14">
        <v>33832</v>
      </c>
      <c r="E445" s="8">
        <v>34</v>
      </c>
      <c r="F445" s="6" t="s">
        <v>34</v>
      </c>
      <c r="G445" s="8">
        <v>0</v>
      </c>
      <c r="H445" s="6" t="s">
        <v>85</v>
      </c>
      <c r="I445" s="7" t="s">
        <v>36</v>
      </c>
      <c r="J445" s="7" t="s">
        <v>50</v>
      </c>
      <c r="K445" s="6" t="s">
        <v>51</v>
      </c>
      <c r="L445" s="6" t="s">
        <v>39</v>
      </c>
      <c r="M445" s="7" t="s">
        <v>40</v>
      </c>
      <c r="N445" s="6" t="s">
        <v>67</v>
      </c>
      <c r="O445" s="14">
        <v>43777</v>
      </c>
      <c r="P445" s="14">
        <v>44176</v>
      </c>
      <c r="Q445" s="7" t="s">
        <v>177</v>
      </c>
      <c r="R445" s="6">
        <v>3</v>
      </c>
      <c r="S445" s="6" t="s">
        <v>43</v>
      </c>
      <c r="T445" s="9">
        <v>45400</v>
      </c>
      <c r="U445" s="9">
        <v>0</v>
      </c>
      <c r="V445" s="8">
        <v>44</v>
      </c>
      <c r="W445" s="8">
        <v>30</v>
      </c>
      <c r="X445" s="6" t="s">
        <v>44</v>
      </c>
      <c r="Y445" s="8">
        <v>0</v>
      </c>
      <c r="Z445" s="8">
        <v>8</v>
      </c>
      <c r="AA445" s="8">
        <v>0</v>
      </c>
      <c r="AB445" s="8">
        <v>0</v>
      </c>
      <c r="AC445" s="8">
        <v>1</v>
      </c>
      <c r="AD445" s="8">
        <v>12</v>
      </c>
      <c r="AE445" s="7" t="s">
        <v>45</v>
      </c>
      <c r="AG445">
        <f t="shared" ca="1" si="18"/>
        <v>6</v>
      </c>
      <c r="AH445" s="23" t="str" cm="1">
        <f t="array" ref="AH445">_xlfn.IFS(E445&gt;49,"50+",E445&gt;39,"40-49",E445&gt;29,"30-39",E445&gt;19,"20-29")</f>
        <v>30-39</v>
      </c>
      <c r="AI445" s="24" t="str" cm="1">
        <f t="array" aca="1" ref="AI445" ca="1">_xlfn.IFS(AG445&gt;10,"10+",AG445&gt;4,"5-10 YIL",AG445&gt;2,"3-5 YIL",AG445&gt;0.9,"1-3 YIL",AG445&lt;1,"0-1 YIL")</f>
        <v>5-10 YIL</v>
      </c>
      <c r="AJ445">
        <f t="shared" si="19"/>
        <v>2019</v>
      </c>
      <c r="AK445">
        <f t="shared" si="20"/>
        <v>2020</v>
      </c>
    </row>
    <row r="446" spans="1:37" x14ac:dyDescent="0.3">
      <c r="A446" s="2" t="s">
        <v>822</v>
      </c>
      <c r="B446" s="3" t="s">
        <v>823</v>
      </c>
      <c r="C446" s="2" t="s">
        <v>48</v>
      </c>
      <c r="D446" s="13">
        <v>35592</v>
      </c>
      <c r="E446" s="4">
        <v>29</v>
      </c>
      <c r="F446" s="2" t="s">
        <v>34</v>
      </c>
      <c r="G446" s="4">
        <v>0</v>
      </c>
      <c r="H446" s="2" t="s">
        <v>88</v>
      </c>
      <c r="I446" s="3" t="s">
        <v>36</v>
      </c>
      <c r="J446" s="3" t="s">
        <v>37</v>
      </c>
      <c r="K446" s="2" t="s">
        <v>38</v>
      </c>
      <c r="L446" s="2" t="s">
        <v>39</v>
      </c>
      <c r="M446" s="3" t="s">
        <v>40</v>
      </c>
      <c r="N446" s="2" t="s">
        <v>41</v>
      </c>
      <c r="O446" s="13">
        <v>44932</v>
      </c>
      <c r="P446" s="2" t="s">
        <v>44</v>
      </c>
      <c r="Q446" s="3" t="s">
        <v>44</v>
      </c>
      <c r="R446" s="2" t="s">
        <v>44</v>
      </c>
      <c r="S446" s="2" t="s">
        <v>56</v>
      </c>
      <c r="T446" s="5">
        <v>26400</v>
      </c>
      <c r="U446" s="5">
        <v>0</v>
      </c>
      <c r="V446" s="4">
        <v>21</v>
      </c>
      <c r="W446" s="4">
        <v>30</v>
      </c>
      <c r="X446" s="2" t="s">
        <v>44</v>
      </c>
      <c r="Y446" s="4">
        <v>0</v>
      </c>
      <c r="Z446" s="4">
        <v>2</v>
      </c>
      <c r="AA446" s="4">
        <v>0</v>
      </c>
      <c r="AB446" s="4">
        <v>0</v>
      </c>
      <c r="AC446" s="4">
        <v>4</v>
      </c>
      <c r="AD446" s="4">
        <v>27</v>
      </c>
      <c r="AE446" s="3" t="s">
        <v>45</v>
      </c>
      <c r="AG446">
        <f t="shared" ca="1" si="18"/>
        <v>3</v>
      </c>
      <c r="AH446" s="23" t="str" cm="1">
        <f t="array" ref="AH446">_xlfn.IFS(E446&gt;49,"50+",E446&gt;39,"40-49",E446&gt;29,"30-39",E446&gt;19,"20-29")</f>
        <v>20-29</v>
      </c>
      <c r="AI446" s="24" t="str" cm="1">
        <f t="array" aca="1" ref="AI446" ca="1">_xlfn.IFS(AG446&gt;10,"10+",AG446&gt;4,"5-10 YIL",AG446&gt;2,"3-5 YIL",AG446&gt;0.9,"1-3 YIL",AG446&lt;1,"0-1 YIL")</f>
        <v>3-5 YIL</v>
      </c>
      <c r="AJ446">
        <f t="shared" si="19"/>
        <v>2023</v>
      </c>
      <c r="AK446" t="e">
        <f t="shared" si="20"/>
        <v>#VALUE!</v>
      </c>
    </row>
    <row r="447" spans="1:37" x14ac:dyDescent="0.3">
      <c r="A447" s="6" t="s">
        <v>824</v>
      </c>
      <c r="B447" s="7" t="s">
        <v>457</v>
      </c>
      <c r="C447" s="6" t="s">
        <v>48</v>
      </c>
      <c r="D447" s="14">
        <v>36332</v>
      </c>
      <c r="E447" s="8">
        <v>27</v>
      </c>
      <c r="F447" s="6" t="s">
        <v>34</v>
      </c>
      <c r="G447" s="8">
        <v>0</v>
      </c>
      <c r="H447" s="6" t="s">
        <v>35</v>
      </c>
      <c r="I447" s="7" t="s">
        <v>36</v>
      </c>
      <c r="J447" s="7" t="s">
        <v>37</v>
      </c>
      <c r="K447" s="6" t="s">
        <v>38</v>
      </c>
      <c r="L447" s="6" t="s">
        <v>39</v>
      </c>
      <c r="M447" s="7" t="s">
        <v>40</v>
      </c>
      <c r="N447" s="6" t="s">
        <v>41</v>
      </c>
      <c r="O447" s="14">
        <v>45298</v>
      </c>
      <c r="P447" s="6" t="s">
        <v>44</v>
      </c>
      <c r="Q447" s="7" t="s">
        <v>44</v>
      </c>
      <c r="R447" s="6" t="s">
        <v>44</v>
      </c>
      <c r="S447" s="6" t="s">
        <v>56</v>
      </c>
      <c r="T447" s="9">
        <v>24700</v>
      </c>
      <c r="U447" s="9">
        <v>0</v>
      </c>
      <c r="V447" s="8">
        <v>30</v>
      </c>
      <c r="W447" s="8">
        <v>30</v>
      </c>
      <c r="X447" s="6" t="s">
        <v>44</v>
      </c>
      <c r="Y447" s="8">
        <v>0</v>
      </c>
      <c r="Z447" s="8">
        <v>11</v>
      </c>
      <c r="AA447" s="8">
        <v>0</v>
      </c>
      <c r="AB447" s="8">
        <v>0</v>
      </c>
      <c r="AC447" s="8">
        <v>3</v>
      </c>
      <c r="AD447" s="8">
        <v>16</v>
      </c>
      <c r="AE447" s="7" t="s">
        <v>82</v>
      </c>
      <c r="AG447">
        <f t="shared" ca="1" si="18"/>
        <v>2</v>
      </c>
      <c r="AH447" s="23" t="str" cm="1">
        <f t="array" ref="AH447">_xlfn.IFS(E447&gt;49,"50+",E447&gt;39,"40-49",E447&gt;29,"30-39",E447&gt;19,"20-29")</f>
        <v>20-29</v>
      </c>
      <c r="AI447" s="24" t="str" cm="1">
        <f t="array" aca="1" ref="AI447" ca="1">_xlfn.IFS(AG447&gt;10,"10+",AG447&gt;4,"5-10 YIL",AG447&gt;2,"3-5 YIL",AG447&gt;0.9,"1-3 YIL",AG447&lt;1,"0-1 YIL")</f>
        <v>1-3 YIL</v>
      </c>
      <c r="AJ447">
        <f t="shared" si="19"/>
        <v>2024</v>
      </c>
      <c r="AK447" t="e">
        <f t="shared" si="20"/>
        <v>#VALUE!</v>
      </c>
    </row>
    <row r="448" spans="1:37" x14ac:dyDescent="0.3">
      <c r="A448" s="2" t="s">
        <v>825</v>
      </c>
      <c r="B448" s="3" t="s">
        <v>205</v>
      </c>
      <c r="C448" s="2" t="s">
        <v>48</v>
      </c>
      <c r="D448" s="13">
        <v>32527</v>
      </c>
      <c r="E448" s="4">
        <v>37</v>
      </c>
      <c r="F448" s="2" t="s">
        <v>34</v>
      </c>
      <c r="G448" s="4">
        <v>0</v>
      </c>
      <c r="H448" s="2" t="s">
        <v>35</v>
      </c>
      <c r="I448" s="3" t="s">
        <v>61</v>
      </c>
      <c r="J448" s="3" t="s">
        <v>107</v>
      </c>
      <c r="K448" s="2" t="s">
        <v>51</v>
      </c>
      <c r="L448" s="2" t="s">
        <v>63</v>
      </c>
      <c r="M448" s="3" t="s">
        <v>64</v>
      </c>
      <c r="N448" s="2" t="s">
        <v>41</v>
      </c>
      <c r="O448" s="13">
        <v>42511</v>
      </c>
      <c r="P448" s="2" t="s">
        <v>44</v>
      </c>
      <c r="Q448" s="3" t="s">
        <v>44</v>
      </c>
      <c r="R448" s="2" t="s">
        <v>44</v>
      </c>
      <c r="S448" s="2" t="s">
        <v>56</v>
      </c>
      <c r="T448" s="5">
        <v>62800</v>
      </c>
      <c r="U448" s="5">
        <v>11300</v>
      </c>
      <c r="V448" s="4">
        <v>4</v>
      </c>
      <c r="W448" s="4">
        <v>29</v>
      </c>
      <c r="X448" s="2" t="s">
        <v>57</v>
      </c>
      <c r="Y448" s="4">
        <v>1</v>
      </c>
      <c r="Z448" s="4">
        <v>13</v>
      </c>
      <c r="AA448" s="4">
        <v>0</v>
      </c>
      <c r="AB448" s="4">
        <v>0</v>
      </c>
      <c r="AC448" s="4">
        <v>3</v>
      </c>
      <c r="AD448" s="4">
        <v>10</v>
      </c>
      <c r="AE448" s="3" t="s">
        <v>96</v>
      </c>
      <c r="AG448">
        <f t="shared" ca="1" si="18"/>
        <v>10</v>
      </c>
      <c r="AH448" s="23" t="str" cm="1">
        <f t="array" ref="AH448">_xlfn.IFS(E448&gt;49,"50+",E448&gt;39,"40-49",E448&gt;29,"30-39",E448&gt;19,"20-29")</f>
        <v>30-39</v>
      </c>
      <c r="AI448" s="24" t="str" cm="1">
        <f t="array" aca="1" ref="AI448" ca="1">_xlfn.IFS(AG448&gt;10,"10+",AG448&gt;4,"5-10 YIL",AG448&gt;2,"3-5 YIL",AG448&gt;0.9,"1-3 YIL",AG448&lt;1,"0-1 YIL")</f>
        <v>5-10 YIL</v>
      </c>
      <c r="AJ448">
        <f t="shared" si="19"/>
        <v>2016</v>
      </c>
      <c r="AK448" t="e">
        <f t="shared" si="20"/>
        <v>#VALUE!</v>
      </c>
    </row>
    <row r="449" spans="1:37" x14ac:dyDescent="0.3">
      <c r="A449" s="6" t="s">
        <v>826</v>
      </c>
      <c r="B449" s="7" t="s">
        <v>748</v>
      </c>
      <c r="C449" s="6" t="s">
        <v>48</v>
      </c>
      <c r="D449" s="14">
        <v>28007</v>
      </c>
      <c r="E449" s="8">
        <v>50</v>
      </c>
      <c r="F449" s="6" t="s">
        <v>34</v>
      </c>
      <c r="G449" s="8">
        <v>0</v>
      </c>
      <c r="H449" s="6" t="s">
        <v>85</v>
      </c>
      <c r="I449" s="7" t="s">
        <v>148</v>
      </c>
      <c r="J449" s="7" t="s">
        <v>197</v>
      </c>
      <c r="K449" s="6" t="s">
        <v>79</v>
      </c>
      <c r="L449" s="6" t="s">
        <v>63</v>
      </c>
      <c r="M449" s="7" t="s">
        <v>80</v>
      </c>
      <c r="N449" s="6" t="s">
        <v>41</v>
      </c>
      <c r="O449" s="14">
        <v>41057</v>
      </c>
      <c r="P449" s="6" t="s">
        <v>44</v>
      </c>
      <c r="Q449" s="7" t="s">
        <v>44</v>
      </c>
      <c r="R449" s="6" t="s">
        <v>44</v>
      </c>
      <c r="S449" s="6" t="s">
        <v>56</v>
      </c>
      <c r="T449" s="9">
        <v>103100</v>
      </c>
      <c r="U449" s="9">
        <v>0</v>
      </c>
      <c r="V449" s="8">
        <v>1</v>
      </c>
      <c r="W449" s="8">
        <v>30</v>
      </c>
      <c r="X449" s="6" t="s">
        <v>44</v>
      </c>
      <c r="Y449" s="8">
        <v>0</v>
      </c>
      <c r="Z449" s="8">
        <v>5</v>
      </c>
      <c r="AA449" s="8">
        <v>0</v>
      </c>
      <c r="AB449" s="8">
        <v>0</v>
      </c>
      <c r="AC449" s="8">
        <v>4</v>
      </c>
      <c r="AD449" s="8">
        <v>17</v>
      </c>
      <c r="AE449" s="7" t="s">
        <v>82</v>
      </c>
      <c r="AG449">
        <f t="shared" ca="1" si="18"/>
        <v>14</v>
      </c>
      <c r="AH449" s="23" t="str" cm="1">
        <f t="array" ref="AH449">_xlfn.IFS(E449&gt;49,"50+",E449&gt;39,"40-49",E449&gt;29,"30-39",E449&gt;19,"20-29")</f>
        <v>50+</v>
      </c>
      <c r="AI449" s="24" t="str" cm="1">
        <f t="array" aca="1" ref="AI449" ca="1">_xlfn.IFS(AG449&gt;10,"10+",AG449&gt;4,"5-10 YIL",AG449&gt;2,"3-5 YIL",AG449&gt;0.9,"1-3 YIL",AG449&lt;1,"0-1 YIL")</f>
        <v>10+</v>
      </c>
      <c r="AJ449">
        <f t="shared" si="19"/>
        <v>2012</v>
      </c>
      <c r="AK449" t="e">
        <f t="shared" si="20"/>
        <v>#VALUE!</v>
      </c>
    </row>
    <row r="450" spans="1:37" x14ac:dyDescent="0.3">
      <c r="A450" s="2" t="s">
        <v>827</v>
      </c>
      <c r="B450" s="3" t="s">
        <v>828</v>
      </c>
      <c r="C450" s="2" t="s">
        <v>48</v>
      </c>
      <c r="D450" s="13">
        <v>37977</v>
      </c>
      <c r="E450" s="4">
        <v>23</v>
      </c>
      <c r="F450" s="2" t="s">
        <v>49</v>
      </c>
      <c r="G450" s="4">
        <v>1</v>
      </c>
      <c r="H450" s="2" t="s">
        <v>85</v>
      </c>
      <c r="I450" s="3" t="s">
        <v>61</v>
      </c>
      <c r="J450" s="3" t="s">
        <v>62</v>
      </c>
      <c r="K450" s="2" t="s">
        <v>38</v>
      </c>
      <c r="L450" s="2" t="s">
        <v>63</v>
      </c>
      <c r="M450" s="3" t="s">
        <v>64</v>
      </c>
      <c r="N450" s="2" t="s">
        <v>41</v>
      </c>
      <c r="O450" s="13">
        <v>45792</v>
      </c>
      <c r="P450" s="2" t="s">
        <v>44</v>
      </c>
      <c r="Q450" s="3" t="s">
        <v>44</v>
      </c>
      <c r="R450" s="2" t="s">
        <v>44</v>
      </c>
      <c r="S450" s="2" t="s">
        <v>56</v>
      </c>
      <c r="T450" s="5">
        <v>32100</v>
      </c>
      <c r="U450" s="5">
        <v>6000</v>
      </c>
      <c r="V450" s="4">
        <v>0</v>
      </c>
      <c r="W450" s="4">
        <v>30</v>
      </c>
      <c r="X450" s="2" t="s">
        <v>44</v>
      </c>
      <c r="Y450" s="4">
        <v>0</v>
      </c>
      <c r="Z450" s="4">
        <v>4</v>
      </c>
      <c r="AA450" s="4">
        <v>0</v>
      </c>
      <c r="AB450" s="4">
        <v>0</v>
      </c>
      <c r="AC450" s="4">
        <v>3</v>
      </c>
      <c r="AD450" s="4">
        <v>18</v>
      </c>
      <c r="AE450" s="3" t="s">
        <v>73</v>
      </c>
      <c r="AG450">
        <f t="shared" ca="1" si="18"/>
        <v>1</v>
      </c>
      <c r="AH450" s="23" t="str" cm="1">
        <f t="array" ref="AH450">_xlfn.IFS(E450&gt;49,"50+",E450&gt;39,"40-49",E450&gt;29,"30-39",E450&gt;19,"20-29")</f>
        <v>20-29</v>
      </c>
      <c r="AI450" s="24" t="str" cm="1">
        <f t="array" aca="1" ref="AI450" ca="1">_xlfn.IFS(AG450&gt;10,"10+",AG450&gt;4,"5-10 YIL",AG450&gt;2,"3-5 YIL",AG450&gt;0.9,"1-3 YIL",AG450&lt;1,"0-1 YIL")</f>
        <v>1-3 YIL</v>
      </c>
      <c r="AJ450">
        <f t="shared" si="19"/>
        <v>2025</v>
      </c>
      <c r="AK450" t="e">
        <f t="shared" si="20"/>
        <v>#VALUE!</v>
      </c>
    </row>
    <row r="451" spans="1:37" x14ac:dyDescent="0.3">
      <c r="A451" s="6" t="s">
        <v>829</v>
      </c>
      <c r="B451" s="7" t="s">
        <v>296</v>
      </c>
      <c r="C451" s="6" t="s">
        <v>33</v>
      </c>
      <c r="D451" s="14">
        <v>35496</v>
      </c>
      <c r="E451" s="8">
        <v>29</v>
      </c>
      <c r="F451" s="6" t="s">
        <v>34</v>
      </c>
      <c r="G451" s="8">
        <v>0</v>
      </c>
      <c r="H451" s="6" t="s">
        <v>35</v>
      </c>
      <c r="I451" s="7" t="s">
        <v>36</v>
      </c>
      <c r="J451" s="7" t="s">
        <v>37</v>
      </c>
      <c r="K451" s="6" t="s">
        <v>38</v>
      </c>
      <c r="L451" s="6" t="s">
        <v>39</v>
      </c>
      <c r="M451" s="7" t="s">
        <v>40</v>
      </c>
      <c r="N451" s="6" t="s">
        <v>52</v>
      </c>
      <c r="O451" s="14">
        <v>45503</v>
      </c>
      <c r="P451" s="6" t="s">
        <v>44</v>
      </c>
      <c r="Q451" s="7" t="s">
        <v>44</v>
      </c>
      <c r="R451" s="6" t="s">
        <v>44</v>
      </c>
      <c r="S451" s="6" t="s">
        <v>56</v>
      </c>
      <c r="T451" s="9">
        <v>27800</v>
      </c>
      <c r="U451" s="9">
        <v>0</v>
      </c>
      <c r="V451" s="8">
        <v>42</v>
      </c>
      <c r="W451" s="8">
        <v>30</v>
      </c>
      <c r="X451" s="6" t="s">
        <v>44</v>
      </c>
      <c r="Y451" s="8">
        <v>0</v>
      </c>
      <c r="Z451" s="8">
        <v>8</v>
      </c>
      <c r="AA451" s="8">
        <v>0</v>
      </c>
      <c r="AB451" s="8">
        <v>0</v>
      </c>
      <c r="AC451" s="8">
        <v>3</v>
      </c>
      <c r="AD451" s="8">
        <v>7</v>
      </c>
      <c r="AE451" s="7" t="s">
        <v>45</v>
      </c>
      <c r="AG451">
        <f t="shared" ref="AG451:AG514" ca="1" si="21">DATEDIF(O451,TODAY(),"Y")</f>
        <v>1</v>
      </c>
      <c r="AH451" s="23" t="str" cm="1">
        <f t="array" ref="AH451">_xlfn.IFS(E451&gt;49,"50+",E451&gt;39,"40-49",E451&gt;29,"30-39",E451&gt;19,"20-29")</f>
        <v>20-29</v>
      </c>
      <c r="AI451" s="24" t="str" cm="1">
        <f t="array" aca="1" ref="AI451" ca="1">_xlfn.IFS(AG451&gt;10,"10+",AG451&gt;4,"5-10 YIL",AG451&gt;2,"3-5 YIL",AG451&gt;0.9,"1-3 YIL",AG451&lt;1,"0-1 YIL")</f>
        <v>1-3 YIL</v>
      </c>
      <c r="AJ451">
        <f t="shared" ref="AJ451:AJ514" si="22">YEAR(O451)</f>
        <v>2024</v>
      </c>
      <c r="AK451" t="e">
        <f t="shared" ref="AK451:AK514" si="23">YEAR(P451)</f>
        <v>#VALUE!</v>
      </c>
    </row>
    <row r="452" spans="1:37" x14ac:dyDescent="0.3">
      <c r="A452" s="2" t="s">
        <v>830</v>
      </c>
      <c r="B452" s="3" t="s">
        <v>237</v>
      </c>
      <c r="C452" s="2" t="s">
        <v>48</v>
      </c>
      <c r="D452" s="13">
        <v>35937</v>
      </c>
      <c r="E452" s="4">
        <v>28</v>
      </c>
      <c r="F452" s="2" t="s">
        <v>49</v>
      </c>
      <c r="G452" s="4">
        <v>2</v>
      </c>
      <c r="H452" s="2" t="s">
        <v>35</v>
      </c>
      <c r="I452" s="3" t="s">
        <v>70</v>
      </c>
      <c r="J452" s="3" t="s">
        <v>71</v>
      </c>
      <c r="K452" s="2" t="s">
        <v>51</v>
      </c>
      <c r="L452" s="2" t="s">
        <v>63</v>
      </c>
      <c r="M452" s="3" t="s">
        <v>72</v>
      </c>
      <c r="N452" s="2" t="s">
        <v>41</v>
      </c>
      <c r="O452" s="13">
        <v>42013</v>
      </c>
      <c r="P452" s="2" t="s">
        <v>44</v>
      </c>
      <c r="Q452" s="3" t="s">
        <v>44</v>
      </c>
      <c r="R452" s="2" t="s">
        <v>44</v>
      </c>
      <c r="S452" s="2" t="s">
        <v>56</v>
      </c>
      <c r="T452" s="5">
        <v>61600</v>
      </c>
      <c r="U452" s="5">
        <v>4500</v>
      </c>
      <c r="V452" s="4">
        <v>9</v>
      </c>
      <c r="W452" s="4">
        <v>30</v>
      </c>
      <c r="X452" s="2" t="s">
        <v>44</v>
      </c>
      <c r="Y452" s="4">
        <v>0</v>
      </c>
      <c r="Z452" s="4">
        <v>11</v>
      </c>
      <c r="AA452" s="4">
        <v>0</v>
      </c>
      <c r="AB452" s="4">
        <v>0</v>
      </c>
      <c r="AC452" s="4">
        <v>3</v>
      </c>
      <c r="AD452" s="4">
        <v>9</v>
      </c>
      <c r="AE452" s="3" t="s">
        <v>58</v>
      </c>
      <c r="AG452">
        <f t="shared" ca="1" si="21"/>
        <v>11</v>
      </c>
      <c r="AH452" s="23" t="str" cm="1">
        <f t="array" ref="AH452">_xlfn.IFS(E452&gt;49,"50+",E452&gt;39,"40-49",E452&gt;29,"30-39",E452&gt;19,"20-29")</f>
        <v>20-29</v>
      </c>
      <c r="AI452" s="24" t="str" cm="1">
        <f t="array" aca="1" ref="AI452" ca="1">_xlfn.IFS(AG452&gt;10,"10+",AG452&gt;4,"5-10 YIL",AG452&gt;2,"3-5 YIL",AG452&gt;0.9,"1-3 YIL",AG452&lt;1,"0-1 YIL")</f>
        <v>10+</v>
      </c>
      <c r="AJ452">
        <f t="shared" si="22"/>
        <v>2015</v>
      </c>
      <c r="AK452" t="e">
        <f t="shared" si="23"/>
        <v>#VALUE!</v>
      </c>
    </row>
    <row r="453" spans="1:37" x14ac:dyDescent="0.3">
      <c r="A453" s="6" t="s">
        <v>831</v>
      </c>
      <c r="B453" s="7" t="s">
        <v>353</v>
      </c>
      <c r="C453" s="6" t="s">
        <v>33</v>
      </c>
      <c r="D453" s="14">
        <v>32730</v>
      </c>
      <c r="E453" s="8">
        <v>37</v>
      </c>
      <c r="F453" s="6" t="s">
        <v>49</v>
      </c>
      <c r="G453" s="8">
        <v>2</v>
      </c>
      <c r="H453" s="6" t="s">
        <v>88</v>
      </c>
      <c r="I453" s="7" t="s">
        <v>61</v>
      </c>
      <c r="J453" s="7" t="s">
        <v>107</v>
      </c>
      <c r="K453" s="6" t="s">
        <v>51</v>
      </c>
      <c r="L453" s="6" t="s">
        <v>63</v>
      </c>
      <c r="M453" s="7" t="s">
        <v>64</v>
      </c>
      <c r="N453" s="6" t="s">
        <v>41</v>
      </c>
      <c r="O453" s="14">
        <v>42783</v>
      </c>
      <c r="P453" s="6" t="s">
        <v>44</v>
      </c>
      <c r="Q453" s="7" t="s">
        <v>44</v>
      </c>
      <c r="R453" s="6" t="s">
        <v>44</v>
      </c>
      <c r="S453" s="6" t="s">
        <v>56</v>
      </c>
      <c r="T453" s="9">
        <v>53100</v>
      </c>
      <c r="U453" s="9">
        <v>8600</v>
      </c>
      <c r="V453" s="8">
        <v>5</v>
      </c>
      <c r="W453" s="8">
        <v>27</v>
      </c>
      <c r="X453" s="6" t="s">
        <v>57</v>
      </c>
      <c r="Y453" s="8">
        <v>3</v>
      </c>
      <c r="Z453" s="8">
        <v>14</v>
      </c>
      <c r="AA453" s="8">
        <v>0</v>
      </c>
      <c r="AB453" s="8">
        <v>0</v>
      </c>
      <c r="AC453" s="8">
        <v>1</v>
      </c>
      <c r="AD453" s="8">
        <v>10</v>
      </c>
      <c r="AE453" s="7" t="s">
        <v>58</v>
      </c>
      <c r="AG453">
        <f t="shared" ca="1" si="21"/>
        <v>9</v>
      </c>
      <c r="AH453" s="23" t="str" cm="1">
        <f t="array" ref="AH453">_xlfn.IFS(E453&gt;49,"50+",E453&gt;39,"40-49",E453&gt;29,"30-39",E453&gt;19,"20-29")</f>
        <v>30-39</v>
      </c>
      <c r="AI453" s="24" t="str" cm="1">
        <f t="array" aca="1" ref="AI453" ca="1">_xlfn.IFS(AG453&gt;10,"10+",AG453&gt;4,"5-10 YIL",AG453&gt;2,"3-5 YIL",AG453&gt;0.9,"1-3 YIL",AG453&lt;1,"0-1 YIL")</f>
        <v>5-10 YIL</v>
      </c>
      <c r="AJ453">
        <f t="shared" si="22"/>
        <v>2017</v>
      </c>
      <c r="AK453" t="e">
        <f t="shared" si="23"/>
        <v>#VALUE!</v>
      </c>
    </row>
    <row r="454" spans="1:37" x14ac:dyDescent="0.3">
      <c r="A454" s="2" t="s">
        <v>832</v>
      </c>
      <c r="B454" s="3" t="s">
        <v>516</v>
      </c>
      <c r="C454" s="2" t="s">
        <v>33</v>
      </c>
      <c r="D454" s="13">
        <v>36669</v>
      </c>
      <c r="E454" s="4">
        <v>26</v>
      </c>
      <c r="F454" s="2" t="s">
        <v>34</v>
      </c>
      <c r="G454" s="4">
        <v>0</v>
      </c>
      <c r="H454" s="2" t="s">
        <v>85</v>
      </c>
      <c r="I454" s="3" t="s">
        <v>36</v>
      </c>
      <c r="J454" s="3" t="s">
        <v>37</v>
      </c>
      <c r="K454" s="2" t="s">
        <v>38</v>
      </c>
      <c r="L454" s="2" t="s">
        <v>39</v>
      </c>
      <c r="M454" s="3" t="s">
        <v>40</v>
      </c>
      <c r="N454" s="2" t="s">
        <v>41</v>
      </c>
      <c r="O454" s="13">
        <v>45624</v>
      </c>
      <c r="P454" s="2" t="s">
        <v>44</v>
      </c>
      <c r="Q454" s="3" t="s">
        <v>44</v>
      </c>
      <c r="R454" s="2" t="s">
        <v>44</v>
      </c>
      <c r="S454" s="2" t="s">
        <v>56</v>
      </c>
      <c r="T454" s="5">
        <v>25600</v>
      </c>
      <c r="U454" s="5">
        <v>0</v>
      </c>
      <c r="V454" s="4">
        <v>36</v>
      </c>
      <c r="W454" s="4">
        <v>30</v>
      </c>
      <c r="X454" s="2" t="s">
        <v>44</v>
      </c>
      <c r="Y454" s="4">
        <v>0</v>
      </c>
      <c r="Z454" s="4">
        <v>6</v>
      </c>
      <c r="AA454" s="4">
        <v>0</v>
      </c>
      <c r="AB454" s="4">
        <v>0</v>
      </c>
      <c r="AC454" s="4">
        <v>3</v>
      </c>
      <c r="AD454" s="4">
        <v>4</v>
      </c>
      <c r="AE454" s="3" t="s">
        <v>58</v>
      </c>
      <c r="AG454">
        <f t="shared" ca="1" si="21"/>
        <v>1</v>
      </c>
      <c r="AH454" s="23" t="str" cm="1">
        <f t="array" ref="AH454">_xlfn.IFS(E454&gt;49,"50+",E454&gt;39,"40-49",E454&gt;29,"30-39",E454&gt;19,"20-29")</f>
        <v>20-29</v>
      </c>
      <c r="AI454" s="24" t="str" cm="1">
        <f t="array" aca="1" ref="AI454" ca="1">_xlfn.IFS(AG454&gt;10,"10+",AG454&gt;4,"5-10 YIL",AG454&gt;2,"3-5 YIL",AG454&gt;0.9,"1-3 YIL",AG454&lt;1,"0-1 YIL")</f>
        <v>1-3 YIL</v>
      </c>
      <c r="AJ454">
        <f t="shared" si="22"/>
        <v>2024</v>
      </c>
      <c r="AK454" t="e">
        <f t="shared" si="23"/>
        <v>#VALUE!</v>
      </c>
    </row>
    <row r="455" spans="1:37" x14ac:dyDescent="0.3">
      <c r="A455" s="6" t="s">
        <v>833</v>
      </c>
      <c r="B455" s="7" t="s">
        <v>834</v>
      </c>
      <c r="C455" s="6" t="s">
        <v>33</v>
      </c>
      <c r="D455" s="14">
        <v>38003</v>
      </c>
      <c r="E455" s="8">
        <v>22</v>
      </c>
      <c r="F455" s="6" t="s">
        <v>49</v>
      </c>
      <c r="G455" s="8">
        <v>0</v>
      </c>
      <c r="H455" s="6" t="s">
        <v>35</v>
      </c>
      <c r="I455" s="7" t="s">
        <v>36</v>
      </c>
      <c r="J455" s="7" t="s">
        <v>37</v>
      </c>
      <c r="K455" s="6" t="s">
        <v>38</v>
      </c>
      <c r="L455" s="6" t="s">
        <v>39</v>
      </c>
      <c r="M455" s="7" t="s">
        <v>40</v>
      </c>
      <c r="N455" s="6" t="s">
        <v>41</v>
      </c>
      <c r="O455" s="14">
        <v>44944</v>
      </c>
      <c r="P455" s="6" t="s">
        <v>44</v>
      </c>
      <c r="Q455" s="7" t="s">
        <v>44</v>
      </c>
      <c r="R455" s="6" t="s">
        <v>44</v>
      </c>
      <c r="S455" s="6" t="s">
        <v>56</v>
      </c>
      <c r="T455" s="9">
        <v>24100</v>
      </c>
      <c r="U455" s="9">
        <v>0</v>
      </c>
      <c r="V455" s="8">
        <v>12</v>
      </c>
      <c r="W455" s="8">
        <v>29</v>
      </c>
      <c r="X455" s="6" t="s">
        <v>57</v>
      </c>
      <c r="Y455" s="8">
        <v>1</v>
      </c>
      <c r="Z455" s="8">
        <v>5</v>
      </c>
      <c r="AA455" s="8">
        <v>0</v>
      </c>
      <c r="AB455" s="8">
        <v>0</v>
      </c>
      <c r="AC455" s="8">
        <v>4</v>
      </c>
      <c r="AD455" s="8">
        <v>18</v>
      </c>
      <c r="AE455" s="7" t="s">
        <v>58</v>
      </c>
      <c r="AG455">
        <f t="shared" ca="1" si="21"/>
        <v>3</v>
      </c>
      <c r="AH455" s="23" t="str" cm="1">
        <f t="array" ref="AH455">_xlfn.IFS(E455&gt;49,"50+",E455&gt;39,"40-49",E455&gt;29,"30-39",E455&gt;19,"20-29")</f>
        <v>20-29</v>
      </c>
      <c r="AI455" s="24" t="str" cm="1">
        <f t="array" aca="1" ref="AI455" ca="1">_xlfn.IFS(AG455&gt;10,"10+",AG455&gt;4,"5-10 YIL",AG455&gt;2,"3-5 YIL",AG455&gt;0.9,"1-3 YIL",AG455&lt;1,"0-1 YIL")</f>
        <v>3-5 YIL</v>
      </c>
      <c r="AJ455">
        <f t="shared" si="22"/>
        <v>2023</v>
      </c>
      <c r="AK455" t="e">
        <f t="shared" si="23"/>
        <v>#VALUE!</v>
      </c>
    </row>
    <row r="456" spans="1:37" x14ac:dyDescent="0.3">
      <c r="A456" s="2" t="s">
        <v>835</v>
      </c>
      <c r="B456" s="3" t="s">
        <v>211</v>
      </c>
      <c r="C456" s="2" t="s">
        <v>33</v>
      </c>
      <c r="D456" s="13">
        <v>37220</v>
      </c>
      <c r="E456" s="4">
        <v>25</v>
      </c>
      <c r="F456" s="2" t="s">
        <v>49</v>
      </c>
      <c r="G456" s="4">
        <v>3</v>
      </c>
      <c r="H456" s="2" t="s">
        <v>35</v>
      </c>
      <c r="I456" s="3" t="s">
        <v>139</v>
      </c>
      <c r="J456" s="3" t="s">
        <v>235</v>
      </c>
      <c r="K456" s="2" t="s">
        <v>38</v>
      </c>
      <c r="L456" s="2" t="s">
        <v>63</v>
      </c>
      <c r="M456" s="3" t="s">
        <v>162</v>
      </c>
      <c r="N456" s="2" t="s">
        <v>67</v>
      </c>
      <c r="O456" s="13">
        <v>45259</v>
      </c>
      <c r="P456" s="2" t="s">
        <v>44</v>
      </c>
      <c r="Q456" s="3" t="s">
        <v>44</v>
      </c>
      <c r="R456" s="2" t="s">
        <v>44</v>
      </c>
      <c r="S456" s="2" t="s">
        <v>56</v>
      </c>
      <c r="T456" s="5">
        <v>45400</v>
      </c>
      <c r="U456" s="5">
        <v>0</v>
      </c>
      <c r="V456" s="4">
        <v>5</v>
      </c>
      <c r="W456" s="4">
        <v>30</v>
      </c>
      <c r="X456" s="2" t="s">
        <v>44</v>
      </c>
      <c r="Y456" s="4">
        <v>0</v>
      </c>
      <c r="Z456" s="4">
        <v>5</v>
      </c>
      <c r="AA456" s="4">
        <v>0</v>
      </c>
      <c r="AB456" s="4">
        <v>0</v>
      </c>
      <c r="AC456" s="4">
        <v>2</v>
      </c>
      <c r="AD456" s="4">
        <v>15</v>
      </c>
      <c r="AE456" s="3" t="s">
        <v>45</v>
      </c>
      <c r="AG456">
        <f t="shared" ca="1" si="21"/>
        <v>2</v>
      </c>
      <c r="AH456" s="23" t="str" cm="1">
        <f t="array" ref="AH456">_xlfn.IFS(E456&gt;49,"50+",E456&gt;39,"40-49",E456&gt;29,"30-39",E456&gt;19,"20-29")</f>
        <v>20-29</v>
      </c>
      <c r="AI456" s="24" t="str" cm="1">
        <f t="array" aca="1" ref="AI456" ca="1">_xlfn.IFS(AG456&gt;10,"10+",AG456&gt;4,"5-10 YIL",AG456&gt;2,"3-5 YIL",AG456&gt;0.9,"1-3 YIL",AG456&lt;1,"0-1 YIL")</f>
        <v>1-3 YIL</v>
      </c>
      <c r="AJ456">
        <f t="shared" si="22"/>
        <v>2023</v>
      </c>
      <c r="AK456" t="e">
        <f t="shared" si="23"/>
        <v>#VALUE!</v>
      </c>
    </row>
    <row r="457" spans="1:37" x14ac:dyDescent="0.3">
      <c r="A457" s="6" t="s">
        <v>836</v>
      </c>
      <c r="B457" s="7" t="s">
        <v>837</v>
      </c>
      <c r="C457" s="6" t="s">
        <v>48</v>
      </c>
      <c r="D457" s="14">
        <v>33411</v>
      </c>
      <c r="E457" s="8">
        <v>35</v>
      </c>
      <c r="F457" s="6" t="s">
        <v>34</v>
      </c>
      <c r="G457" s="8">
        <v>0</v>
      </c>
      <c r="H457" s="6" t="s">
        <v>35</v>
      </c>
      <c r="I457" s="7" t="s">
        <v>36</v>
      </c>
      <c r="J457" s="7" t="s">
        <v>50</v>
      </c>
      <c r="K457" s="6" t="s">
        <v>51</v>
      </c>
      <c r="L457" s="6" t="s">
        <v>39</v>
      </c>
      <c r="M457" s="7" t="s">
        <v>40</v>
      </c>
      <c r="N457" s="6" t="s">
        <v>41</v>
      </c>
      <c r="O457" s="14">
        <v>42506</v>
      </c>
      <c r="P457" s="6" t="s">
        <v>44</v>
      </c>
      <c r="Q457" s="7" t="s">
        <v>44</v>
      </c>
      <c r="R457" s="6" t="s">
        <v>44</v>
      </c>
      <c r="S457" s="6" t="s">
        <v>56</v>
      </c>
      <c r="T457" s="9">
        <v>44900</v>
      </c>
      <c r="U457" s="9">
        <v>0</v>
      </c>
      <c r="V457" s="8">
        <v>19</v>
      </c>
      <c r="W457" s="8">
        <v>28</v>
      </c>
      <c r="X457" s="6" t="s">
        <v>112</v>
      </c>
      <c r="Y457" s="8">
        <v>0</v>
      </c>
      <c r="Z457" s="8">
        <v>0</v>
      </c>
      <c r="AA457" s="8">
        <v>0</v>
      </c>
      <c r="AB457" s="8">
        <v>2</v>
      </c>
      <c r="AC457" s="8">
        <v>2</v>
      </c>
      <c r="AD457" s="8">
        <v>5</v>
      </c>
      <c r="AE457" s="7" t="s">
        <v>58</v>
      </c>
      <c r="AG457">
        <f t="shared" ca="1" si="21"/>
        <v>10</v>
      </c>
      <c r="AH457" s="23" t="str" cm="1">
        <f t="array" ref="AH457">_xlfn.IFS(E457&gt;49,"50+",E457&gt;39,"40-49",E457&gt;29,"30-39",E457&gt;19,"20-29")</f>
        <v>30-39</v>
      </c>
      <c r="AI457" s="24" t="str" cm="1">
        <f t="array" aca="1" ref="AI457" ca="1">_xlfn.IFS(AG457&gt;10,"10+",AG457&gt;4,"5-10 YIL",AG457&gt;2,"3-5 YIL",AG457&gt;0.9,"1-3 YIL",AG457&lt;1,"0-1 YIL")</f>
        <v>5-10 YIL</v>
      </c>
      <c r="AJ457">
        <f t="shared" si="22"/>
        <v>2016</v>
      </c>
      <c r="AK457" t="e">
        <f t="shared" si="23"/>
        <v>#VALUE!</v>
      </c>
    </row>
    <row r="458" spans="1:37" x14ac:dyDescent="0.3">
      <c r="A458" s="2" t="s">
        <v>838</v>
      </c>
      <c r="B458" s="3" t="s">
        <v>828</v>
      </c>
      <c r="C458" s="2" t="s">
        <v>48</v>
      </c>
      <c r="D458" s="13">
        <v>36388</v>
      </c>
      <c r="E458" s="4">
        <v>27</v>
      </c>
      <c r="F458" s="2" t="s">
        <v>34</v>
      </c>
      <c r="G458" s="4">
        <v>0</v>
      </c>
      <c r="H458" s="2" t="s">
        <v>85</v>
      </c>
      <c r="I458" s="3" t="s">
        <v>36</v>
      </c>
      <c r="J458" s="3" t="s">
        <v>37</v>
      </c>
      <c r="K458" s="2" t="s">
        <v>38</v>
      </c>
      <c r="L458" s="2" t="s">
        <v>39</v>
      </c>
      <c r="M458" s="3" t="s">
        <v>40</v>
      </c>
      <c r="N458" s="2" t="s">
        <v>89</v>
      </c>
      <c r="O458" s="13">
        <v>45944</v>
      </c>
      <c r="P458" s="2" t="s">
        <v>44</v>
      </c>
      <c r="Q458" s="3" t="s">
        <v>44</v>
      </c>
      <c r="R458" s="2" t="s">
        <v>44</v>
      </c>
      <c r="S458" s="2" t="s">
        <v>56</v>
      </c>
      <c r="T458" s="5">
        <v>25700</v>
      </c>
      <c r="U458" s="5">
        <v>0</v>
      </c>
      <c r="V458" s="4">
        <v>10</v>
      </c>
      <c r="W458" s="4">
        <v>30</v>
      </c>
      <c r="X458" s="2" t="s">
        <v>44</v>
      </c>
      <c r="Y458" s="4">
        <v>0</v>
      </c>
      <c r="Z458" s="4">
        <v>0</v>
      </c>
      <c r="AA458" s="4">
        <v>0</v>
      </c>
      <c r="AB458" s="4">
        <v>0</v>
      </c>
      <c r="AC458" s="4">
        <v>3</v>
      </c>
      <c r="AD458" s="4">
        <v>11</v>
      </c>
      <c r="AE458" s="3" t="s">
        <v>45</v>
      </c>
      <c r="AG458">
        <f t="shared" ca="1" si="21"/>
        <v>0</v>
      </c>
      <c r="AH458" s="23" t="str" cm="1">
        <f t="array" ref="AH458">_xlfn.IFS(E458&gt;49,"50+",E458&gt;39,"40-49",E458&gt;29,"30-39",E458&gt;19,"20-29")</f>
        <v>20-29</v>
      </c>
      <c r="AI458" s="24" t="str" cm="1">
        <f t="array" aca="1" ref="AI458" ca="1">_xlfn.IFS(AG458&gt;10,"10+",AG458&gt;4,"5-10 YIL",AG458&gt;2,"3-5 YIL",AG458&gt;0.9,"1-3 YIL",AG458&lt;1,"0-1 YIL")</f>
        <v>0-1 YIL</v>
      </c>
      <c r="AJ458">
        <f t="shared" si="22"/>
        <v>2025</v>
      </c>
      <c r="AK458" t="e">
        <f t="shared" si="23"/>
        <v>#VALUE!</v>
      </c>
    </row>
    <row r="459" spans="1:37" x14ac:dyDescent="0.3">
      <c r="A459" s="6" t="s">
        <v>839</v>
      </c>
      <c r="B459" s="7" t="s">
        <v>77</v>
      </c>
      <c r="C459" s="6" t="s">
        <v>48</v>
      </c>
      <c r="D459" s="14">
        <v>35973</v>
      </c>
      <c r="E459" s="8">
        <v>28</v>
      </c>
      <c r="F459" s="6" t="s">
        <v>49</v>
      </c>
      <c r="G459" s="8">
        <v>0</v>
      </c>
      <c r="H459" s="6" t="s">
        <v>35</v>
      </c>
      <c r="I459" s="7" t="s">
        <v>61</v>
      </c>
      <c r="J459" s="7" t="s">
        <v>62</v>
      </c>
      <c r="K459" s="6" t="s">
        <v>38</v>
      </c>
      <c r="L459" s="6" t="s">
        <v>63</v>
      </c>
      <c r="M459" s="7" t="s">
        <v>64</v>
      </c>
      <c r="N459" s="6" t="s">
        <v>41</v>
      </c>
      <c r="O459" s="14">
        <v>45920</v>
      </c>
      <c r="P459" s="6" t="s">
        <v>44</v>
      </c>
      <c r="Q459" s="7" t="s">
        <v>44</v>
      </c>
      <c r="R459" s="6" t="s">
        <v>44</v>
      </c>
      <c r="S459" s="6" t="s">
        <v>56</v>
      </c>
      <c r="T459" s="9">
        <v>33100</v>
      </c>
      <c r="U459" s="9">
        <v>11200</v>
      </c>
      <c r="V459" s="8">
        <v>4</v>
      </c>
      <c r="W459" s="8">
        <v>29</v>
      </c>
      <c r="X459" s="6" t="s">
        <v>81</v>
      </c>
      <c r="Y459" s="8">
        <v>0</v>
      </c>
      <c r="Z459" s="8">
        <v>0</v>
      </c>
      <c r="AA459" s="8">
        <v>1</v>
      </c>
      <c r="AB459" s="8">
        <v>0</v>
      </c>
      <c r="AC459" s="8">
        <v>5</v>
      </c>
      <c r="AD459" s="8">
        <v>28</v>
      </c>
      <c r="AE459" s="7" t="s">
        <v>58</v>
      </c>
      <c r="AG459">
        <f t="shared" ca="1" si="21"/>
        <v>0</v>
      </c>
      <c r="AH459" s="23" t="str" cm="1">
        <f t="array" ref="AH459">_xlfn.IFS(E459&gt;49,"50+",E459&gt;39,"40-49",E459&gt;29,"30-39",E459&gt;19,"20-29")</f>
        <v>20-29</v>
      </c>
      <c r="AI459" s="24" t="str" cm="1">
        <f t="array" aca="1" ref="AI459" ca="1">_xlfn.IFS(AG459&gt;10,"10+",AG459&gt;4,"5-10 YIL",AG459&gt;2,"3-5 YIL",AG459&gt;0.9,"1-3 YIL",AG459&lt;1,"0-1 YIL")</f>
        <v>0-1 YIL</v>
      </c>
      <c r="AJ459">
        <f t="shared" si="22"/>
        <v>2025</v>
      </c>
      <c r="AK459" t="e">
        <f t="shared" si="23"/>
        <v>#VALUE!</v>
      </c>
    </row>
    <row r="460" spans="1:37" x14ac:dyDescent="0.3">
      <c r="A460" s="2" t="s">
        <v>840</v>
      </c>
      <c r="B460" s="3" t="s">
        <v>114</v>
      </c>
      <c r="C460" s="2" t="s">
        <v>48</v>
      </c>
      <c r="D460" s="13">
        <v>35812</v>
      </c>
      <c r="E460" s="4">
        <v>28</v>
      </c>
      <c r="F460" s="2" t="s">
        <v>34</v>
      </c>
      <c r="G460" s="4">
        <v>0</v>
      </c>
      <c r="H460" s="2" t="s">
        <v>35</v>
      </c>
      <c r="I460" s="3" t="s">
        <v>36</v>
      </c>
      <c r="J460" s="3" t="s">
        <v>37</v>
      </c>
      <c r="K460" s="2" t="s">
        <v>38</v>
      </c>
      <c r="L460" s="2" t="s">
        <v>39</v>
      </c>
      <c r="M460" s="3" t="s">
        <v>40</v>
      </c>
      <c r="N460" s="2" t="s">
        <v>41</v>
      </c>
      <c r="O460" s="13">
        <v>45725</v>
      </c>
      <c r="P460" s="2" t="s">
        <v>44</v>
      </c>
      <c r="Q460" s="3" t="s">
        <v>44</v>
      </c>
      <c r="R460" s="2" t="s">
        <v>44</v>
      </c>
      <c r="S460" s="2" t="s">
        <v>56</v>
      </c>
      <c r="T460" s="5">
        <v>27400</v>
      </c>
      <c r="U460" s="5">
        <v>0</v>
      </c>
      <c r="V460" s="4">
        <v>26</v>
      </c>
      <c r="W460" s="4">
        <v>30</v>
      </c>
      <c r="X460" s="2" t="s">
        <v>44</v>
      </c>
      <c r="Y460" s="4">
        <v>0</v>
      </c>
      <c r="Z460" s="4">
        <v>12</v>
      </c>
      <c r="AA460" s="4">
        <v>0</v>
      </c>
      <c r="AB460" s="4">
        <v>0</v>
      </c>
      <c r="AC460" s="4">
        <v>4</v>
      </c>
      <c r="AD460" s="4">
        <v>38</v>
      </c>
      <c r="AE460" s="3" t="s">
        <v>45</v>
      </c>
      <c r="AG460">
        <f t="shared" ca="1" si="21"/>
        <v>1</v>
      </c>
      <c r="AH460" s="23" t="str" cm="1">
        <f t="array" ref="AH460">_xlfn.IFS(E460&gt;49,"50+",E460&gt;39,"40-49",E460&gt;29,"30-39",E460&gt;19,"20-29")</f>
        <v>20-29</v>
      </c>
      <c r="AI460" s="24" t="str" cm="1">
        <f t="array" aca="1" ref="AI460" ca="1">_xlfn.IFS(AG460&gt;10,"10+",AG460&gt;4,"5-10 YIL",AG460&gt;2,"3-5 YIL",AG460&gt;0.9,"1-3 YIL",AG460&lt;1,"0-1 YIL")</f>
        <v>1-3 YIL</v>
      </c>
      <c r="AJ460">
        <f t="shared" si="22"/>
        <v>2025</v>
      </c>
      <c r="AK460" t="e">
        <f t="shared" si="23"/>
        <v>#VALUE!</v>
      </c>
    </row>
    <row r="461" spans="1:37" x14ac:dyDescent="0.3">
      <c r="A461" s="6" t="s">
        <v>841</v>
      </c>
      <c r="B461" s="7" t="s">
        <v>126</v>
      </c>
      <c r="C461" s="6" t="s">
        <v>33</v>
      </c>
      <c r="D461" s="14">
        <v>26369</v>
      </c>
      <c r="E461" s="8">
        <v>54</v>
      </c>
      <c r="F461" s="6" t="s">
        <v>34</v>
      </c>
      <c r="G461" s="8">
        <v>0</v>
      </c>
      <c r="H461" s="6" t="s">
        <v>35</v>
      </c>
      <c r="I461" s="7" t="s">
        <v>61</v>
      </c>
      <c r="J461" s="7" t="s">
        <v>124</v>
      </c>
      <c r="K461" s="6" t="s">
        <v>79</v>
      </c>
      <c r="L461" s="6" t="s">
        <v>63</v>
      </c>
      <c r="M461" s="7" t="s">
        <v>80</v>
      </c>
      <c r="N461" s="6" t="s">
        <v>41</v>
      </c>
      <c r="O461" s="14">
        <v>39676</v>
      </c>
      <c r="P461" s="6" t="s">
        <v>44</v>
      </c>
      <c r="Q461" s="7" t="s">
        <v>44</v>
      </c>
      <c r="R461" s="6" t="s">
        <v>44</v>
      </c>
      <c r="S461" s="6" t="s">
        <v>56</v>
      </c>
      <c r="T461" s="9">
        <v>113100</v>
      </c>
      <c r="U461" s="9">
        <v>0</v>
      </c>
      <c r="V461" s="8">
        <v>2</v>
      </c>
      <c r="W461" s="8">
        <v>30</v>
      </c>
      <c r="X461" s="6" t="s">
        <v>44</v>
      </c>
      <c r="Y461" s="8">
        <v>0</v>
      </c>
      <c r="Z461" s="8">
        <v>6</v>
      </c>
      <c r="AA461" s="8">
        <v>0</v>
      </c>
      <c r="AB461" s="8">
        <v>0</v>
      </c>
      <c r="AC461" s="8">
        <v>3</v>
      </c>
      <c r="AD461" s="8">
        <v>13</v>
      </c>
      <c r="AE461" s="7" t="s">
        <v>45</v>
      </c>
      <c r="AG461">
        <f t="shared" ca="1" si="21"/>
        <v>17</v>
      </c>
      <c r="AH461" s="23" t="str" cm="1">
        <f t="array" ref="AH461">_xlfn.IFS(E461&gt;49,"50+",E461&gt;39,"40-49",E461&gt;29,"30-39",E461&gt;19,"20-29")</f>
        <v>50+</v>
      </c>
      <c r="AI461" s="24" t="str" cm="1">
        <f t="array" aca="1" ref="AI461" ca="1">_xlfn.IFS(AG461&gt;10,"10+",AG461&gt;4,"5-10 YIL",AG461&gt;2,"3-5 YIL",AG461&gt;0.9,"1-3 YIL",AG461&lt;1,"0-1 YIL")</f>
        <v>10+</v>
      </c>
      <c r="AJ461">
        <f t="shared" si="22"/>
        <v>2008</v>
      </c>
      <c r="AK461" t="e">
        <f t="shared" si="23"/>
        <v>#VALUE!</v>
      </c>
    </row>
    <row r="462" spans="1:37" x14ac:dyDescent="0.3">
      <c r="A462" s="2" t="s">
        <v>842</v>
      </c>
      <c r="B462" s="3" t="s">
        <v>553</v>
      </c>
      <c r="C462" s="2" t="s">
        <v>33</v>
      </c>
      <c r="D462" s="13">
        <v>37657</v>
      </c>
      <c r="E462" s="4">
        <v>23</v>
      </c>
      <c r="F462" s="2" t="s">
        <v>49</v>
      </c>
      <c r="G462" s="4">
        <v>1</v>
      </c>
      <c r="H462" s="2" t="s">
        <v>85</v>
      </c>
      <c r="I462" s="3" t="s">
        <v>61</v>
      </c>
      <c r="J462" s="3" t="s">
        <v>62</v>
      </c>
      <c r="K462" s="2" t="s">
        <v>38</v>
      </c>
      <c r="L462" s="2" t="s">
        <v>63</v>
      </c>
      <c r="M462" s="3" t="s">
        <v>64</v>
      </c>
      <c r="N462" s="2" t="s">
        <v>41</v>
      </c>
      <c r="O462" s="13">
        <v>45716</v>
      </c>
      <c r="P462" s="2" t="s">
        <v>44</v>
      </c>
      <c r="Q462" s="3" t="s">
        <v>44</v>
      </c>
      <c r="R462" s="2" t="s">
        <v>44</v>
      </c>
      <c r="S462" s="2" t="s">
        <v>56</v>
      </c>
      <c r="T462" s="5">
        <v>32200</v>
      </c>
      <c r="U462" s="5">
        <v>7300</v>
      </c>
      <c r="V462" s="4">
        <v>1</v>
      </c>
      <c r="W462" s="4">
        <v>28</v>
      </c>
      <c r="X462" s="2" t="s">
        <v>57</v>
      </c>
      <c r="Y462" s="4">
        <v>2</v>
      </c>
      <c r="Z462" s="4">
        <v>14</v>
      </c>
      <c r="AA462" s="4">
        <v>0</v>
      </c>
      <c r="AB462" s="4">
        <v>0</v>
      </c>
      <c r="AC462" s="4">
        <v>3</v>
      </c>
      <c r="AD462" s="4">
        <v>13</v>
      </c>
      <c r="AE462" s="3" t="s">
        <v>45</v>
      </c>
      <c r="AG462">
        <f t="shared" ca="1" si="21"/>
        <v>1</v>
      </c>
      <c r="AH462" s="23" t="str" cm="1">
        <f t="array" ref="AH462">_xlfn.IFS(E462&gt;49,"50+",E462&gt;39,"40-49",E462&gt;29,"30-39",E462&gt;19,"20-29")</f>
        <v>20-29</v>
      </c>
      <c r="AI462" s="24" t="str" cm="1">
        <f t="array" aca="1" ref="AI462" ca="1">_xlfn.IFS(AG462&gt;10,"10+",AG462&gt;4,"5-10 YIL",AG462&gt;2,"3-5 YIL",AG462&gt;0.9,"1-3 YIL",AG462&lt;1,"0-1 YIL")</f>
        <v>1-3 YIL</v>
      </c>
      <c r="AJ462">
        <f t="shared" si="22"/>
        <v>2025</v>
      </c>
      <c r="AK462" t="e">
        <f t="shared" si="23"/>
        <v>#VALUE!</v>
      </c>
    </row>
    <row r="463" spans="1:37" x14ac:dyDescent="0.3">
      <c r="A463" s="6" t="s">
        <v>843</v>
      </c>
      <c r="B463" s="7" t="s">
        <v>237</v>
      </c>
      <c r="C463" s="6" t="s">
        <v>48</v>
      </c>
      <c r="D463" s="14">
        <v>36451</v>
      </c>
      <c r="E463" s="8">
        <v>27</v>
      </c>
      <c r="F463" s="6" t="s">
        <v>49</v>
      </c>
      <c r="G463" s="8">
        <v>1</v>
      </c>
      <c r="H463" s="6" t="s">
        <v>85</v>
      </c>
      <c r="I463" s="7" t="s">
        <v>36</v>
      </c>
      <c r="J463" s="7" t="s">
        <v>37</v>
      </c>
      <c r="K463" s="6" t="s">
        <v>38</v>
      </c>
      <c r="L463" s="6" t="s">
        <v>39</v>
      </c>
      <c r="M463" s="7" t="s">
        <v>40</v>
      </c>
      <c r="N463" s="6" t="s">
        <v>41</v>
      </c>
      <c r="O463" s="14">
        <v>45600</v>
      </c>
      <c r="P463" s="6" t="s">
        <v>44</v>
      </c>
      <c r="Q463" s="7" t="s">
        <v>44</v>
      </c>
      <c r="R463" s="6" t="s">
        <v>44</v>
      </c>
      <c r="S463" s="6" t="s">
        <v>56</v>
      </c>
      <c r="T463" s="9">
        <v>24500</v>
      </c>
      <c r="U463" s="9">
        <v>0</v>
      </c>
      <c r="V463" s="8">
        <v>30</v>
      </c>
      <c r="W463" s="8">
        <v>30</v>
      </c>
      <c r="X463" s="6" t="s">
        <v>44</v>
      </c>
      <c r="Y463" s="8">
        <v>0</v>
      </c>
      <c r="Z463" s="8">
        <v>10</v>
      </c>
      <c r="AA463" s="8">
        <v>0</v>
      </c>
      <c r="AB463" s="8">
        <v>0</v>
      </c>
      <c r="AC463" s="8">
        <v>4</v>
      </c>
      <c r="AD463" s="8">
        <v>33</v>
      </c>
      <c r="AE463" s="7" t="s">
        <v>45</v>
      </c>
      <c r="AG463">
        <f t="shared" ca="1" si="21"/>
        <v>1</v>
      </c>
      <c r="AH463" s="23" t="str" cm="1">
        <f t="array" ref="AH463">_xlfn.IFS(E463&gt;49,"50+",E463&gt;39,"40-49",E463&gt;29,"30-39",E463&gt;19,"20-29")</f>
        <v>20-29</v>
      </c>
      <c r="AI463" s="24" t="str" cm="1">
        <f t="array" aca="1" ref="AI463" ca="1">_xlfn.IFS(AG463&gt;10,"10+",AG463&gt;4,"5-10 YIL",AG463&gt;2,"3-5 YIL",AG463&gt;0.9,"1-3 YIL",AG463&lt;1,"0-1 YIL")</f>
        <v>1-3 YIL</v>
      </c>
      <c r="AJ463">
        <f t="shared" si="22"/>
        <v>2024</v>
      </c>
      <c r="AK463" t="e">
        <f t="shared" si="23"/>
        <v>#VALUE!</v>
      </c>
    </row>
    <row r="464" spans="1:37" x14ac:dyDescent="0.3">
      <c r="A464" s="2" t="s">
        <v>844</v>
      </c>
      <c r="B464" s="3" t="s">
        <v>845</v>
      </c>
      <c r="C464" s="2" t="s">
        <v>48</v>
      </c>
      <c r="D464" s="13">
        <v>34263</v>
      </c>
      <c r="E464" s="4">
        <v>33</v>
      </c>
      <c r="F464" s="2" t="s">
        <v>34</v>
      </c>
      <c r="G464" s="4">
        <v>0</v>
      </c>
      <c r="H464" s="2" t="s">
        <v>35</v>
      </c>
      <c r="I464" s="3" t="s">
        <v>36</v>
      </c>
      <c r="J464" s="3" t="s">
        <v>50</v>
      </c>
      <c r="K464" s="2" t="s">
        <v>51</v>
      </c>
      <c r="L464" s="2" t="s">
        <v>39</v>
      </c>
      <c r="M464" s="3" t="s">
        <v>40</v>
      </c>
      <c r="N464" s="2" t="s">
        <v>41</v>
      </c>
      <c r="O464" s="13">
        <v>42569</v>
      </c>
      <c r="P464" s="2" t="s">
        <v>44</v>
      </c>
      <c r="Q464" s="3" t="s">
        <v>44</v>
      </c>
      <c r="R464" s="2" t="s">
        <v>44</v>
      </c>
      <c r="S464" s="2" t="s">
        <v>56</v>
      </c>
      <c r="T464" s="5">
        <v>39500</v>
      </c>
      <c r="U464" s="5">
        <v>0</v>
      </c>
      <c r="V464" s="4">
        <v>21</v>
      </c>
      <c r="W464" s="4">
        <v>30</v>
      </c>
      <c r="X464" s="2" t="s">
        <v>44</v>
      </c>
      <c r="Y464" s="4">
        <v>0</v>
      </c>
      <c r="Z464" s="4">
        <v>12</v>
      </c>
      <c r="AA464" s="4">
        <v>0</v>
      </c>
      <c r="AB464" s="4">
        <v>0</v>
      </c>
      <c r="AC464" s="4">
        <v>3</v>
      </c>
      <c r="AD464" s="4">
        <v>10</v>
      </c>
      <c r="AE464" s="3" t="s">
        <v>82</v>
      </c>
      <c r="AG464">
        <f t="shared" ca="1" si="21"/>
        <v>9</v>
      </c>
      <c r="AH464" s="23" t="str" cm="1">
        <f t="array" ref="AH464">_xlfn.IFS(E464&gt;49,"50+",E464&gt;39,"40-49",E464&gt;29,"30-39",E464&gt;19,"20-29")</f>
        <v>30-39</v>
      </c>
      <c r="AI464" s="24" t="str" cm="1">
        <f t="array" aca="1" ref="AI464" ca="1">_xlfn.IFS(AG464&gt;10,"10+",AG464&gt;4,"5-10 YIL",AG464&gt;2,"3-5 YIL",AG464&gt;0.9,"1-3 YIL",AG464&lt;1,"0-1 YIL")</f>
        <v>5-10 YIL</v>
      </c>
      <c r="AJ464">
        <f t="shared" si="22"/>
        <v>2016</v>
      </c>
      <c r="AK464" t="e">
        <f t="shared" si="23"/>
        <v>#VALUE!</v>
      </c>
    </row>
    <row r="465" spans="1:37" x14ac:dyDescent="0.3">
      <c r="A465" s="6" t="s">
        <v>846</v>
      </c>
      <c r="B465" s="7" t="s">
        <v>766</v>
      </c>
      <c r="C465" s="6" t="s">
        <v>48</v>
      </c>
      <c r="D465" s="14">
        <v>37991</v>
      </c>
      <c r="E465" s="8">
        <v>22</v>
      </c>
      <c r="F465" s="6" t="s">
        <v>49</v>
      </c>
      <c r="G465" s="8">
        <v>2</v>
      </c>
      <c r="H465" s="6" t="s">
        <v>35</v>
      </c>
      <c r="I465" s="7" t="s">
        <v>70</v>
      </c>
      <c r="J465" s="7" t="s">
        <v>92</v>
      </c>
      <c r="K465" s="6" t="s">
        <v>38</v>
      </c>
      <c r="L465" s="6" t="s">
        <v>63</v>
      </c>
      <c r="M465" s="7" t="s">
        <v>72</v>
      </c>
      <c r="N465" s="6" t="s">
        <v>41</v>
      </c>
      <c r="O465" s="14">
        <v>45747</v>
      </c>
      <c r="P465" s="6" t="s">
        <v>44</v>
      </c>
      <c r="Q465" s="7" t="s">
        <v>44</v>
      </c>
      <c r="R465" s="6" t="s">
        <v>44</v>
      </c>
      <c r="S465" s="6" t="s">
        <v>56</v>
      </c>
      <c r="T465" s="9">
        <v>34400</v>
      </c>
      <c r="U465" s="9">
        <v>0</v>
      </c>
      <c r="V465" s="8">
        <v>2</v>
      </c>
      <c r="W465" s="8">
        <v>30</v>
      </c>
      <c r="X465" s="6" t="s">
        <v>44</v>
      </c>
      <c r="Y465" s="8">
        <v>0</v>
      </c>
      <c r="Z465" s="8">
        <v>2</v>
      </c>
      <c r="AA465" s="8">
        <v>0</v>
      </c>
      <c r="AB465" s="8">
        <v>0</v>
      </c>
      <c r="AC465" s="8">
        <v>3</v>
      </c>
      <c r="AD465" s="8">
        <v>15</v>
      </c>
      <c r="AE465" s="7" t="s">
        <v>58</v>
      </c>
      <c r="AG465">
        <f t="shared" ca="1" si="21"/>
        <v>1</v>
      </c>
      <c r="AH465" s="23" t="str" cm="1">
        <f t="array" ref="AH465">_xlfn.IFS(E465&gt;49,"50+",E465&gt;39,"40-49",E465&gt;29,"30-39",E465&gt;19,"20-29")</f>
        <v>20-29</v>
      </c>
      <c r="AI465" s="24" t="str" cm="1">
        <f t="array" aca="1" ref="AI465" ca="1">_xlfn.IFS(AG465&gt;10,"10+",AG465&gt;4,"5-10 YIL",AG465&gt;2,"3-5 YIL",AG465&gt;0.9,"1-3 YIL",AG465&lt;1,"0-1 YIL")</f>
        <v>1-3 YIL</v>
      </c>
      <c r="AJ465">
        <f t="shared" si="22"/>
        <v>2025</v>
      </c>
      <c r="AK465" t="e">
        <f t="shared" si="23"/>
        <v>#VALUE!</v>
      </c>
    </row>
    <row r="466" spans="1:37" x14ac:dyDescent="0.3">
      <c r="A466" s="2" t="s">
        <v>847</v>
      </c>
      <c r="B466" s="3" t="s">
        <v>541</v>
      </c>
      <c r="C466" s="2" t="s">
        <v>33</v>
      </c>
      <c r="D466" s="13">
        <v>32631</v>
      </c>
      <c r="E466" s="4">
        <v>37</v>
      </c>
      <c r="F466" s="2" t="s">
        <v>34</v>
      </c>
      <c r="G466" s="4">
        <v>0</v>
      </c>
      <c r="H466" s="2" t="s">
        <v>85</v>
      </c>
      <c r="I466" s="3" t="s">
        <v>36</v>
      </c>
      <c r="J466" s="3" t="s">
        <v>50</v>
      </c>
      <c r="K466" s="2" t="s">
        <v>51</v>
      </c>
      <c r="L466" s="2" t="s">
        <v>39</v>
      </c>
      <c r="M466" s="3" t="s">
        <v>40</v>
      </c>
      <c r="N466" s="2" t="s">
        <v>67</v>
      </c>
      <c r="O466" s="13">
        <v>44143</v>
      </c>
      <c r="P466" s="2" t="s">
        <v>44</v>
      </c>
      <c r="Q466" s="3" t="s">
        <v>44</v>
      </c>
      <c r="R466" s="2" t="s">
        <v>44</v>
      </c>
      <c r="S466" s="2" t="s">
        <v>56</v>
      </c>
      <c r="T466" s="5">
        <v>44400</v>
      </c>
      <c r="U466" s="5">
        <v>0</v>
      </c>
      <c r="V466" s="4">
        <v>44</v>
      </c>
      <c r="W466" s="4">
        <v>30</v>
      </c>
      <c r="X466" s="2" t="s">
        <v>44</v>
      </c>
      <c r="Y466" s="4">
        <v>0</v>
      </c>
      <c r="Z466" s="4">
        <v>9</v>
      </c>
      <c r="AA466" s="4">
        <v>0</v>
      </c>
      <c r="AB466" s="4">
        <v>0</v>
      </c>
      <c r="AC466" s="4">
        <v>3</v>
      </c>
      <c r="AD466" s="4">
        <v>3</v>
      </c>
      <c r="AE466" s="3" t="s">
        <v>58</v>
      </c>
      <c r="AG466">
        <f t="shared" ca="1" si="21"/>
        <v>5</v>
      </c>
      <c r="AH466" s="23" t="str" cm="1">
        <f t="array" ref="AH466">_xlfn.IFS(E466&gt;49,"50+",E466&gt;39,"40-49",E466&gt;29,"30-39",E466&gt;19,"20-29")</f>
        <v>30-39</v>
      </c>
      <c r="AI466" s="24" t="str" cm="1">
        <f t="array" aca="1" ref="AI466" ca="1">_xlfn.IFS(AG466&gt;10,"10+",AG466&gt;4,"5-10 YIL",AG466&gt;2,"3-5 YIL",AG466&gt;0.9,"1-3 YIL",AG466&lt;1,"0-1 YIL")</f>
        <v>5-10 YIL</v>
      </c>
      <c r="AJ466">
        <f t="shared" si="22"/>
        <v>2020</v>
      </c>
      <c r="AK466" t="e">
        <f t="shared" si="23"/>
        <v>#VALUE!</v>
      </c>
    </row>
    <row r="467" spans="1:37" x14ac:dyDescent="0.3">
      <c r="A467" s="6" t="s">
        <v>848</v>
      </c>
      <c r="B467" s="7" t="s">
        <v>849</v>
      </c>
      <c r="C467" s="6" t="s">
        <v>48</v>
      </c>
      <c r="D467" s="14">
        <v>36814</v>
      </c>
      <c r="E467" s="8">
        <v>26</v>
      </c>
      <c r="F467" s="6" t="s">
        <v>49</v>
      </c>
      <c r="G467" s="8">
        <v>0</v>
      </c>
      <c r="H467" s="6" t="s">
        <v>35</v>
      </c>
      <c r="I467" s="7" t="s">
        <v>36</v>
      </c>
      <c r="J467" s="7" t="s">
        <v>37</v>
      </c>
      <c r="K467" s="6" t="s">
        <v>38</v>
      </c>
      <c r="L467" s="6" t="s">
        <v>39</v>
      </c>
      <c r="M467" s="7" t="s">
        <v>40</v>
      </c>
      <c r="N467" s="6" t="s">
        <v>41</v>
      </c>
      <c r="O467" s="14">
        <v>44845</v>
      </c>
      <c r="P467" s="14">
        <v>45169</v>
      </c>
      <c r="Q467" s="7" t="s">
        <v>177</v>
      </c>
      <c r="R467" s="6">
        <v>3</v>
      </c>
      <c r="S467" s="6" t="s">
        <v>43</v>
      </c>
      <c r="T467" s="9">
        <v>27800</v>
      </c>
      <c r="U467" s="9">
        <v>0</v>
      </c>
      <c r="V467" s="8">
        <v>30</v>
      </c>
      <c r="W467" s="8">
        <v>30</v>
      </c>
      <c r="X467" s="6" t="s">
        <v>44</v>
      </c>
      <c r="Y467" s="8">
        <v>0</v>
      </c>
      <c r="Z467" s="8">
        <v>2</v>
      </c>
      <c r="AA467" s="8">
        <v>0</v>
      </c>
      <c r="AB467" s="8">
        <v>0</v>
      </c>
      <c r="AC467" s="8">
        <v>3</v>
      </c>
      <c r="AD467" s="8">
        <v>15</v>
      </c>
      <c r="AE467" s="7" t="s">
        <v>45</v>
      </c>
      <c r="AG467">
        <f t="shared" ca="1" si="21"/>
        <v>3</v>
      </c>
      <c r="AH467" s="23" t="str" cm="1">
        <f t="array" ref="AH467">_xlfn.IFS(E467&gt;49,"50+",E467&gt;39,"40-49",E467&gt;29,"30-39",E467&gt;19,"20-29")</f>
        <v>20-29</v>
      </c>
      <c r="AI467" s="24" t="str" cm="1">
        <f t="array" aca="1" ref="AI467" ca="1">_xlfn.IFS(AG467&gt;10,"10+",AG467&gt;4,"5-10 YIL",AG467&gt;2,"3-5 YIL",AG467&gt;0.9,"1-3 YIL",AG467&lt;1,"0-1 YIL")</f>
        <v>3-5 YIL</v>
      </c>
      <c r="AJ467">
        <f t="shared" si="22"/>
        <v>2022</v>
      </c>
      <c r="AK467">
        <f t="shared" si="23"/>
        <v>2023</v>
      </c>
    </row>
    <row r="468" spans="1:37" x14ac:dyDescent="0.3">
      <c r="A468" s="2" t="s">
        <v>850</v>
      </c>
      <c r="B468" s="3" t="s">
        <v>851</v>
      </c>
      <c r="C468" s="2" t="s">
        <v>33</v>
      </c>
      <c r="D468" s="13">
        <v>34745</v>
      </c>
      <c r="E468" s="4">
        <v>31</v>
      </c>
      <c r="F468" s="2" t="s">
        <v>49</v>
      </c>
      <c r="G468" s="4">
        <v>1</v>
      </c>
      <c r="H468" s="2" t="s">
        <v>35</v>
      </c>
      <c r="I468" s="3" t="s">
        <v>61</v>
      </c>
      <c r="J468" s="3" t="s">
        <v>107</v>
      </c>
      <c r="K468" s="2" t="s">
        <v>51</v>
      </c>
      <c r="L468" s="2" t="s">
        <v>63</v>
      </c>
      <c r="M468" s="3" t="s">
        <v>64</v>
      </c>
      <c r="N468" s="2" t="s">
        <v>67</v>
      </c>
      <c r="O468" s="13">
        <v>42414</v>
      </c>
      <c r="P468" s="2" t="s">
        <v>44</v>
      </c>
      <c r="Q468" s="3" t="s">
        <v>44</v>
      </c>
      <c r="R468" s="2" t="s">
        <v>44</v>
      </c>
      <c r="S468" s="2" t="s">
        <v>56</v>
      </c>
      <c r="T468" s="5">
        <v>57800</v>
      </c>
      <c r="U468" s="5">
        <v>10500</v>
      </c>
      <c r="V468" s="4">
        <v>0</v>
      </c>
      <c r="W468" s="4">
        <v>30</v>
      </c>
      <c r="X468" s="2" t="s">
        <v>44</v>
      </c>
      <c r="Y468" s="4">
        <v>0</v>
      </c>
      <c r="Z468" s="4">
        <v>11</v>
      </c>
      <c r="AA468" s="4">
        <v>0</v>
      </c>
      <c r="AB468" s="4">
        <v>0</v>
      </c>
      <c r="AC468" s="4">
        <v>3</v>
      </c>
      <c r="AD468" s="4">
        <v>19</v>
      </c>
      <c r="AE468" s="3" t="s">
        <v>58</v>
      </c>
      <c r="AG468">
        <f t="shared" ca="1" si="21"/>
        <v>10</v>
      </c>
      <c r="AH468" s="23" t="str" cm="1">
        <f t="array" ref="AH468">_xlfn.IFS(E468&gt;49,"50+",E468&gt;39,"40-49",E468&gt;29,"30-39",E468&gt;19,"20-29")</f>
        <v>30-39</v>
      </c>
      <c r="AI468" s="24" t="str" cm="1">
        <f t="array" aca="1" ref="AI468" ca="1">_xlfn.IFS(AG468&gt;10,"10+",AG468&gt;4,"5-10 YIL",AG468&gt;2,"3-5 YIL",AG468&gt;0.9,"1-3 YIL",AG468&lt;1,"0-1 YIL")</f>
        <v>5-10 YIL</v>
      </c>
      <c r="AJ468">
        <f t="shared" si="22"/>
        <v>2016</v>
      </c>
      <c r="AK468" t="e">
        <f t="shared" si="23"/>
        <v>#VALUE!</v>
      </c>
    </row>
    <row r="469" spans="1:37" x14ac:dyDescent="0.3">
      <c r="A469" s="6" t="s">
        <v>852</v>
      </c>
      <c r="B469" s="7" t="s">
        <v>853</v>
      </c>
      <c r="C469" s="6" t="s">
        <v>33</v>
      </c>
      <c r="D469" s="14">
        <v>37350</v>
      </c>
      <c r="E469" s="8">
        <v>24</v>
      </c>
      <c r="F469" s="6" t="s">
        <v>49</v>
      </c>
      <c r="G469" s="8">
        <v>0</v>
      </c>
      <c r="H469" s="6" t="s">
        <v>35</v>
      </c>
      <c r="I469" s="7" t="s">
        <v>61</v>
      </c>
      <c r="J469" s="7" t="s">
        <v>62</v>
      </c>
      <c r="K469" s="6" t="s">
        <v>38</v>
      </c>
      <c r="L469" s="6" t="s">
        <v>63</v>
      </c>
      <c r="M469" s="7" t="s">
        <v>64</v>
      </c>
      <c r="N469" s="6" t="s">
        <v>41</v>
      </c>
      <c r="O469" s="14">
        <v>44772</v>
      </c>
      <c r="P469" s="6" t="s">
        <v>44</v>
      </c>
      <c r="Q469" s="7" t="s">
        <v>44</v>
      </c>
      <c r="R469" s="6" t="s">
        <v>44</v>
      </c>
      <c r="S469" s="6" t="s">
        <v>56</v>
      </c>
      <c r="T469" s="9">
        <v>35600</v>
      </c>
      <c r="U469" s="9">
        <v>10500</v>
      </c>
      <c r="V469" s="8">
        <v>3</v>
      </c>
      <c r="W469" s="8">
        <v>29</v>
      </c>
      <c r="X469" s="6" t="s">
        <v>57</v>
      </c>
      <c r="Y469" s="8">
        <v>1</v>
      </c>
      <c r="Z469" s="8">
        <v>13</v>
      </c>
      <c r="AA469" s="8">
        <v>0</v>
      </c>
      <c r="AB469" s="8">
        <v>0</v>
      </c>
      <c r="AC469" s="8">
        <v>2</v>
      </c>
      <c r="AD469" s="8">
        <v>15</v>
      </c>
      <c r="AE469" s="7" t="s">
        <v>73</v>
      </c>
      <c r="AG469">
        <f t="shared" ca="1" si="21"/>
        <v>3</v>
      </c>
      <c r="AH469" s="23" t="str" cm="1">
        <f t="array" ref="AH469">_xlfn.IFS(E469&gt;49,"50+",E469&gt;39,"40-49",E469&gt;29,"30-39",E469&gt;19,"20-29")</f>
        <v>20-29</v>
      </c>
      <c r="AI469" s="24" t="str" cm="1">
        <f t="array" aca="1" ref="AI469" ca="1">_xlfn.IFS(AG469&gt;10,"10+",AG469&gt;4,"5-10 YIL",AG469&gt;2,"3-5 YIL",AG469&gt;0.9,"1-3 YIL",AG469&lt;1,"0-1 YIL")</f>
        <v>3-5 YIL</v>
      </c>
      <c r="AJ469">
        <f t="shared" si="22"/>
        <v>2022</v>
      </c>
      <c r="AK469" t="e">
        <f t="shared" si="23"/>
        <v>#VALUE!</v>
      </c>
    </row>
    <row r="470" spans="1:37" x14ac:dyDescent="0.3">
      <c r="A470" s="2" t="s">
        <v>854</v>
      </c>
      <c r="B470" s="3" t="s">
        <v>855</v>
      </c>
      <c r="C470" s="2" t="s">
        <v>48</v>
      </c>
      <c r="D470" s="13">
        <v>36223</v>
      </c>
      <c r="E470" s="4">
        <v>27</v>
      </c>
      <c r="F470" s="2" t="s">
        <v>49</v>
      </c>
      <c r="G470" s="4">
        <v>0</v>
      </c>
      <c r="H470" s="2" t="s">
        <v>35</v>
      </c>
      <c r="I470" s="3" t="s">
        <v>36</v>
      </c>
      <c r="J470" s="3" t="s">
        <v>37</v>
      </c>
      <c r="K470" s="2" t="s">
        <v>38</v>
      </c>
      <c r="L470" s="2" t="s">
        <v>39</v>
      </c>
      <c r="M470" s="3" t="s">
        <v>40</v>
      </c>
      <c r="N470" s="2" t="s">
        <v>41</v>
      </c>
      <c r="O470" s="13">
        <v>45847</v>
      </c>
      <c r="P470" s="2" t="s">
        <v>44</v>
      </c>
      <c r="Q470" s="3" t="s">
        <v>44</v>
      </c>
      <c r="R470" s="2" t="s">
        <v>44</v>
      </c>
      <c r="S470" s="2" t="s">
        <v>56</v>
      </c>
      <c r="T470" s="5">
        <v>27600</v>
      </c>
      <c r="U470" s="5">
        <v>0</v>
      </c>
      <c r="V470" s="4">
        <v>38</v>
      </c>
      <c r="W470" s="4">
        <v>30</v>
      </c>
      <c r="X470" s="2" t="s">
        <v>44</v>
      </c>
      <c r="Y470" s="4">
        <v>0</v>
      </c>
      <c r="Z470" s="4">
        <v>0</v>
      </c>
      <c r="AA470" s="4">
        <v>0</v>
      </c>
      <c r="AB470" s="4">
        <v>0</v>
      </c>
      <c r="AC470" s="4">
        <v>2</v>
      </c>
      <c r="AD470" s="4">
        <v>9</v>
      </c>
      <c r="AE470" s="3" t="s">
        <v>45</v>
      </c>
      <c r="AG470">
        <f t="shared" ca="1" si="21"/>
        <v>0</v>
      </c>
      <c r="AH470" s="23" t="str" cm="1">
        <f t="array" ref="AH470">_xlfn.IFS(E470&gt;49,"50+",E470&gt;39,"40-49",E470&gt;29,"30-39",E470&gt;19,"20-29")</f>
        <v>20-29</v>
      </c>
      <c r="AI470" s="24" t="str" cm="1">
        <f t="array" aca="1" ref="AI470" ca="1">_xlfn.IFS(AG470&gt;10,"10+",AG470&gt;4,"5-10 YIL",AG470&gt;2,"3-5 YIL",AG470&gt;0.9,"1-3 YIL",AG470&lt;1,"0-1 YIL")</f>
        <v>0-1 YIL</v>
      </c>
      <c r="AJ470">
        <f t="shared" si="22"/>
        <v>2025</v>
      </c>
      <c r="AK470" t="e">
        <f t="shared" si="23"/>
        <v>#VALUE!</v>
      </c>
    </row>
    <row r="471" spans="1:37" x14ac:dyDescent="0.3">
      <c r="A471" s="6" t="s">
        <v>856</v>
      </c>
      <c r="B471" s="7" t="s">
        <v>601</v>
      </c>
      <c r="C471" s="6" t="s">
        <v>33</v>
      </c>
      <c r="D471" s="14">
        <v>32389</v>
      </c>
      <c r="E471" s="8">
        <v>38</v>
      </c>
      <c r="F471" s="6" t="s">
        <v>49</v>
      </c>
      <c r="G471" s="8">
        <v>2</v>
      </c>
      <c r="H471" s="6" t="s">
        <v>35</v>
      </c>
      <c r="I471" s="7" t="s">
        <v>61</v>
      </c>
      <c r="J471" s="7" t="s">
        <v>107</v>
      </c>
      <c r="K471" s="6" t="s">
        <v>51</v>
      </c>
      <c r="L471" s="6" t="s">
        <v>63</v>
      </c>
      <c r="M471" s="7" t="s">
        <v>64</v>
      </c>
      <c r="N471" s="6" t="s">
        <v>95</v>
      </c>
      <c r="O471" s="14">
        <v>43492</v>
      </c>
      <c r="P471" s="6" t="s">
        <v>44</v>
      </c>
      <c r="Q471" s="7" t="s">
        <v>44</v>
      </c>
      <c r="R471" s="6" t="s">
        <v>44</v>
      </c>
      <c r="S471" s="6" t="s">
        <v>56</v>
      </c>
      <c r="T471" s="9">
        <v>56900</v>
      </c>
      <c r="U471" s="9">
        <v>12200</v>
      </c>
      <c r="V471" s="8">
        <v>4</v>
      </c>
      <c r="W471" s="8">
        <v>30</v>
      </c>
      <c r="X471" s="6" t="s">
        <v>44</v>
      </c>
      <c r="Y471" s="8">
        <v>0</v>
      </c>
      <c r="Z471" s="8">
        <v>5</v>
      </c>
      <c r="AA471" s="8">
        <v>0</v>
      </c>
      <c r="AB471" s="8">
        <v>0</v>
      </c>
      <c r="AC471" s="8">
        <v>3</v>
      </c>
      <c r="AD471" s="8">
        <v>14</v>
      </c>
      <c r="AE471" s="7" t="s">
        <v>73</v>
      </c>
      <c r="AG471">
        <f t="shared" ca="1" si="21"/>
        <v>7</v>
      </c>
      <c r="AH471" s="23" t="str" cm="1">
        <f t="array" ref="AH471">_xlfn.IFS(E471&gt;49,"50+",E471&gt;39,"40-49",E471&gt;29,"30-39",E471&gt;19,"20-29")</f>
        <v>30-39</v>
      </c>
      <c r="AI471" s="24" t="str" cm="1">
        <f t="array" aca="1" ref="AI471" ca="1">_xlfn.IFS(AG471&gt;10,"10+",AG471&gt;4,"5-10 YIL",AG471&gt;2,"3-5 YIL",AG471&gt;0.9,"1-3 YIL",AG471&lt;1,"0-1 YIL")</f>
        <v>5-10 YIL</v>
      </c>
      <c r="AJ471">
        <f t="shared" si="22"/>
        <v>2019</v>
      </c>
      <c r="AK471" t="e">
        <f t="shared" si="23"/>
        <v>#VALUE!</v>
      </c>
    </row>
    <row r="472" spans="1:37" x14ac:dyDescent="0.3">
      <c r="A472" s="2" t="s">
        <v>857</v>
      </c>
      <c r="B472" s="3" t="s">
        <v>199</v>
      </c>
      <c r="C472" s="2" t="s">
        <v>48</v>
      </c>
      <c r="D472" s="13">
        <v>38255</v>
      </c>
      <c r="E472" s="4">
        <v>22</v>
      </c>
      <c r="F472" s="2" t="s">
        <v>49</v>
      </c>
      <c r="G472" s="4">
        <v>2</v>
      </c>
      <c r="H472" s="2" t="s">
        <v>35</v>
      </c>
      <c r="I472" s="3" t="s">
        <v>36</v>
      </c>
      <c r="J472" s="3" t="s">
        <v>37</v>
      </c>
      <c r="K472" s="2" t="s">
        <v>38</v>
      </c>
      <c r="L472" s="2" t="s">
        <v>39</v>
      </c>
      <c r="M472" s="3" t="s">
        <v>40</v>
      </c>
      <c r="N472" s="2" t="s">
        <v>52</v>
      </c>
      <c r="O472" s="13">
        <v>44878</v>
      </c>
      <c r="P472" s="2" t="s">
        <v>44</v>
      </c>
      <c r="Q472" s="3" t="s">
        <v>44</v>
      </c>
      <c r="R472" s="2" t="s">
        <v>44</v>
      </c>
      <c r="S472" s="2" t="s">
        <v>56</v>
      </c>
      <c r="T472" s="5">
        <v>27400</v>
      </c>
      <c r="U472" s="5">
        <v>0</v>
      </c>
      <c r="V472" s="4">
        <v>24</v>
      </c>
      <c r="W472" s="4">
        <v>28</v>
      </c>
      <c r="X472" s="2" t="s">
        <v>57</v>
      </c>
      <c r="Y472" s="4">
        <v>2</v>
      </c>
      <c r="Z472" s="4">
        <v>6</v>
      </c>
      <c r="AA472" s="4">
        <v>0</v>
      </c>
      <c r="AB472" s="4">
        <v>0</v>
      </c>
      <c r="AC472" s="4">
        <v>4</v>
      </c>
      <c r="AD472" s="4">
        <v>18</v>
      </c>
      <c r="AE472" s="3" t="s">
        <v>45</v>
      </c>
      <c r="AG472">
        <f t="shared" ca="1" si="21"/>
        <v>3</v>
      </c>
      <c r="AH472" s="23" t="str" cm="1">
        <f t="array" ref="AH472">_xlfn.IFS(E472&gt;49,"50+",E472&gt;39,"40-49",E472&gt;29,"30-39",E472&gt;19,"20-29")</f>
        <v>20-29</v>
      </c>
      <c r="AI472" s="24" t="str" cm="1">
        <f t="array" aca="1" ref="AI472" ca="1">_xlfn.IFS(AG472&gt;10,"10+",AG472&gt;4,"5-10 YIL",AG472&gt;2,"3-5 YIL",AG472&gt;0.9,"1-3 YIL",AG472&lt;1,"0-1 YIL")</f>
        <v>3-5 YIL</v>
      </c>
      <c r="AJ472">
        <f t="shared" si="22"/>
        <v>2022</v>
      </c>
      <c r="AK472" t="e">
        <f t="shared" si="23"/>
        <v>#VALUE!</v>
      </c>
    </row>
    <row r="473" spans="1:37" x14ac:dyDescent="0.3">
      <c r="A473" s="6" t="s">
        <v>858</v>
      </c>
      <c r="B473" s="7" t="s">
        <v>179</v>
      </c>
      <c r="C473" s="6" t="s">
        <v>48</v>
      </c>
      <c r="D473" s="14">
        <v>26241</v>
      </c>
      <c r="E473" s="8">
        <v>55</v>
      </c>
      <c r="F473" s="6" t="s">
        <v>49</v>
      </c>
      <c r="G473" s="8">
        <v>1</v>
      </c>
      <c r="H473" s="6" t="s">
        <v>35</v>
      </c>
      <c r="I473" s="7" t="s">
        <v>36</v>
      </c>
      <c r="J473" s="7" t="s">
        <v>78</v>
      </c>
      <c r="K473" s="6" t="s">
        <v>79</v>
      </c>
      <c r="L473" s="6" t="s">
        <v>63</v>
      </c>
      <c r="M473" s="7" t="s">
        <v>80</v>
      </c>
      <c r="N473" s="6" t="s">
        <v>41</v>
      </c>
      <c r="O473" s="14">
        <v>40121</v>
      </c>
      <c r="P473" s="14">
        <v>40543</v>
      </c>
      <c r="Q473" s="7" t="s">
        <v>566</v>
      </c>
      <c r="R473" s="6">
        <v>8</v>
      </c>
      <c r="S473" s="6" t="s">
        <v>43</v>
      </c>
      <c r="T473" s="9">
        <v>103500</v>
      </c>
      <c r="U473" s="9">
        <v>0</v>
      </c>
      <c r="V473" s="8">
        <v>8</v>
      </c>
      <c r="W473" s="8">
        <v>30</v>
      </c>
      <c r="X473" s="6" t="s">
        <v>44</v>
      </c>
      <c r="Y473" s="8">
        <v>0</v>
      </c>
      <c r="Z473" s="8">
        <v>3</v>
      </c>
      <c r="AA473" s="8">
        <v>0</v>
      </c>
      <c r="AB473" s="8">
        <v>0</v>
      </c>
      <c r="AC473" s="8">
        <v>3</v>
      </c>
      <c r="AD473" s="8">
        <v>9</v>
      </c>
      <c r="AE473" s="7" t="s">
        <v>58</v>
      </c>
      <c r="AG473">
        <f t="shared" ca="1" si="21"/>
        <v>16</v>
      </c>
      <c r="AH473" s="23" t="str" cm="1">
        <f t="array" ref="AH473">_xlfn.IFS(E473&gt;49,"50+",E473&gt;39,"40-49",E473&gt;29,"30-39",E473&gt;19,"20-29")</f>
        <v>50+</v>
      </c>
      <c r="AI473" s="24" t="str" cm="1">
        <f t="array" aca="1" ref="AI473" ca="1">_xlfn.IFS(AG473&gt;10,"10+",AG473&gt;4,"5-10 YIL",AG473&gt;2,"3-5 YIL",AG473&gt;0.9,"1-3 YIL",AG473&lt;1,"0-1 YIL")</f>
        <v>10+</v>
      </c>
      <c r="AJ473">
        <f t="shared" si="22"/>
        <v>2009</v>
      </c>
      <c r="AK473">
        <f t="shared" si="23"/>
        <v>2010</v>
      </c>
    </row>
    <row r="474" spans="1:37" x14ac:dyDescent="0.3">
      <c r="A474" s="2" t="s">
        <v>859</v>
      </c>
      <c r="B474" s="3" t="s">
        <v>711</v>
      </c>
      <c r="C474" s="2" t="s">
        <v>33</v>
      </c>
      <c r="D474" s="13">
        <v>34425</v>
      </c>
      <c r="E474" s="4">
        <v>32</v>
      </c>
      <c r="F474" s="2" t="s">
        <v>49</v>
      </c>
      <c r="G474" s="4">
        <v>0</v>
      </c>
      <c r="H474" s="2" t="s">
        <v>35</v>
      </c>
      <c r="I474" s="3" t="s">
        <v>36</v>
      </c>
      <c r="J474" s="3" t="s">
        <v>50</v>
      </c>
      <c r="K474" s="2" t="s">
        <v>51</v>
      </c>
      <c r="L474" s="2" t="s">
        <v>39</v>
      </c>
      <c r="M474" s="3" t="s">
        <v>40</v>
      </c>
      <c r="N474" s="2" t="s">
        <v>41</v>
      </c>
      <c r="O474" s="13">
        <v>44014</v>
      </c>
      <c r="P474" s="2" t="s">
        <v>44</v>
      </c>
      <c r="Q474" s="3" t="s">
        <v>44</v>
      </c>
      <c r="R474" s="2" t="s">
        <v>44</v>
      </c>
      <c r="S474" s="2" t="s">
        <v>56</v>
      </c>
      <c r="T474" s="5">
        <v>45800</v>
      </c>
      <c r="U474" s="5">
        <v>0</v>
      </c>
      <c r="V474" s="4">
        <v>23</v>
      </c>
      <c r="W474" s="4">
        <v>30</v>
      </c>
      <c r="X474" s="2" t="s">
        <v>44</v>
      </c>
      <c r="Y474" s="4">
        <v>0</v>
      </c>
      <c r="Z474" s="4">
        <v>2</v>
      </c>
      <c r="AA474" s="4">
        <v>0</v>
      </c>
      <c r="AB474" s="4">
        <v>0</v>
      </c>
      <c r="AC474" s="4">
        <v>3</v>
      </c>
      <c r="AD474" s="4">
        <v>5</v>
      </c>
      <c r="AE474" s="3" t="s">
        <v>45</v>
      </c>
      <c r="AG474">
        <f t="shared" ca="1" si="21"/>
        <v>6</v>
      </c>
      <c r="AH474" s="23" t="str" cm="1">
        <f t="array" ref="AH474">_xlfn.IFS(E474&gt;49,"50+",E474&gt;39,"40-49",E474&gt;29,"30-39",E474&gt;19,"20-29")</f>
        <v>30-39</v>
      </c>
      <c r="AI474" s="24" t="str" cm="1">
        <f t="array" aca="1" ref="AI474" ca="1">_xlfn.IFS(AG474&gt;10,"10+",AG474&gt;4,"5-10 YIL",AG474&gt;2,"3-5 YIL",AG474&gt;0.9,"1-3 YIL",AG474&lt;1,"0-1 YIL")</f>
        <v>5-10 YIL</v>
      </c>
      <c r="AJ474">
        <f t="shared" si="22"/>
        <v>2020</v>
      </c>
      <c r="AK474" t="e">
        <f t="shared" si="23"/>
        <v>#VALUE!</v>
      </c>
    </row>
    <row r="475" spans="1:37" x14ac:dyDescent="0.3">
      <c r="A475" s="6" t="s">
        <v>860</v>
      </c>
      <c r="B475" s="7" t="s">
        <v>363</v>
      </c>
      <c r="C475" s="6" t="s">
        <v>33</v>
      </c>
      <c r="D475" s="14">
        <v>37898</v>
      </c>
      <c r="E475" s="8">
        <v>23</v>
      </c>
      <c r="F475" s="6" t="s">
        <v>49</v>
      </c>
      <c r="G475" s="8">
        <v>0</v>
      </c>
      <c r="H475" s="6" t="s">
        <v>35</v>
      </c>
      <c r="I475" s="7" t="s">
        <v>61</v>
      </c>
      <c r="J475" s="7" t="s">
        <v>62</v>
      </c>
      <c r="K475" s="6" t="s">
        <v>38</v>
      </c>
      <c r="L475" s="6" t="s">
        <v>63</v>
      </c>
      <c r="M475" s="7" t="s">
        <v>64</v>
      </c>
      <c r="N475" s="6" t="s">
        <v>89</v>
      </c>
      <c r="O475" s="14">
        <v>45000</v>
      </c>
      <c r="P475" s="6" t="s">
        <v>44</v>
      </c>
      <c r="Q475" s="7" t="s">
        <v>44</v>
      </c>
      <c r="R475" s="6" t="s">
        <v>44</v>
      </c>
      <c r="S475" s="6" t="s">
        <v>56</v>
      </c>
      <c r="T475" s="9">
        <v>35200</v>
      </c>
      <c r="U475" s="9">
        <v>0</v>
      </c>
      <c r="V475" s="8">
        <v>2</v>
      </c>
      <c r="W475" s="8">
        <v>25</v>
      </c>
      <c r="X475" s="6" t="s">
        <v>57</v>
      </c>
      <c r="Y475" s="8">
        <v>5</v>
      </c>
      <c r="Z475" s="8">
        <v>9</v>
      </c>
      <c r="AA475" s="8">
        <v>0</v>
      </c>
      <c r="AB475" s="8">
        <v>0</v>
      </c>
      <c r="AC475" s="8">
        <v>3</v>
      </c>
      <c r="AD475" s="8">
        <v>17</v>
      </c>
      <c r="AE475" s="7" t="s">
        <v>58</v>
      </c>
      <c r="AG475">
        <f t="shared" ca="1" si="21"/>
        <v>3</v>
      </c>
      <c r="AH475" s="23" t="str" cm="1">
        <f t="array" ref="AH475">_xlfn.IFS(E475&gt;49,"50+",E475&gt;39,"40-49",E475&gt;29,"30-39",E475&gt;19,"20-29")</f>
        <v>20-29</v>
      </c>
      <c r="AI475" s="24" t="str" cm="1">
        <f t="array" aca="1" ref="AI475" ca="1">_xlfn.IFS(AG475&gt;10,"10+",AG475&gt;4,"5-10 YIL",AG475&gt;2,"3-5 YIL",AG475&gt;0.9,"1-3 YIL",AG475&lt;1,"0-1 YIL")</f>
        <v>3-5 YIL</v>
      </c>
      <c r="AJ475">
        <f t="shared" si="22"/>
        <v>2023</v>
      </c>
      <c r="AK475" t="e">
        <f t="shared" si="23"/>
        <v>#VALUE!</v>
      </c>
    </row>
    <row r="476" spans="1:37" x14ac:dyDescent="0.3">
      <c r="A476" s="2" t="s">
        <v>861</v>
      </c>
      <c r="B476" s="3" t="s">
        <v>489</v>
      </c>
      <c r="C476" s="2" t="s">
        <v>33</v>
      </c>
      <c r="D476" s="13">
        <v>35695</v>
      </c>
      <c r="E476" s="4">
        <v>29</v>
      </c>
      <c r="F476" s="2" t="s">
        <v>34</v>
      </c>
      <c r="G476" s="4">
        <v>0</v>
      </c>
      <c r="H476" s="2" t="s">
        <v>35</v>
      </c>
      <c r="I476" s="3" t="s">
        <v>139</v>
      </c>
      <c r="J476" s="3" t="s">
        <v>235</v>
      </c>
      <c r="K476" s="2" t="s">
        <v>38</v>
      </c>
      <c r="L476" s="2" t="s">
        <v>63</v>
      </c>
      <c r="M476" s="3" t="s">
        <v>162</v>
      </c>
      <c r="N476" s="2" t="s">
        <v>89</v>
      </c>
      <c r="O476" s="13">
        <v>45124</v>
      </c>
      <c r="P476" s="2" t="s">
        <v>44</v>
      </c>
      <c r="Q476" s="3" t="s">
        <v>44</v>
      </c>
      <c r="R476" s="2" t="s">
        <v>44</v>
      </c>
      <c r="S476" s="2" t="s">
        <v>56</v>
      </c>
      <c r="T476" s="5">
        <v>50500</v>
      </c>
      <c r="U476" s="5">
        <v>0</v>
      </c>
      <c r="V476" s="4">
        <v>4</v>
      </c>
      <c r="W476" s="4">
        <v>29</v>
      </c>
      <c r="X476" s="2" t="s">
        <v>57</v>
      </c>
      <c r="Y476" s="4">
        <v>1</v>
      </c>
      <c r="Z476" s="4">
        <v>4</v>
      </c>
      <c r="AA476" s="4">
        <v>0</v>
      </c>
      <c r="AB476" s="4">
        <v>0</v>
      </c>
      <c r="AC476" s="4">
        <v>4</v>
      </c>
      <c r="AD476" s="4">
        <v>34</v>
      </c>
      <c r="AE476" s="3" t="s">
        <v>58</v>
      </c>
      <c r="AG476">
        <f t="shared" ca="1" si="21"/>
        <v>2</v>
      </c>
      <c r="AH476" s="23" t="str" cm="1">
        <f t="array" ref="AH476">_xlfn.IFS(E476&gt;49,"50+",E476&gt;39,"40-49",E476&gt;29,"30-39",E476&gt;19,"20-29")</f>
        <v>20-29</v>
      </c>
      <c r="AI476" s="24" t="str" cm="1">
        <f t="array" aca="1" ref="AI476" ca="1">_xlfn.IFS(AG476&gt;10,"10+",AG476&gt;4,"5-10 YIL",AG476&gt;2,"3-5 YIL",AG476&gt;0.9,"1-3 YIL",AG476&lt;1,"0-1 YIL")</f>
        <v>1-3 YIL</v>
      </c>
      <c r="AJ476">
        <f t="shared" si="22"/>
        <v>2023</v>
      </c>
      <c r="AK476" t="e">
        <f t="shared" si="23"/>
        <v>#VALUE!</v>
      </c>
    </row>
    <row r="477" spans="1:37" x14ac:dyDescent="0.3">
      <c r="A477" s="6" t="s">
        <v>862</v>
      </c>
      <c r="B477" s="7" t="s">
        <v>300</v>
      </c>
      <c r="C477" s="6" t="s">
        <v>48</v>
      </c>
      <c r="D477" s="14">
        <v>31272</v>
      </c>
      <c r="E477" s="8">
        <v>41</v>
      </c>
      <c r="F477" s="6" t="s">
        <v>34</v>
      </c>
      <c r="G477" s="8">
        <v>0</v>
      </c>
      <c r="H477" s="6" t="s">
        <v>88</v>
      </c>
      <c r="I477" s="7" t="s">
        <v>148</v>
      </c>
      <c r="J477" s="7" t="s">
        <v>149</v>
      </c>
      <c r="K477" s="6" t="s">
        <v>51</v>
      </c>
      <c r="L477" s="6" t="s">
        <v>63</v>
      </c>
      <c r="M477" s="7" t="s">
        <v>150</v>
      </c>
      <c r="N477" s="6" t="s">
        <v>67</v>
      </c>
      <c r="O477" s="14">
        <v>44594</v>
      </c>
      <c r="P477" s="6" t="s">
        <v>44</v>
      </c>
      <c r="Q477" s="7" t="s">
        <v>44</v>
      </c>
      <c r="R477" s="6" t="s">
        <v>44</v>
      </c>
      <c r="S477" s="6" t="s">
        <v>56</v>
      </c>
      <c r="T477" s="9">
        <v>58200</v>
      </c>
      <c r="U477" s="9">
        <v>5900</v>
      </c>
      <c r="V477" s="8">
        <v>3</v>
      </c>
      <c r="W477" s="8">
        <v>25</v>
      </c>
      <c r="X477" s="6" t="s">
        <v>57</v>
      </c>
      <c r="Y477" s="8">
        <v>5</v>
      </c>
      <c r="Z477" s="8">
        <v>4</v>
      </c>
      <c r="AA477" s="8">
        <v>0</v>
      </c>
      <c r="AB477" s="8">
        <v>0</v>
      </c>
      <c r="AC477" s="8">
        <v>3</v>
      </c>
      <c r="AD477" s="8">
        <v>9</v>
      </c>
      <c r="AE477" s="7" t="s">
        <v>45</v>
      </c>
      <c r="AG477">
        <f t="shared" ca="1" si="21"/>
        <v>4</v>
      </c>
      <c r="AH477" s="23" t="str" cm="1">
        <f t="array" ref="AH477">_xlfn.IFS(E477&gt;49,"50+",E477&gt;39,"40-49",E477&gt;29,"30-39",E477&gt;19,"20-29")</f>
        <v>40-49</v>
      </c>
      <c r="AI477" s="24" t="str" cm="1">
        <f t="array" aca="1" ref="AI477" ca="1">_xlfn.IFS(AG477&gt;10,"10+",AG477&gt;4,"5-10 YIL",AG477&gt;2,"3-5 YIL",AG477&gt;0.9,"1-3 YIL",AG477&lt;1,"0-1 YIL")</f>
        <v>3-5 YIL</v>
      </c>
      <c r="AJ477">
        <f t="shared" si="22"/>
        <v>2022</v>
      </c>
      <c r="AK477" t="e">
        <f t="shared" si="23"/>
        <v>#VALUE!</v>
      </c>
    </row>
    <row r="478" spans="1:37" x14ac:dyDescent="0.3">
      <c r="A478" s="2" t="s">
        <v>863</v>
      </c>
      <c r="B478" s="3" t="s">
        <v>864</v>
      </c>
      <c r="C478" s="2" t="s">
        <v>33</v>
      </c>
      <c r="D478" s="13">
        <v>37196</v>
      </c>
      <c r="E478" s="4">
        <v>25</v>
      </c>
      <c r="F478" s="2" t="s">
        <v>49</v>
      </c>
      <c r="G478" s="4">
        <v>2</v>
      </c>
      <c r="H478" s="2" t="s">
        <v>35</v>
      </c>
      <c r="I478" s="3" t="s">
        <v>36</v>
      </c>
      <c r="J478" s="3" t="s">
        <v>37</v>
      </c>
      <c r="K478" s="2" t="s">
        <v>38</v>
      </c>
      <c r="L478" s="2" t="s">
        <v>39</v>
      </c>
      <c r="M478" s="3" t="s">
        <v>40</v>
      </c>
      <c r="N478" s="2" t="s">
        <v>41</v>
      </c>
      <c r="O478" s="13">
        <v>45465</v>
      </c>
      <c r="P478" s="2" t="s">
        <v>44</v>
      </c>
      <c r="Q478" s="3" t="s">
        <v>44</v>
      </c>
      <c r="R478" s="2" t="s">
        <v>44</v>
      </c>
      <c r="S478" s="2" t="s">
        <v>56</v>
      </c>
      <c r="T478" s="5">
        <v>25900</v>
      </c>
      <c r="U478" s="5">
        <v>0</v>
      </c>
      <c r="V478" s="4">
        <v>43</v>
      </c>
      <c r="W478" s="4">
        <v>29</v>
      </c>
      <c r="X478" s="2" t="s">
        <v>81</v>
      </c>
      <c r="Y478" s="4">
        <v>0</v>
      </c>
      <c r="Z478" s="4">
        <v>7</v>
      </c>
      <c r="AA478" s="4">
        <v>1</v>
      </c>
      <c r="AB478" s="4">
        <v>0</v>
      </c>
      <c r="AC478" s="4">
        <v>3</v>
      </c>
      <c r="AD478" s="4">
        <v>8</v>
      </c>
      <c r="AE478" s="3" t="s">
        <v>45</v>
      </c>
      <c r="AG478">
        <f t="shared" ca="1" si="21"/>
        <v>2</v>
      </c>
      <c r="AH478" s="23" t="str" cm="1">
        <f t="array" ref="AH478">_xlfn.IFS(E478&gt;49,"50+",E478&gt;39,"40-49",E478&gt;29,"30-39",E478&gt;19,"20-29")</f>
        <v>20-29</v>
      </c>
      <c r="AI478" s="24" t="str" cm="1">
        <f t="array" aca="1" ref="AI478" ca="1">_xlfn.IFS(AG478&gt;10,"10+",AG478&gt;4,"5-10 YIL",AG478&gt;2,"3-5 YIL",AG478&gt;0.9,"1-3 YIL",AG478&lt;1,"0-1 YIL")</f>
        <v>1-3 YIL</v>
      </c>
      <c r="AJ478">
        <f t="shared" si="22"/>
        <v>2024</v>
      </c>
      <c r="AK478" t="e">
        <f t="shared" si="23"/>
        <v>#VALUE!</v>
      </c>
    </row>
    <row r="479" spans="1:37" x14ac:dyDescent="0.3">
      <c r="A479" s="6" t="s">
        <v>865</v>
      </c>
      <c r="B479" s="7" t="s">
        <v>126</v>
      </c>
      <c r="C479" s="6" t="s">
        <v>33</v>
      </c>
      <c r="D479" s="14">
        <v>32972</v>
      </c>
      <c r="E479" s="8">
        <v>36</v>
      </c>
      <c r="F479" s="6" t="s">
        <v>49</v>
      </c>
      <c r="G479" s="8">
        <v>2</v>
      </c>
      <c r="H479" s="6" t="s">
        <v>35</v>
      </c>
      <c r="I479" s="7" t="s">
        <v>139</v>
      </c>
      <c r="J479" s="7" t="s">
        <v>161</v>
      </c>
      <c r="K479" s="6" t="s">
        <v>51</v>
      </c>
      <c r="L479" s="6" t="s">
        <v>63</v>
      </c>
      <c r="M479" s="7" t="s">
        <v>162</v>
      </c>
      <c r="N479" s="6" t="s">
        <v>95</v>
      </c>
      <c r="O479" s="14">
        <v>41982</v>
      </c>
      <c r="P479" s="6" t="s">
        <v>44</v>
      </c>
      <c r="Q479" s="7" t="s">
        <v>44</v>
      </c>
      <c r="R479" s="6" t="s">
        <v>44</v>
      </c>
      <c r="S479" s="6" t="s">
        <v>56</v>
      </c>
      <c r="T479" s="9">
        <v>77400</v>
      </c>
      <c r="U479" s="9">
        <v>0</v>
      </c>
      <c r="V479" s="8">
        <v>2</v>
      </c>
      <c r="W479" s="8">
        <v>28</v>
      </c>
      <c r="X479" s="6" t="s">
        <v>57</v>
      </c>
      <c r="Y479" s="8">
        <v>2</v>
      </c>
      <c r="Z479" s="8">
        <v>13</v>
      </c>
      <c r="AA479" s="8">
        <v>0</v>
      </c>
      <c r="AB479" s="8">
        <v>0</v>
      </c>
      <c r="AC479" s="8">
        <v>1</v>
      </c>
      <c r="AD479" s="8">
        <v>18</v>
      </c>
      <c r="AE479" s="7" t="s">
        <v>45</v>
      </c>
      <c r="AG479">
        <f t="shared" ca="1" si="21"/>
        <v>11</v>
      </c>
      <c r="AH479" s="23" t="str" cm="1">
        <f t="array" ref="AH479">_xlfn.IFS(E479&gt;49,"50+",E479&gt;39,"40-49",E479&gt;29,"30-39",E479&gt;19,"20-29")</f>
        <v>30-39</v>
      </c>
      <c r="AI479" s="24" t="str" cm="1">
        <f t="array" aca="1" ref="AI479" ca="1">_xlfn.IFS(AG479&gt;10,"10+",AG479&gt;4,"5-10 YIL",AG479&gt;2,"3-5 YIL",AG479&gt;0.9,"1-3 YIL",AG479&lt;1,"0-1 YIL")</f>
        <v>10+</v>
      </c>
      <c r="AJ479">
        <f t="shared" si="22"/>
        <v>2014</v>
      </c>
      <c r="AK479" t="e">
        <f t="shared" si="23"/>
        <v>#VALUE!</v>
      </c>
    </row>
    <row r="480" spans="1:37" x14ac:dyDescent="0.3">
      <c r="A480" s="2" t="s">
        <v>866</v>
      </c>
      <c r="B480" s="3" t="s">
        <v>335</v>
      </c>
      <c r="C480" s="2" t="s">
        <v>48</v>
      </c>
      <c r="D480" s="13">
        <v>31420</v>
      </c>
      <c r="E480" s="4">
        <v>40</v>
      </c>
      <c r="F480" s="2" t="s">
        <v>49</v>
      </c>
      <c r="G480" s="4">
        <v>0</v>
      </c>
      <c r="H480" s="2" t="s">
        <v>85</v>
      </c>
      <c r="I480" s="3" t="s">
        <v>70</v>
      </c>
      <c r="J480" s="3" t="s">
        <v>71</v>
      </c>
      <c r="K480" s="2" t="s">
        <v>51</v>
      </c>
      <c r="L480" s="2" t="s">
        <v>63</v>
      </c>
      <c r="M480" s="3" t="s">
        <v>72</v>
      </c>
      <c r="N480" s="2" t="s">
        <v>41</v>
      </c>
      <c r="O480" s="13">
        <v>43265</v>
      </c>
      <c r="P480" s="2" t="s">
        <v>44</v>
      </c>
      <c r="Q480" s="3" t="s">
        <v>44</v>
      </c>
      <c r="R480" s="2" t="s">
        <v>44</v>
      </c>
      <c r="S480" s="2" t="s">
        <v>56</v>
      </c>
      <c r="T480" s="5">
        <v>61300</v>
      </c>
      <c r="U480" s="5">
        <v>0</v>
      </c>
      <c r="V480" s="4">
        <v>0</v>
      </c>
      <c r="W480" s="4">
        <v>28</v>
      </c>
      <c r="X480" s="2" t="s">
        <v>57</v>
      </c>
      <c r="Y480" s="4">
        <v>2</v>
      </c>
      <c r="Z480" s="4">
        <v>11</v>
      </c>
      <c r="AA480" s="4">
        <v>0</v>
      </c>
      <c r="AB480" s="4">
        <v>0</v>
      </c>
      <c r="AC480" s="4">
        <v>3</v>
      </c>
      <c r="AD480" s="4">
        <v>8</v>
      </c>
      <c r="AE480" s="3" t="s">
        <v>45</v>
      </c>
      <c r="AG480">
        <f t="shared" ca="1" si="21"/>
        <v>8</v>
      </c>
      <c r="AH480" s="23" t="str" cm="1">
        <f t="array" ref="AH480">_xlfn.IFS(E480&gt;49,"50+",E480&gt;39,"40-49",E480&gt;29,"30-39",E480&gt;19,"20-29")</f>
        <v>40-49</v>
      </c>
      <c r="AI480" s="24" t="str" cm="1">
        <f t="array" aca="1" ref="AI480" ca="1">_xlfn.IFS(AG480&gt;10,"10+",AG480&gt;4,"5-10 YIL",AG480&gt;2,"3-5 YIL",AG480&gt;0.9,"1-3 YIL",AG480&lt;1,"0-1 YIL")</f>
        <v>5-10 YIL</v>
      </c>
      <c r="AJ480">
        <f t="shared" si="22"/>
        <v>2018</v>
      </c>
      <c r="AK480" t="e">
        <f t="shared" si="23"/>
        <v>#VALUE!</v>
      </c>
    </row>
    <row r="481" spans="1:37" x14ac:dyDescent="0.3">
      <c r="A481" s="6" t="s">
        <v>867</v>
      </c>
      <c r="B481" s="7" t="s">
        <v>489</v>
      </c>
      <c r="C481" s="6" t="s">
        <v>33</v>
      </c>
      <c r="D481" s="14">
        <v>26531</v>
      </c>
      <c r="E481" s="8">
        <v>54</v>
      </c>
      <c r="F481" s="6" t="s">
        <v>49</v>
      </c>
      <c r="G481" s="8">
        <v>1</v>
      </c>
      <c r="H481" s="6" t="s">
        <v>35</v>
      </c>
      <c r="I481" s="7" t="s">
        <v>61</v>
      </c>
      <c r="J481" s="7" t="s">
        <v>124</v>
      </c>
      <c r="K481" s="6" t="s">
        <v>79</v>
      </c>
      <c r="L481" s="6" t="s">
        <v>63</v>
      </c>
      <c r="M481" s="7" t="s">
        <v>80</v>
      </c>
      <c r="N481" s="6" t="s">
        <v>89</v>
      </c>
      <c r="O481" s="14">
        <v>39630</v>
      </c>
      <c r="P481" s="6" t="s">
        <v>44</v>
      </c>
      <c r="Q481" s="7" t="s">
        <v>44</v>
      </c>
      <c r="R481" s="6" t="s">
        <v>44</v>
      </c>
      <c r="S481" s="6" t="s">
        <v>56</v>
      </c>
      <c r="T481" s="9">
        <v>102600</v>
      </c>
      <c r="U481" s="9">
        <v>33700</v>
      </c>
      <c r="V481" s="8">
        <v>0</v>
      </c>
      <c r="W481" s="8">
        <v>30</v>
      </c>
      <c r="X481" s="6" t="s">
        <v>44</v>
      </c>
      <c r="Y481" s="8">
        <v>0</v>
      </c>
      <c r="Z481" s="8">
        <v>14</v>
      </c>
      <c r="AA481" s="8">
        <v>0</v>
      </c>
      <c r="AB481" s="8">
        <v>0</v>
      </c>
      <c r="AC481" s="8">
        <v>3</v>
      </c>
      <c r="AD481" s="8">
        <v>11</v>
      </c>
      <c r="AE481" s="7" t="s">
        <v>45</v>
      </c>
      <c r="AG481">
        <f t="shared" ca="1" si="21"/>
        <v>18</v>
      </c>
      <c r="AH481" s="23" t="str" cm="1">
        <f t="array" ref="AH481">_xlfn.IFS(E481&gt;49,"50+",E481&gt;39,"40-49",E481&gt;29,"30-39",E481&gt;19,"20-29")</f>
        <v>50+</v>
      </c>
      <c r="AI481" s="24" t="str" cm="1">
        <f t="array" aca="1" ref="AI481" ca="1">_xlfn.IFS(AG481&gt;10,"10+",AG481&gt;4,"5-10 YIL",AG481&gt;2,"3-5 YIL",AG481&gt;0.9,"1-3 YIL",AG481&lt;1,"0-1 YIL")</f>
        <v>10+</v>
      </c>
      <c r="AJ481">
        <f t="shared" si="22"/>
        <v>2008</v>
      </c>
      <c r="AK481" t="e">
        <f t="shared" si="23"/>
        <v>#VALUE!</v>
      </c>
    </row>
    <row r="482" spans="1:37" x14ac:dyDescent="0.3">
      <c r="A482" s="2" t="s">
        <v>868</v>
      </c>
      <c r="B482" s="3" t="s">
        <v>368</v>
      </c>
      <c r="C482" s="2" t="s">
        <v>33</v>
      </c>
      <c r="D482" s="13">
        <v>36215</v>
      </c>
      <c r="E482" s="4">
        <v>27</v>
      </c>
      <c r="F482" s="2" t="s">
        <v>34</v>
      </c>
      <c r="G482" s="4">
        <v>0</v>
      </c>
      <c r="H482" s="2" t="s">
        <v>35</v>
      </c>
      <c r="I482" s="3" t="s">
        <v>36</v>
      </c>
      <c r="J482" s="3" t="s">
        <v>37</v>
      </c>
      <c r="K482" s="2" t="s">
        <v>38</v>
      </c>
      <c r="L482" s="2" t="s">
        <v>39</v>
      </c>
      <c r="M482" s="3" t="s">
        <v>40</v>
      </c>
      <c r="N482" s="2" t="s">
        <v>41</v>
      </c>
      <c r="O482" s="13">
        <v>45781</v>
      </c>
      <c r="P482" s="2" t="s">
        <v>44</v>
      </c>
      <c r="Q482" s="3" t="s">
        <v>44</v>
      </c>
      <c r="R482" s="2" t="s">
        <v>44</v>
      </c>
      <c r="S482" s="2" t="s">
        <v>56</v>
      </c>
      <c r="T482" s="5">
        <v>27300</v>
      </c>
      <c r="U482" s="5">
        <v>0</v>
      </c>
      <c r="V482" s="4">
        <v>11</v>
      </c>
      <c r="W482" s="4">
        <v>29</v>
      </c>
      <c r="X482" s="2" t="s">
        <v>57</v>
      </c>
      <c r="Y482" s="4">
        <v>1</v>
      </c>
      <c r="Z482" s="4">
        <v>10</v>
      </c>
      <c r="AA482" s="4">
        <v>0</v>
      </c>
      <c r="AB482" s="4">
        <v>0</v>
      </c>
      <c r="AC482" s="4">
        <v>4</v>
      </c>
      <c r="AD482" s="4">
        <v>26</v>
      </c>
      <c r="AE482" s="3" t="s">
        <v>45</v>
      </c>
      <c r="AG482">
        <f t="shared" ca="1" si="21"/>
        <v>1</v>
      </c>
      <c r="AH482" s="23" t="str" cm="1">
        <f t="array" ref="AH482">_xlfn.IFS(E482&gt;49,"50+",E482&gt;39,"40-49",E482&gt;29,"30-39",E482&gt;19,"20-29")</f>
        <v>20-29</v>
      </c>
      <c r="AI482" s="24" t="str" cm="1">
        <f t="array" aca="1" ref="AI482" ca="1">_xlfn.IFS(AG482&gt;10,"10+",AG482&gt;4,"5-10 YIL",AG482&gt;2,"3-5 YIL",AG482&gt;0.9,"1-3 YIL",AG482&lt;1,"0-1 YIL")</f>
        <v>1-3 YIL</v>
      </c>
      <c r="AJ482">
        <f t="shared" si="22"/>
        <v>2025</v>
      </c>
      <c r="AK482" t="e">
        <f t="shared" si="23"/>
        <v>#VALUE!</v>
      </c>
    </row>
    <row r="483" spans="1:37" x14ac:dyDescent="0.3">
      <c r="A483" s="6" t="s">
        <v>869</v>
      </c>
      <c r="B483" s="7" t="s">
        <v>55</v>
      </c>
      <c r="C483" s="6" t="s">
        <v>48</v>
      </c>
      <c r="D483" s="14">
        <v>37089</v>
      </c>
      <c r="E483" s="8">
        <v>25</v>
      </c>
      <c r="F483" s="6" t="s">
        <v>49</v>
      </c>
      <c r="G483" s="8">
        <v>2</v>
      </c>
      <c r="H483" s="6" t="s">
        <v>85</v>
      </c>
      <c r="I483" s="7" t="s">
        <v>36</v>
      </c>
      <c r="J483" s="7" t="s">
        <v>37</v>
      </c>
      <c r="K483" s="6" t="s">
        <v>38</v>
      </c>
      <c r="L483" s="6" t="s">
        <v>39</v>
      </c>
      <c r="M483" s="7" t="s">
        <v>40</v>
      </c>
      <c r="N483" s="6" t="s">
        <v>67</v>
      </c>
      <c r="O483" s="14">
        <v>45662</v>
      </c>
      <c r="P483" s="6" t="s">
        <v>44</v>
      </c>
      <c r="Q483" s="7" t="s">
        <v>44</v>
      </c>
      <c r="R483" s="6" t="s">
        <v>44</v>
      </c>
      <c r="S483" s="6" t="s">
        <v>56</v>
      </c>
      <c r="T483" s="9">
        <v>24800</v>
      </c>
      <c r="U483" s="9">
        <v>0</v>
      </c>
      <c r="V483" s="8">
        <v>44</v>
      </c>
      <c r="W483" s="8">
        <v>30</v>
      </c>
      <c r="X483" s="6" t="s">
        <v>44</v>
      </c>
      <c r="Y483" s="8">
        <v>0</v>
      </c>
      <c r="Z483" s="8">
        <v>12</v>
      </c>
      <c r="AA483" s="8">
        <v>0</v>
      </c>
      <c r="AB483" s="8">
        <v>0</v>
      </c>
      <c r="AC483" s="8">
        <v>4</v>
      </c>
      <c r="AD483" s="8">
        <v>25</v>
      </c>
      <c r="AE483" s="7" t="s">
        <v>73</v>
      </c>
      <c r="AG483">
        <f t="shared" ca="1" si="21"/>
        <v>1</v>
      </c>
      <c r="AH483" s="23" t="str" cm="1">
        <f t="array" ref="AH483">_xlfn.IFS(E483&gt;49,"50+",E483&gt;39,"40-49",E483&gt;29,"30-39",E483&gt;19,"20-29")</f>
        <v>20-29</v>
      </c>
      <c r="AI483" s="24" t="str" cm="1">
        <f t="array" aca="1" ref="AI483" ca="1">_xlfn.IFS(AG483&gt;10,"10+",AG483&gt;4,"5-10 YIL",AG483&gt;2,"3-5 YIL",AG483&gt;0.9,"1-3 YIL",AG483&lt;1,"0-1 YIL")</f>
        <v>1-3 YIL</v>
      </c>
      <c r="AJ483">
        <f t="shared" si="22"/>
        <v>2025</v>
      </c>
      <c r="AK483" t="e">
        <f t="shared" si="23"/>
        <v>#VALUE!</v>
      </c>
    </row>
    <row r="484" spans="1:37" x14ac:dyDescent="0.3">
      <c r="A484" s="2" t="s">
        <v>870</v>
      </c>
      <c r="B484" s="3" t="s">
        <v>871</v>
      </c>
      <c r="C484" s="2" t="s">
        <v>48</v>
      </c>
      <c r="D484" s="13">
        <v>36044</v>
      </c>
      <c r="E484" s="4">
        <v>28</v>
      </c>
      <c r="F484" s="2" t="s">
        <v>49</v>
      </c>
      <c r="G484" s="4">
        <v>1</v>
      </c>
      <c r="H484" s="2" t="s">
        <v>35</v>
      </c>
      <c r="I484" s="3" t="s">
        <v>36</v>
      </c>
      <c r="J484" s="3" t="s">
        <v>37</v>
      </c>
      <c r="K484" s="2" t="s">
        <v>38</v>
      </c>
      <c r="L484" s="2" t="s">
        <v>39</v>
      </c>
      <c r="M484" s="3" t="s">
        <v>40</v>
      </c>
      <c r="N484" s="2" t="s">
        <v>41</v>
      </c>
      <c r="O484" s="13">
        <v>45472</v>
      </c>
      <c r="P484" s="2" t="s">
        <v>44</v>
      </c>
      <c r="Q484" s="3" t="s">
        <v>44</v>
      </c>
      <c r="R484" s="2" t="s">
        <v>44</v>
      </c>
      <c r="S484" s="2" t="s">
        <v>56</v>
      </c>
      <c r="T484" s="5">
        <v>24000</v>
      </c>
      <c r="U484" s="5">
        <v>0</v>
      </c>
      <c r="V484" s="4">
        <v>20</v>
      </c>
      <c r="W484" s="4">
        <v>29</v>
      </c>
      <c r="X484" s="2" t="s">
        <v>57</v>
      </c>
      <c r="Y484" s="4">
        <v>1</v>
      </c>
      <c r="Z484" s="4">
        <v>13</v>
      </c>
      <c r="AA484" s="4">
        <v>0</v>
      </c>
      <c r="AB484" s="4">
        <v>0</v>
      </c>
      <c r="AC484" s="4">
        <v>3</v>
      </c>
      <c r="AD484" s="4">
        <v>12</v>
      </c>
      <c r="AE484" s="3" t="s">
        <v>58</v>
      </c>
      <c r="AG484">
        <f t="shared" ca="1" si="21"/>
        <v>2</v>
      </c>
      <c r="AH484" s="23" t="str" cm="1">
        <f t="array" ref="AH484">_xlfn.IFS(E484&gt;49,"50+",E484&gt;39,"40-49",E484&gt;29,"30-39",E484&gt;19,"20-29")</f>
        <v>20-29</v>
      </c>
      <c r="AI484" s="24" t="str" cm="1">
        <f t="array" aca="1" ref="AI484" ca="1">_xlfn.IFS(AG484&gt;10,"10+",AG484&gt;4,"5-10 YIL",AG484&gt;2,"3-5 YIL",AG484&gt;0.9,"1-3 YIL",AG484&lt;1,"0-1 YIL")</f>
        <v>1-3 YIL</v>
      </c>
      <c r="AJ484">
        <f t="shared" si="22"/>
        <v>2024</v>
      </c>
      <c r="AK484" t="e">
        <f t="shared" si="23"/>
        <v>#VALUE!</v>
      </c>
    </row>
    <row r="485" spans="1:37" x14ac:dyDescent="0.3">
      <c r="A485" s="6" t="s">
        <v>872</v>
      </c>
      <c r="B485" s="7" t="s">
        <v>116</v>
      </c>
      <c r="C485" s="6" t="s">
        <v>48</v>
      </c>
      <c r="D485" s="14">
        <v>35623</v>
      </c>
      <c r="E485" s="8">
        <v>29</v>
      </c>
      <c r="F485" s="6" t="s">
        <v>34</v>
      </c>
      <c r="G485" s="8">
        <v>0</v>
      </c>
      <c r="H485" s="6" t="s">
        <v>35</v>
      </c>
      <c r="I485" s="7" t="s">
        <v>70</v>
      </c>
      <c r="J485" s="7" t="s">
        <v>71</v>
      </c>
      <c r="K485" s="6" t="s">
        <v>51</v>
      </c>
      <c r="L485" s="6" t="s">
        <v>63</v>
      </c>
      <c r="M485" s="7" t="s">
        <v>72</v>
      </c>
      <c r="N485" s="6" t="s">
        <v>95</v>
      </c>
      <c r="O485" s="14">
        <v>41938</v>
      </c>
      <c r="P485" s="6" t="s">
        <v>44</v>
      </c>
      <c r="Q485" s="7" t="s">
        <v>44</v>
      </c>
      <c r="R485" s="6" t="s">
        <v>44</v>
      </c>
      <c r="S485" s="6" t="s">
        <v>56</v>
      </c>
      <c r="T485" s="9">
        <v>58200</v>
      </c>
      <c r="U485" s="9">
        <v>5800</v>
      </c>
      <c r="V485" s="8">
        <v>1</v>
      </c>
      <c r="W485" s="8">
        <v>28</v>
      </c>
      <c r="X485" s="6" t="s">
        <v>57</v>
      </c>
      <c r="Y485" s="8">
        <v>2</v>
      </c>
      <c r="Z485" s="8">
        <v>11</v>
      </c>
      <c r="AA485" s="8">
        <v>0</v>
      </c>
      <c r="AB485" s="8">
        <v>0</v>
      </c>
      <c r="AC485" s="8">
        <v>3</v>
      </c>
      <c r="AD485" s="8">
        <v>6</v>
      </c>
      <c r="AE485" s="7" t="s">
        <v>45</v>
      </c>
      <c r="AG485">
        <f t="shared" ca="1" si="21"/>
        <v>11</v>
      </c>
      <c r="AH485" s="23" t="str" cm="1">
        <f t="array" ref="AH485">_xlfn.IFS(E485&gt;49,"50+",E485&gt;39,"40-49",E485&gt;29,"30-39",E485&gt;19,"20-29")</f>
        <v>20-29</v>
      </c>
      <c r="AI485" s="24" t="str" cm="1">
        <f t="array" aca="1" ref="AI485" ca="1">_xlfn.IFS(AG485&gt;10,"10+",AG485&gt;4,"5-10 YIL",AG485&gt;2,"3-5 YIL",AG485&gt;0.9,"1-3 YIL",AG485&lt;1,"0-1 YIL")</f>
        <v>10+</v>
      </c>
      <c r="AJ485">
        <f t="shared" si="22"/>
        <v>2014</v>
      </c>
      <c r="AK485" t="e">
        <f t="shared" si="23"/>
        <v>#VALUE!</v>
      </c>
    </row>
    <row r="486" spans="1:37" x14ac:dyDescent="0.3">
      <c r="A486" s="2" t="s">
        <v>873</v>
      </c>
      <c r="B486" s="3" t="s">
        <v>457</v>
      </c>
      <c r="C486" s="2" t="s">
        <v>48</v>
      </c>
      <c r="D486" s="13">
        <v>31113</v>
      </c>
      <c r="E486" s="4">
        <v>41</v>
      </c>
      <c r="F486" s="2" t="s">
        <v>34</v>
      </c>
      <c r="G486" s="4">
        <v>0</v>
      </c>
      <c r="H486" s="2" t="s">
        <v>88</v>
      </c>
      <c r="I486" s="3" t="s">
        <v>36</v>
      </c>
      <c r="J486" s="3" t="s">
        <v>50</v>
      </c>
      <c r="K486" s="2" t="s">
        <v>51</v>
      </c>
      <c r="L486" s="2" t="s">
        <v>39</v>
      </c>
      <c r="M486" s="3" t="s">
        <v>40</v>
      </c>
      <c r="N486" s="2" t="s">
        <v>41</v>
      </c>
      <c r="O486" s="13">
        <v>42302</v>
      </c>
      <c r="P486" s="2" t="s">
        <v>44</v>
      </c>
      <c r="Q486" s="3" t="s">
        <v>44</v>
      </c>
      <c r="R486" s="2" t="s">
        <v>44</v>
      </c>
      <c r="S486" s="2" t="s">
        <v>56</v>
      </c>
      <c r="T486" s="5">
        <v>45100</v>
      </c>
      <c r="U486" s="5">
        <v>0</v>
      </c>
      <c r="V486" s="4">
        <v>22</v>
      </c>
      <c r="W486" s="4">
        <v>30</v>
      </c>
      <c r="X486" s="2" t="s">
        <v>44</v>
      </c>
      <c r="Y486" s="4">
        <v>0</v>
      </c>
      <c r="Z486" s="4">
        <v>4</v>
      </c>
      <c r="AA486" s="4">
        <v>0</v>
      </c>
      <c r="AB486" s="4">
        <v>0</v>
      </c>
      <c r="AC486" s="4">
        <v>2</v>
      </c>
      <c r="AD486" s="4">
        <v>14</v>
      </c>
      <c r="AE486" s="3" t="s">
        <v>45</v>
      </c>
      <c r="AG486">
        <f t="shared" ca="1" si="21"/>
        <v>10</v>
      </c>
      <c r="AH486" s="23" t="str" cm="1">
        <f t="array" ref="AH486">_xlfn.IFS(E486&gt;49,"50+",E486&gt;39,"40-49",E486&gt;29,"30-39",E486&gt;19,"20-29")</f>
        <v>40-49</v>
      </c>
      <c r="AI486" s="24" t="str" cm="1">
        <f t="array" aca="1" ref="AI486" ca="1">_xlfn.IFS(AG486&gt;10,"10+",AG486&gt;4,"5-10 YIL",AG486&gt;2,"3-5 YIL",AG486&gt;0.9,"1-3 YIL",AG486&lt;1,"0-1 YIL")</f>
        <v>5-10 YIL</v>
      </c>
      <c r="AJ486">
        <f t="shared" si="22"/>
        <v>2015</v>
      </c>
      <c r="AK486" t="e">
        <f t="shared" si="23"/>
        <v>#VALUE!</v>
      </c>
    </row>
    <row r="487" spans="1:37" x14ac:dyDescent="0.3">
      <c r="A487" s="6" t="s">
        <v>874</v>
      </c>
      <c r="B487" s="7" t="s">
        <v>270</v>
      </c>
      <c r="C487" s="6" t="s">
        <v>48</v>
      </c>
      <c r="D487" s="14">
        <v>30419</v>
      </c>
      <c r="E487" s="8">
        <v>43</v>
      </c>
      <c r="F487" s="6" t="s">
        <v>49</v>
      </c>
      <c r="G487" s="8">
        <v>2</v>
      </c>
      <c r="H487" s="6" t="s">
        <v>88</v>
      </c>
      <c r="I487" s="7" t="s">
        <v>61</v>
      </c>
      <c r="J487" s="7" t="s">
        <v>107</v>
      </c>
      <c r="K487" s="6" t="s">
        <v>51</v>
      </c>
      <c r="L487" s="6" t="s">
        <v>63</v>
      </c>
      <c r="M487" s="7" t="s">
        <v>64</v>
      </c>
      <c r="N487" s="6" t="s">
        <v>67</v>
      </c>
      <c r="O487" s="14">
        <v>43232</v>
      </c>
      <c r="P487" s="6" t="s">
        <v>44</v>
      </c>
      <c r="Q487" s="7" t="s">
        <v>44</v>
      </c>
      <c r="R487" s="6" t="s">
        <v>44</v>
      </c>
      <c r="S487" s="6" t="s">
        <v>56</v>
      </c>
      <c r="T487" s="9">
        <v>62100</v>
      </c>
      <c r="U487" s="9">
        <v>20700</v>
      </c>
      <c r="V487" s="8">
        <v>5</v>
      </c>
      <c r="W487" s="8">
        <v>30</v>
      </c>
      <c r="X487" s="6" t="s">
        <v>44</v>
      </c>
      <c r="Y487" s="8">
        <v>0</v>
      </c>
      <c r="Z487" s="8">
        <v>2</v>
      </c>
      <c r="AA487" s="8">
        <v>0</v>
      </c>
      <c r="AB487" s="8">
        <v>0</v>
      </c>
      <c r="AC487" s="8">
        <v>3</v>
      </c>
      <c r="AD487" s="8">
        <v>5</v>
      </c>
      <c r="AE487" s="7" t="s">
        <v>58</v>
      </c>
      <c r="AG487">
        <f t="shared" ca="1" si="21"/>
        <v>8</v>
      </c>
      <c r="AH487" s="23" t="str" cm="1">
        <f t="array" ref="AH487">_xlfn.IFS(E487&gt;49,"50+",E487&gt;39,"40-49",E487&gt;29,"30-39",E487&gt;19,"20-29")</f>
        <v>40-49</v>
      </c>
      <c r="AI487" s="24" t="str" cm="1">
        <f t="array" aca="1" ref="AI487" ca="1">_xlfn.IFS(AG487&gt;10,"10+",AG487&gt;4,"5-10 YIL",AG487&gt;2,"3-5 YIL",AG487&gt;0.9,"1-3 YIL",AG487&lt;1,"0-1 YIL")</f>
        <v>5-10 YIL</v>
      </c>
      <c r="AJ487">
        <f t="shared" si="22"/>
        <v>2018</v>
      </c>
      <c r="AK487" t="e">
        <f t="shared" si="23"/>
        <v>#VALUE!</v>
      </c>
    </row>
    <row r="488" spans="1:37" x14ac:dyDescent="0.3">
      <c r="A488" s="2" t="s">
        <v>875</v>
      </c>
      <c r="B488" s="3" t="s">
        <v>406</v>
      </c>
      <c r="C488" s="2" t="s">
        <v>48</v>
      </c>
      <c r="D488" s="13">
        <v>31065</v>
      </c>
      <c r="E488" s="4">
        <v>41</v>
      </c>
      <c r="F488" s="2" t="s">
        <v>34</v>
      </c>
      <c r="G488" s="4">
        <v>0</v>
      </c>
      <c r="H488" s="2" t="s">
        <v>88</v>
      </c>
      <c r="I488" s="3" t="s">
        <v>61</v>
      </c>
      <c r="J488" s="3" t="s">
        <v>107</v>
      </c>
      <c r="K488" s="2" t="s">
        <v>51</v>
      </c>
      <c r="L488" s="2" t="s">
        <v>63</v>
      </c>
      <c r="M488" s="3" t="s">
        <v>64</v>
      </c>
      <c r="N488" s="2" t="s">
        <v>41</v>
      </c>
      <c r="O488" s="13">
        <v>42976</v>
      </c>
      <c r="P488" s="2" t="s">
        <v>44</v>
      </c>
      <c r="Q488" s="3" t="s">
        <v>44</v>
      </c>
      <c r="R488" s="2" t="s">
        <v>44</v>
      </c>
      <c r="S488" s="2" t="s">
        <v>56</v>
      </c>
      <c r="T488" s="5">
        <v>54700</v>
      </c>
      <c r="U488" s="5">
        <v>0</v>
      </c>
      <c r="V488" s="4">
        <v>3</v>
      </c>
      <c r="W488" s="4">
        <v>29</v>
      </c>
      <c r="X488" s="2" t="s">
        <v>81</v>
      </c>
      <c r="Y488" s="4">
        <v>0</v>
      </c>
      <c r="Z488" s="4">
        <v>3</v>
      </c>
      <c r="AA488" s="4">
        <v>1</v>
      </c>
      <c r="AB488" s="4">
        <v>0</v>
      </c>
      <c r="AC488" s="4">
        <v>3</v>
      </c>
      <c r="AD488" s="4">
        <v>11</v>
      </c>
      <c r="AE488" s="3" t="s">
        <v>45</v>
      </c>
      <c r="AG488">
        <f t="shared" ca="1" si="21"/>
        <v>8</v>
      </c>
      <c r="AH488" s="23" t="str" cm="1">
        <f t="array" ref="AH488">_xlfn.IFS(E488&gt;49,"50+",E488&gt;39,"40-49",E488&gt;29,"30-39",E488&gt;19,"20-29")</f>
        <v>40-49</v>
      </c>
      <c r="AI488" s="24" t="str" cm="1">
        <f t="array" aca="1" ref="AI488" ca="1">_xlfn.IFS(AG488&gt;10,"10+",AG488&gt;4,"5-10 YIL",AG488&gt;2,"3-5 YIL",AG488&gt;0.9,"1-3 YIL",AG488&lt;1,"0-1 YIL")</f>
        <v>5-10 YIL</v>
      </c>
      <c r="AJ488">
        <f t="shared" si="22"/>
        <v>2017</v>
      </c>
      <c r="AK488" t="e">
        <f t="shared" si="23"/>
        <v>#VALUE!</v>
      </c>
    </row>
    <row r="489" spans="1:37" x14ac:dyDescent="0.3">
      <c r="A489" s="6" t="s">
        <v>876</v>
      </c>
      <c r="B489" s="7" t="s">
        <v>877</v>
      </c>
      <c r="C489" s="6" t="s">
        <v>33</v>
      </c>
      <c r="D489" s="14">
        <v>35985</v>
      </c>
      <c r="E489" s="8">
        <v>28</v>
      </c>
      <c r="F489" s="6" t="s">
        <v>49</v>
      </c>
      <c r="G489" s="8">
        <v>1</v>
      </c>
      <c r="H489" s="6" t="s">
        <v>35</v>
      </c>
      <c r="I489" s="7" t="s">
        <v>36</v>
      </c>
      <c r="J489" s="7" t="s">
        <v>37</v>
      </c>
      <c r="K489" s="6" t="s">
        <v>38</v>
      </c>
      <c r="L489" s="6" t="s">
        <v>39</v>
      </c>
      <c r="M489" s="7" t="s">
        <v>40</v>
      </c>
      <c r="N489" s="6" t="s">
        <v>41</v>
      </c>
      <c r="O489" s="14">
        <v>44916</v>
      </c>
      <c r="P489" s="6" t="s">
        <v>44</v>
      </c>
      <c r="Q489" s="7" t="s">
        <v>44</v>
      </c>
      <c r="R489" s="6" t="s">
        <v>44</v>
      </c>
      <c r="S489" s="6" t="s">
        <v>56</v>
      </c>
      <c r="T489" s="9">
        <v>24600</v>
      </c>
      <c r="U489" s="9">
        <v>0</v>
      </c>
      <c r="V489" s="8">
        <v>26</v>
      </c>
      <c r="W489" s="8">
        <v>30</v>
      </c>
      <c r="X489" s="6" t="s">
        <v>44</v>
      </c>
      <c r="Y489" s="8">
        <v>0</v>
      </c>
      <c r="Z489" s="8">
        <v>14</v>
      </c>
      <c r="AA489" s="8">
        <v>0</v>
      </c>
      <c r="AB489" s="8">
        <v>0</v>
      </c>
      <c r="AC489" s="8">
        <v>2</v>
      </c>
      <c r="AD489" s="8">
        <v>8</v>
      </c>
      <c r="AE489" s="7" t="s">
        <v>58</v>
      </c>
      <c r="AG489">
        <f t="shared" ca="1" si="21"/>
        <v>3</v>
      </c>
      <c r="AH489" s="23" t="str" cm="1">
        <f t="array" ref="AH489">_xlfn.IFS(E489&gt;49,"50+",E489&gt;39,"40-49",E489&gt;29,"30-39",E489&gt;19,"20-29")</f>
        <v>20-29</v>
      </c>
      <c r="AI489" s="24" t="str" cm="1">
        <f t="array" aca="1" ref="AI489" ca="1">_xlfn.IFS(AG489&gt;10,"10+",AG489&gt;4,"5-10 YIL",AG489&gt;2,"3-5 YIL",AG489&gt;0.9,"1-3 YIL",AG489&lt;1,"0-1 YIL")</f>
        <v>3-5 YIL</v>
      </c>
      <c r="AJ489">
        <f t="shared" si="22"/>
        <v>2022</v>
      </c>
      <c r="AK489" t="e">
        <f t="shared" si="23"/>
        <v>#VALUE!</v>
      </c>
    </row>
    <row r="490" spans="1:37" x14ac:dyDescent="0.3">
      <c r="A490" s="2" t="s">
        <v>878</v>
      </c>
      <c r="B490" s="3" t="s">
        <v>394</v>
      </c>
      <c r="C490" s="2" t="s">
        <v>48</v>
      </c>
      <c r="D490" s="13">
        <v>30726</v>
      </c>
      <c r="E490" s="4">
        <v>42</v>
      </c>
      <c r="F490" s="2" t="s">
        <v>34</v>
      </c>
      <c r="G490" s="4">
        <v>0</v>
      </c>
      <c r="H490" s="2" t="s">
        <v>88</v>
      </c>
      <c r="I490" s="3" t="s">
        <v>70</v>
      </c>
      <c r="J490" s="3" t="s">
        <v>71</v>
      </c>
      <c r="K490" s="2" t="s">
        <v>51</v>
      </c>
      <c r="L490" s="2" t="s">
        <v>63</v>
      </c>
      <c r="M490" s="3" t="s">
        <v>72</v>
      </c>
      <c r="N490" s="2" t="s">
        <v>41</v>
      </c>
      <c r="O490" s="13">
        <v>42466</v>
      </c>
      <c r="P490" s="2" t="s">
        <v>44</v>
      </c>
      <c r="Q490" s="3" t="s">
        <v>44</v>
      </c>
      <c r="R490" s="2" t="s">
        <v>44</v>
      </c>
      <c r="S490" s="2" t="s">
        <v>56</v>
      </c>
      <c r="T490" s="5">
        <v>63000</v>
      </c>
      <c r="U490" s="5">
        <v>0</v>
      </c>
      <c r="V490" s="4">
        <v>8</v>
      </c>
      <c r="W490" s="4">
        <v>30</v>
      </c>
      <c r="X490" s="2" t="s">
        <v>44</v>
      </c>
      <c r="Y490" s="4">
        <v>0</v>
      </c>
      <c r="Z490" s="4">
        <v>11</v>
      </c>
      <c r="AA490" s="4">
        <v>0</v>
      </c>
      <c r="AB490" s="4">
        <v>0</v>
      </c>
      <c r="AC490" s="4">
        <v>1</v>
      </c>
      <c r="AD490" s="4">
        <v>15</v>
      </c>
      <c r="AE490" s="3" t="s">
        <v>58</v>
      </c>
      <c r="AG490">
        <f t="shared" ca="1" si="21"/>
        <v>10</v>
      </c>
      <c r="AH490" s="23" t="str" cm="1">
        <f t="array" ref="AH490">_xlfn.IFS(E490&gt;49,"50+",E490&gt;39,"40-49",E490&gt;29,"30-39",E490&gt;19,"20-29")</f>
        <v>40-49</v>
      </c>
      <c r="AI490" s="24" t="str" cm="1">
        <f t="array" aca="1" ref="AI490" ca="1">_xlfn.IFS(AG490&gt;10,"10+",AG490&gt;4,"5-10 YIL",AG490&gt;2,"3-5 YIL",AG490&gt;0.9,"1-3 YIL",AG490&lt;1,"0-1 YIL")</f>
        <v>5-10 YIL</v>
      </c>
      <c r="AJ490">
        <f t="shared" si="22"/>
        <v>2016</v>
      </c>
      <c r="AK490" t="e">
        <f t="shared" si="23"/>
        <v>#VALUE!</v>
      </c>
    </row>
    <row r="491" spans="1:37" x14ac:dyDescent="0.3">
      <c r="A491" s="6" t="s">
        <v>879</v>
      </c>
      <c r="B491" s="7" t="s">
        <v>880</v>
      </c>
      <c r="C491" s="6" t="s">
        <v>48</v>
      </c>
      <c r="D491" s="14">
        <v>28993</v>
      </c>
      <c r="E491" s="8">
        <v>47</v>
      </c>
      <c r="F491" s="6" t="s">
        <v>49</v>
      </c>
      <c r="G491" s="8">
        <v>3</v>
      </c>
      <c r="H491" s="6" t="s">
        <v>35</v>
      </c>
      <c r="I491" s="7" t="s">
        <v>61</v>
      </c>
      <c r="J491" s="7" t="s">
        <v>107</v>
      </c>
      <c r="K491" s="6" t="s">
        <v>51</v>
      </c>
      <c r="L491" s="6" t="s">
        <v>63</v>
      </c>
      <c r="M491" s="7" t="s">
        <v>64</v>
      </c>
      <c r="N491" s="6" t="s">
        <v>67</v>
      </c>
      <c r="O491" s="14">
        <v>43688</v>
      </c>
      <c r="P491" s="6" t="s">
        <v>44</v>
      </c>
      <c r="Q491" s="7" t="s">
        <v>44</v>
      </c>
      <c r="R491" s="6" t="s">
        <v>44</v>
      </c>
      <c r="S491" s="6" t="s">
        <v>56</v>
      </c>
      <c r="T491" s="9">
        <v>55300</v>
      </c>
      <c r="U491" s="9">
        <v>6300</v>
      </c>
      <c r="V491" s="8">
        <v>4</v>
      </c>
      <c r="W491" s="8">
        <v>30</v>
      </c>
      <c r="X491" s="6" t="s">
        <v>44</v>
      </c>
      <c r="Y491" s="8">
        <v>0</v>
      </c>
      <c r="Z491" s="8">
        <v>2</v>
      </c>
      <c r="AA491" s="8">
        <v>0</v>
      </c>
      <c r="AB491" s="8">
        <v>0</v>
      </c>
      <c r="AC491" s="8">
        <v>4</v>
      </c>
      <c r="AD491" s="8">
        <v>36</v>
      </c>
      <c r="AE491" s="7" t="s">
        <v>58</v>
      </c>
      <c r="AG491">
        <f t="shared" ca="1" si="21"/>
        <v>6</v>
      </c>
      <c r="AH491" s="23" t="str" cm="1">
        <f t="array" ref="AH491">_xlfn.IFS(E491&gt;49,"50+",E491&gt;39,"40-49",E491&gt;29,"30-39",E491&gt;19,"20-29")</f>
        <v>40-49</v>
      </c>
      <c r="AI491" s="24" t="str" cm="1">
        <f t="array" aca="1" ref="AI491" ca="1">_xlfn.IFS(AG491&gt;10,"10+",AG491&gt;4,"5-10 YIL",AG491&gt;2,"3-5 YIL",AG491&gt;0.9,"1-3 YIL",AG491&lt;1,"0-1 YIL")</f>
        <v>5-10 YIL</v>
      </c>
      <c r="AJ491">
        <f t="shared" si="22"/>
        <v>2019</v>
      </c>
      <c r="AK491" t="e">
        <f t="shared" si="23"/>
        <v>#VALUE!</v>
      </c>
    </row>
    <row r="492" spans="1:37" x14ac:dyDescent="0.3">
      <c r="A492" s="2" t="s">
        <v>881</v>
      </c>
      <c r="B492" s="3" t="s">
        <v>441</v>
      </c>
      <c r="C492" s="2" t="s">
        <v>48</v>
      </c>
      <c r="D492" s="13">
        <v>35675</v>
      </c>
      <c r="E492" s="4">
        <v>29</v>
      </c>
      <c r="F492" s="2" t="s">
        <v>49</v>
      </c>
      <c r="G492" s="4">
        <v>1</v>
      </c>
      <c r="H492" s="2" t="s">
        <v>88</v>
      </c>
      <c r="I492" s="3" t="s">
        <v>36</v>
      </c>
      <c r="J492" s="3" t="s">
        <v>37</v>
      </c>
      <c r="K492" s="2" t="s">
        <v>38</v>
      </c>
      <c r="L492" s="2" t="s">
        <v>39</v>
      </c>
      <c r="M492" s="3" t="s">
        <v>40</v>
      </c>
      <c r="N492" s="2" t="s">
        <v>67</v>
      </c>
      <c r="O492" s="13">
        <v>45553</v>
      </c>
      <c r="P492" s="2" t="s">
        <v>44</v>
      </c>
      <c r="Q492" s="3" t="s">
        <v>44</v>
      </c>
      <c r="R492" s="2" t="s">
        <v>44</v>
      </c>
      <c r="S492" s="2" t="s">
        <v>56</v>
      </c>
      <c r="T492" s="5">
        <v>26300</v>
      </c>
      <c r="U492" s="5">
        <v>0</v>
      </c>
      <c r="V492" s="4">
        <v>15</v>
      </c>
      <c r="W492" s="4">
        <v>30</v>
      </c>
      <c r="X492" s="2" t="s">
        <v>44</v>
      </c>
      <c r="Y492" s="4">
        <v>0</v>
      </c>
      <c r="Z492" s="4">
        <v>14</v>
      </c>
      <c r="AA492" s="4">
        <v>0</v>
      </c>
      <c r="AB492" s="4">
        <v>0</v>
      </c>
      <c r="AC492" s="4">
        <v>3</v>
      </c>
      <c r="AD492" s="4">
        <v>9</v>
      </c>
      <c r="AE492" s="3" t="s">
        <v>58</v>
      </c>
      <c r="AG492">
        <f t="shared" ca="1" si="21"/>
        <v>1</v>
      </c>
      <c r="AH492" s="23" t="str" cm="1">
        <f t="array" ref="AH492">_xlfn.IFS(E492&gt;49,"50+",E492&gt;39,"40-49",E492&gt;29,"30-39",E492&gt;19,"20-29")</f>
        <v>20-29</v>
      </c>
      <c r="AI492" s="24" t="str" cm="1">
        <f t="array" aca="1" ref="AI492" ca="1">_xlfn.IFS(AG492&gt;10,"10+",AG492&gt;4,"5-10 YIL",AG492&gt;2,"3-5 YIL",AG492&gt;0.9,"1-3 YIL",AG492&lt;1,"0-1 YIL")</f>
        <v>1-3 YIL</v>
      </c>
      <c r="AJ492">
        <f t="shared" si="22"/>
        <v>2024</v>
      </c>
      <c r="AK492" t="e">
        <f t="shared" si="23"/>
        <v>#VALUE!</v>
      </c>
    </row>
    <row r="493" spans="1:37" x14ac:dyDescent="0.3">
      <c r="A493" s="6" t="s">
        <v>882</v>
      </c>
      <c r="B493" s="7" t="s">
        <v>346</v>
      </c>
      <c r="C493" s="6" t="s">
        <v>48</v>
      </c>
      <c r="D493" s="14">
        <v>30368</v>
      </c>
      <c r="E493" s="8">
        <v>43</v>
      </c>
      <c r="F493" s="6" t="s">
        <v>49</v>
      </c>
      <c r="G493" s="8">
        <v>1</v>
      </c>
      <c r="H493" s="6" t="s">
        <v>35</v>
      </c>
      <c r="I493" s="7" t="s">
        <v>148</v>
      </c>
      <c r="J493" s="7" t="s">
        <v>197</v>
      </c>
      <c r="K493" s="6" t="s">
        <v>79</v>
      </c>
      <c r="L493" s="6" t="s">
        <v>63</v>
      </c>
      <c r="M493" s="7" t="s">
        <v>80</v>
      </c>
      <c r="N493" s="6" t="s">
        <v>41</v>
      </c>
      <c r="O493" s="14">
        <v>39900</v>
      </c>
      <c r="P493" s="6" t="s">
        <v>44</v>
      </c>
      <c r="Q493" s="7" t="s">
        <v>44</v>
      </c>
      <c r="R493" s="6" t="s">
        <v>44</v>
      </c>
      <c r="S493" s="6" t="s">
        <v>56</v>
      </c>
      <c r="T493" s="9">
        <v>112800</v>
      </c>
      <c r="U493" s="9">
        <v>8200</v>
      </c>
      <c r="V493" s="8">
        <v>4</v>
      </c>
      <c r="W493" s="8">
        <v>20</v>
      </c>
      <c r="X493" s="6" t="s">
        <v>57</v>
      </c>
      <c r="Y493" s="8">
        <v>10</v>
      </c>
      <c r="Z493" s="8">
        <v>6</v>
      </c>
      <c r="AA493" s="8">
        <v>0</v>
      </c>
      <c r="AB493" s="8">
        <v>0</v>
      </c>
      <c r="AC493" s="8">
        <v>3</v>
      </c>
      <c r="AD493" s="8">
        <v>12</v>
      </c>
      <c r="AE493" s="7" t="s">
        <v>45</v>
      </c>
      <c r="AG493">
        <f t="shared" ca="1" si="21"/>
        <v>17</v>
      </c>
      <c r="AH493" s="23" t="str" cm="1">
        <f t="array" ref="AH493">_xlfn.IFS(E493&gt;49,"50+",E493&gt;39,"40-49",E493&gt;29,"30-39",E493&gt;19,"20-29")</f>
        <v>40-49</v>
      </c>
      <c r="AI493" s="24" t="str" cm="1">
        <f t="array" aca="1" ref="AI493" ca="1">_xlfn.IFS(AG493&gt;10,"10+",AG493&gt;4,"5-10 YIL",AG493&gt;2,"3-5 YIL",AG493&gt;0.9,"1-3 YIL",AG493&lt;1,"0-1 YIL")</f>
        <v>10+</v>
      </c>
      <c r="AJ493">
        <f t="shared" si="22"/>
        <v>2009</v>
      </c>
      <c r="AK493" t="e">
        <f t="shared" si="23"/>
        <v>#VALUE!</v>
      </c>
    </row>
    <row r="494" spans="1:37" x14ac:dyDescent="0.3">
      <c r="A494" s="2" t="s">
        <v>883</v>
      </c>
      <c r="B494" s="3" t="s">
        <v>884</v>
      </c>
      <c r="C494" s="2" t="s">
        <v>33</v>
      </c>
      <c r="D494" s="13">
        <v>28861</v>
      </c>
      <c r="E494" s="4">
        <v>47</v>
      </c>
      <c r="F494" s="2" t="s">
        <v>34</v>
      </c>
      <c r="G494" s="4">
        <v>0</v>
      </c>
      <c r="H494" s="2" t="s">
        <v>35</v>
      </c>
      <c r="I494" s="3" t="s">
        <v>61</v>
      </c>
      <c r="J494" s="3" t="s">
        <v>107</v>
      </c>
      <c r="K494" s="2" t="s">
        <v>51</v>
      </c>
      <c r="L494" s="2" t="s">
        <v>63</v>
      </c>
      <c r="M494" s="3" t="s">
        <v>64</v>
      </c>
      <c r="N494" s="2" t="s">
        <v>67</v>
      </c>
      <c r="O494" s="13">
        <v>42584</v>
      </c>
      <c r="P494" s="2" t="s">
        <v>44</v>
      </c>
      <c r="Q494" s="3" t="s">
        <v>44</v>
      </c>
      <c r="R494" s="2" t="s">
        <v>44</v>
      </c>
      <c r="S494" s="2" t="s">
        <v>56</v>
      </c>
      <c r="T494" s="5">
        <v>58500</v>
      </c>
      <c r="U494" s="5">
        <v>19100</v>
      </c>
      <c r="V494" s="4">
        <v>5</v>
      </c>
      <c r="W494" s="4">
        <v>30</v>
      </c>
      <c r="X494" s="2" t="s">
        <v>44</v>
      </c>
      <c r="Y494" s="4">
        <v>0</v>
      </c>
      <c r="Z494" s="4">
        <v>12</v>
      </c>
      <c r="AA494" s="4">
        <v>0</v>
      </c>
      <c r="AB494" s="4">
        <v>0</v>
      </c>
      <c r="AC494" s="4">
        <v>2</v>
      </c>
      <c r="AD494" s="4">
        <v>11</v>
      </c>
      <c r="AE494" s="3" t="s">
        <v>58</v>
      </c>
      <c r="AG494">
        <f t="shared" ca="1" si="21"/>
        <v>9</v>
      </c>
      <c r="AH494" s="23" t="str" cm="1">
        <f t="array" ref="AH494">_xlfn.IFS(E494&gt;49,"50+",E494&gt;39,"40-49",E494&gt;29,"30-39",E494&gt;19,"20-29")</f>
        <v>40-49</v>
      </c>
      <c r="AI494" s="24" t="str" cm="1">
        <f t="array" aca="1" ref="AI494" ca="1">_xlfn.IFS(AG494&gt;10,"10+",AG494&gt;4,"5-10 YIL",AG494&gt;2,"3-5 YIL",AG494&gt;0.9,"1-3 YIL",AG494&lt;1,"0-1 YIL")</f>
        <v>5-10 YIL</v>
      </c>
      <c r="AJ494">
        <f t="shared" si="22"/>
        <v>2016</v>
      </c>
      <c r="AK494" t="e">
        <f t="shared" si="23"/>
        <v>#VALUE!</v>
      </c>
    </row>
    <row r="495" spans="1:37" x14ac:dyDescent="0.3">
      <c r="A495" s="6" t="s">
        <v>885</v>
      </c>
      <c r="B495" s="7" t="s">
        <v>706</v>
      </c>
      <c r="C495" s="6" t="s">
        <v>48</v>
      </c>
      <c r="D495" s="14">
        <v>37019</v>
      </c>
      <c r="E495" s="8">
        <v>25</v>
      </c>
      <c r="F495" s="6" t="s">
        <v>49</v>
      </c>
      <c r="G495" s="8">
        <v>1</v>
      </c>
      <c r="H495" s="6" t="s">
        <v>35</v>
      </c>
      <c r="I495" s="7" t="s">
        <v>36</v>
      </c>
      <c r="J495" s="7" t="s">
        <v>37</v>
      </c>
      <c r="K495" s="6" t="s">
        <v>38</v>
      </c>
      <c r="L495" s="6" t="s">
        <v>39</v>
      </c>
      <c r="M495" s="7" t="s">
        <v>40</v>
      </c>
      <c r="N495" s="6" t="s">
        <v>95</v>
      </c>
      <c r="O495" s="14">
        <v>45891</v>
      </c>
      <c r="P495" s="6" t="s">
        <v>44</v>
      </c>
      <c r="Q495" s="7" t="s">
        <v>44</v>
      </c>
      <c r="R495" s="6" t="s">
        <v>44</v>
      </c>
      <c r="S495" s="6" t="s">
        <v>56</v>
      </c>
      <c r="T495" s="9">
        <v>28600</v>
      </c>
      <c r="U495" s="9">
        <v>0</v>
      </c>
      <c r="V495" s="8">
        <v>28</v>
      </c>
      <c r="W495" s="8">
        <v>30</v>
      </c>
      <c r="X495" s="6" t="s">
        <v>44</v>
      </c>
      <c r="Y495" s="8">
        <v>0</v>
      </c>
      <c r="Z495" s="8">
        <v>0</v>
      </c>
      <c r="AA495" s="8">
        <v>0</v>
      </c>
      <c r="AB495" s="8">
        <v>0</v>
      </c>
      <c r="AC495" s="8">
        <v>3</v>
      </c>
      <c r="AD495" s="8">
        <v>11</v>
      </c>
      <c r="AE495" s="7" t="s">
        <v>45</v>
      </c>
      <c r="AG495">
        <f t="shared" ca="1" si="21"/>
        <v>0</v>
      </c>
      <c r="AH495" s="23" t="str" cm="1">
        <f t="array" ref="AH495">_xlfn.IFS(E495&gt;49,"50+",E495&gt;39,"40-49",E495&gt;29,"30-39",E495&gt;19,"20-29")</f>
        <v>20-29</v>
      </c>
      <c r="AI495" s="24" t="str" cm="1">
        <f t="array" aca="1" ref="AI495" ca="1">_xlfn.IFS(AG495&gt;10,"10+",AG495&gt;4,"5-10 YIL",AG495&gt;2,"3-5 YIL",AG495&gt;0.9,"1-3 YIL",AG495&lt;1,"0-1 YIL")</f>
        <v>0-1 YIL</v>
      </c>
      <c r="AJ495">
        <f t="shared" si="22"/>
        <v>2025</v>
      </c>
      <c r="AK495" t="e">
        <f t="shared" si="23"/>
        <v>#VALUE!</v>
      </c>
    </row>
    <row r="496" spans="1:37" x14ac:dyDescent="0.3">
      <c r="A496" s="2" t="s">
        <v>886</v>
      </c>
      <c r="B496" s="3" t="s">
        <v>315</v>
      </c>
      <c r="C496" s="2" t="s">
        <v>48</v>
      </c>
      <c r="D496" s="13">
        <v>37645</v>
      </c>
      <c r="E496" s="4">
        <v>23</v>
      </c>
      <c r="F496" s="2" t="s">
        <v>49</v>
      </c>
      <c r="G496" s="4">
        <v>3</v>
      </c>
      <c r="H496" s="2" t="s">
        <v>35</v>
      </c>
      <c r="I496" s="3" t="s">
        <v>70</v>
      </c>
      <c r="J496" s="3" t="s">
        <v>92</v>
      </c>
      <c r="K496" s="2" t="s">
        <v>38</v>
      </c>
      <c r="L496" s="2" t="s">
        <v>63</v>
      </c>
      <c r="M496" s="3" t="s">
        <v>72</v>
      </c>
      <c r="N496" s="2" t="s">
        <v>95</v>
      </c>
      <c r="O496" s="13">
        <v>45929</v>
      </c>
      <c r="P496" s="2" t="s">
        <v>44</v>
      </c>
      <c r="Q496" s="3" t="s">
        <v>44</v>
      </c>
      <c r="R496" s="2" t="s">
        <v>44</v>
      </c>
      <c r="S496" s="2" t="s">
        <v>56</v>
      </c>
      <c r="T496" s="5">
        <v>37900</v>
      </c>
      <c r="U496" s="5">
        <v>2800</v>
      </c>
      <c r="V496" s="4">
        <v>6</v>
      </c>
      <c r="W496" s="4">
        <v>30</v>
      </c>
      <c r="X496" s="2" t="s">
        <v>44</v>
      </c>
      <c r="Y496" s="4">
        <v>0</v>
      </c>
      <c r="Z496" s="4">
        <v>0</v>
      </c>
      <c r="AA496" s="4">
        <v>0</v>
      </c>
      <c r="AB496" s="4">
        <v>0</v>
      </c>
      <c r="AC496" s="4">
        <v>3</v>
      </c>
      <c r="AD496" s="4">
        <v>2</v>
      </c>
      <c r="AE496" s="3" t="s">
        <v>58</v>
      </c>
      <c r="AG496">
        <f t="shared" ca="1" si="21"/>
        <v>0</v>
      </c>
      <c r="AH496" s="23" t="str" cm="1">
        <f t="array" ref="AH496">_xlfn.IFS(E496&gt;49,"50+",E496&gt;39,"40-49",E496&gt;29,"30-39",E496&gt;19,"20-29")</f>
        <v>20-29</v>
      </c>
      <c r="AI496" s="24" t="str" cm="1">
        <f t="array" aca="1" ref="AI496" ca="1">_xlfn.IFS(AG496&gt;10,"10+",AG496&gt;4,"5-10 YIL",AG496&gt;2,"3-5 YIL",AG496&gt;0.9,"1-3 YIL",AG496&lt;1,"0-1 YIL")</f>
        <v>0-1 YIL</v>
      </c>
      <c r="AJ496">
        <f t="shared" si="22"/>
        <v>2025</v>
      </c>
      <c r="AK496" t="e">
        <f t="shared" si="23"/>
        <v>#VALUE!</v>
      </c>
    </row>
    <row r="497" spans="1:37" x14ac:dyDescent="0.3">
      <c r="A497" s="6" t="s">
        <v>887</v>
      </c>
      <c r="B497" s="7" t="s">
        <v>315</v>
      </c>
      <c r="C497" s="6" t="s">
        <v>48</v>
      </c>
      <c r="D497" s="14">
        <v>32654</v>
      </c>
      <c r="E497" s="8">
        <v>37</v>
      </c>
      <c r="F497" s="6" t="s">
        <v>34</v>
      </c>
      <c r="G497" s="8">
        <v>0</v>
      </c>
      <c r="H497" s="6" t="s">
        <v>85</v>
      </c>
      <c r="I497" s="7" t="s">
        <v>36</v>
      </c>
      <c r="J497" s="7" t="s">
        <v>50</v>
      </c>
      <c r="K497" s="6" t="s">
        <v>51</v>
      </c>
      <c r="L497" s="6" t="s">
        <v>39</v>
      </c>
      <c r="M497" s="7" t="s">
        <v>40</v>
      </c>
      <c r="N497" s="6" t="s">
        <v>41</v>
      </c>
      <c r="O497" s="14">
        <v>44215</v>
      </c>
      <c r="P497" s="6" t="s">
        <v>44</v>
      </c>
      <c r="Q497" s="7" t="s">
        <v>44</v>
      </c>
      <c r="R497" s="6" t="s">
        <v>44</v>
      </c>
      <c r="S497" s="6" t="s">
        <v>56</v>
      </c>
      <c r="T497" s="9">
        <v>38300</v>
      </c>
      <c r="U497" s="9">
        <v>0</v>
      </c>
      <c r="V497" s="8">
        <v>36</v>
      </c>
      <c r="W497" s="8">
        <v>30</v>
      </c>
      <c r="X497" s="6" t="s">
        <v>44</v>
      </c>
      <c r="Y497" s="8">
        <v>0</v>
      </c>
      <c r="Z497" s="8">
        <v>0</v>
      </c>
      <c r="AA497" s="8">
        <v>0</v>
      </c>
      <c r="AB497" s="8">
        <v>0</v>
      </c>
      <c r="AC497" s="8">
        <v>3</v>
      </c>
      <c r="AD497" s="8">
        <v>16</v>
      </c>
      <c r="AE497" s="7" t="s">
        <v>58</v>
      </c>
      <c r="AG497">
        <f t="shared" ca="1" si="21"/>
        <v>5</v>
      </c>
      <c r="AH497" s="23" t="str" cm="1">
        <f t="array" ref="AH497">_xlfn.IFS(E497&gt;49,"50+",E497&gt;39,"40-49",E497&gt;29,"30-39",E497&gt;19,"20-29")</f>
        <v>30-39</v>
      </c>
      <c r="AI497" s="24" t="str" cm="1">
        <f t="array" aca="1" ref="AI497" ca="1">_xlfn.IFS(AG497&gt;10,"10+",AG497&gt;4,"5-10 YIL",AG497&gt;2,"3-5 YIL",AG497&gt;0.9,"1-3 YIL",AG497&lt;1,"0-1 YIL")</f>
        <v>5-10 YIL</v>
      </c>
      <c r="AJ497">
        <f t="shared" si="22"/>
        <v>2021</v>
      </c>
      <c r="AK497" t="e">
        <f t="shared" si="23"/>
        <v>#VALUE!</v>
      </c>
    </row>
    <row r="498" spans="1:37" x14ac:dyDescent="0.3">
      <c r="A498" s="2" t="s">
        <v>888</v>
      </c>
      <c r="B498" s="3" t="s">
        <v>91</v>
      </c>
      <c r="C498" s="2" t="s">
        <v>48</v>
      </c>
      <c r="D498" s="13">
        <v>32460</v>
      </c>
      <c r="E498" s="4">
        <v>38</v>
      </c>
      <c r="F498" s="2" t="s">
        <v>34</v>
      </c>
      <c r="G498" s="4">
        <v>0</v>
      </c>
      <c r="H498" s="2" t="s">
        <v>35</v>
      </c>
      <c r="I498" s="3" t="s">
        <v>70</v>
      </c>
      <c r="J498" s="3" t="s">
        <v>71</v>
      </c>
      <c r="K498" s="2" t="s">
        <v>51</v>
      </c>
      <c r="L498" s="2" t="s">
        <v>63</v>
      </c>
      <c r="M498" s="3" t="s">
        <v>72</v>
      </c>
      <c r="N498" s="2" t="s">
        <v>41</v>
      </c>
      <c r="O498" s="13">
        <v>42984</v>
      </c>
      <c r="P498" s="2" t="s">
        <v>44</v>
      </c>
      <c r="Q498" s="3" t="s">
        <v>44</v>
      </c>
      <c r="R498" s="2" t="s">
        <v>44</v>
      </c>
      <c r="S498" s="2" t="s">
        <v>56</v>
      </c>
      <c r="T498" s="5">
        <v>64600</v>
      </c>
      <c r="U498" s="5">
        <v>0</v>
      </c>
      <c r="V498" s="4">
        <v>5</v>
      </c>
      <c r="W498" s="4">
        <v>30</v>
      </c>
      <c r="X498" s="2" t="s">
        <v>44</v>
      </c>
      <c r="Y498" s="4">
        <v>0</v>
      </c>
      <c r="Z498" s="4">
        <v>10</v>
      </c>
      <c r="AA498" s="4">
        <v>0</v>
      </c>
      <c r="AB498" s="4">
        <v>0</v>
      </c>
      <c r="AC498" s="4">
        <v>4</v>
      </c>
      <c r="AD498" s="4">
        <v>14</v>
      </c>
      <c r="AE498" s="3" t="s">
        <v>58</v>
      </c>
      <c r="AG498">
        <f t="shared" ca="1" si="21"/>
        <v>8</v>
      </c>
      <c r="AH498" s="23" t="str" cm="1">
        <f t="array" ref="AH498">_xlfn.IFS(E498&gt;49,"50+",E498&gt;39,"40-49",E498&gt;29,"30-39",E498&gt;19,"20-29")</f>
        <v>30-39</v>
      </c>
      <c r="AI498" s="24" t="str" cm="1">
        <f t="array" aca="1" ref="AI498" ca="1">_xlfn.IFS(AG498&gt;10,"10+",AG498&gt;4,"5-10 YIL",AG498&gt;2,"3-5 YIL",AG498&gt;0.9,"1-3 YIL",AG498&lt;1,"0-1 YIL")</f>
        <v>5-10 YIL</v>
      </c>
      <c r="AJ498">
        <f t="shared" si="22"/>
        <v>2017</v>
      </c>
      <c r="AK498" t="e">
        <f t="shared" si="23"/>
        <v>#VALUE!</v>
      </c>
    </row>
    <row r="499" spans="1:37" x14ac:dyDescent="0.3">
      <c r="A499" s="6" t="s">
        <v>889</v>
      </c>
      <c r="B499" s="7" t="s">
        <v>211</v>
      </c>
      <c r="C499" s="6" t="s">
        <v>33</v>
      </c>
      <c r="D499" s="14">
        <v>38007</v>
      </c>
      <c r="E499" s="8">
        <v>22</v>
      </c>
      <c r="F499" s="6" t="s">
        <v>49</v>
      </c>
      <c r="G499" s="8">
        <v>0</v>
      </c>
      <c r="H499" s="6" t="s">
        <v>88</v>
      </c>
      <c r="I499" s="7" t="s">
        <v>36</v>
      </c>
      <c r="J499" s="7" t="s">
        <v>37</v>
      </c>
      <c r="K499" s="6" t="s">
        <v>38</v>
      </c>
      <c r="L499" s="6" t="s">
        <v>39</v>
      </c>
      <c r="M499" s="7" t="s">
        <v>40</v>
      </c>
      <c r="N499" s="6" t="s">
        <v>67</v>
      </c>
      <c r="O499" s="14">
        <v>46134</v>
      </c>
      <c r="P499" s="6" t="s">
        <v>44</v>
      </c>
      <c r="Q499" s="7" t="s">
        <v>44</v>
      </c>
      <c r="R499" s="6" t="s">
        <v>44</v>
      </c>
      <c r="S499" s="6" t="s">
        <v>56</v>
      </c>
      <c r="T499" s="9">
        <v>24900</v>
      </c>
      <c r="U499" s="9">
        <v>0</v>
      </c>
      <c r="V499" s="8">
        <v>42</v>
      </c>
      <c r="W499" s="8">
        <v>30</v>
      </c>
      <c r="X499" s="6" t="s">
        <v>44</v>
      </c>
      <c r="Y499" s="8">
        <v>0</v>
      </c>
      <c r="Z499" s="8">
        <v>0</v>
      </c>
      <c r="AA499" s="8">
        <v>0</v>
      </c>
      <c r="AB499" s="8">
        <v>0</v>
      </c>
      <c r="AC499" s="8">
        <v>5</v>
      </c>
      <c r="AD499" s="8">
        <v>28</v>
      </c>
      <c r="AE499" s="7" t="s">
        <v>82</v>
      </c>
      <c r="AG499">
        <f t="shared" ca="1" si="21"/>
        <v>0</v>
      </c>
      <c r="AH499" s="23" t="str" cm="1">
        <f t="array" ref="AH499">_xlfn.IFS(E499&gt;49,"50+",E499&gt;39,"40-49",E499&gt;29,"30-39",E499&gt;19,"20-29")</f>
        <v>20-29</v>
      </c>
      <c r="AI499" s="24" t="str" cm="1">
        <f t="array" aca="1" ref="AI499" ca="1">_xlfn.IFS(AG499&gt;10,"10+",AG499&gt;4,"5-10 YIL",AG499&gt;2,"3-5 YIL",AG499&gt;0.9,"1-3 YIL",AG499&lt;1,"0-1 YIL")</f>
        <v>0-1 YIL</v>
      </c>
      <c r="AJ499">
        <f t="shared" si="22"/>
        <v>2026</v>
      </c>
      <c r="AK499" t="e">
        <f t="shared" si="23"/>
        <v>#VALUE!</v>
      </c>
    </row>
    <row r="500" spans="1:37" x14ac:dyDescent="0.3">
      <c r="A500" s="2" t="s">
        <v>890</v>
      </c>
      <c r="B500" s="3" t="s">
        <v>514</v>
      </c>
      <c r="C500" s="2" t="s">
        <v>48</v>
      </c>
      <c r="D500" s="13">
        <v>36575</v>
      </c>
      <c r="E500" s="4">
        <v>26</v>
      </c>
      <c r="F500" s="2" t="s">
        <v>34</v>
      </c>
      <c r="G500" s="4">
        <v>0</v>
      </c>
      <c r="H500" s="2" t="s">
        <v>35</v>
      </c>
      <c r="I500" s="3" t="s">
        <v>36</v>
      </c>
      <c r="J500" s="3" t="s">
        <v>37</v>
      </c>
      <c r="K500" s="2" t="s">
        <v>38</v>
      </c>
      <c r="L500" s="2" t="s">
        <v>39</v>
      </c>
      <c r="M500" s="3" t="s">
        <v>40</v>
      </c>
      <c r="N500" s="2" t="s">
        <v>67</v>
      </c>
      <c r="O500" s="13">
        <v>44968</v>
      </c>
      <c r="P500" s="2" t="s">
        <v>44</v>
      </c>
      <c r="Q500" s="3" t="s">
        <v>44</v>
      </c>
      <c r="R500" s="2" t="s">
        <v>44</v>
      </c>
      <c r="S500" s="2" t="s">
        <v>56</v>
      </c>
      <c r="T500" s="5">
        <v>28300</v>
      </c>
      <c r="U500" s="5">
        <v>0</v>
      </c>
      <c r="V500" s="4">
        <v>23</v>
      </c>
      <c r="W500" s="4">
        <v>30</v>
      </c>
      <c r="X500" s="2" t="s">
        <v>44</v>
      </c>
      <c r="Y500" s="4">
        <v>0</v>
      </c>
      <c r="Z500" s="4">
        <v>13</v>
      </c>
      <c r="AA500" s="4">
        <v>0</v>
      </c>
      <c r="AB500" s="4">
        <v>0</v>
      </c>
      <c r="AC500" s="4">
        <v>3</v>
      </c>
      <c r="AD500" s="4">
        <v>10</v>
      </c>
      <c r="AE500" s="3" t="s">
        <v>45</v>
      </c>
      <c r="AG500">
        <f t="shared" ca="1" si="21"/>
        <v>3</v>
      </c>
      <c r="AH500" s="23" t="str" cm="1">
        <f t="array" ref="AH500">_xlfn.IFS(E500&gt;49,"50+",E500&gt;39,"40-49",E500&gt;29,"30-39",E500&gt;19,"20-29")</f>
        <v>20-29</v>
      </c>
      <c r="AI500" s="24" t="str" cm="1">
        <f t="array" aca="1" ref="AI500" ca="1">_xlfn.IFS(AG500&gt;10,"10+",AG500&gt;4,"5-10 YIL",AG500&gt;2,"3-5 YIL",AG500&gt;0.9,"1-3 YIL",AG500&lt;1,"0-1 YIL")</f>
        <v>3-5 YIL</v>
      </c>
      <c r="AJ500">
        <f t="shared" si="22"/>
        <v>2023</v>
      </c>
      <c r="AK500" t="e">
        <f t="shared" si="23"/>
        <v>#VALUE!</v>
      </c>
    </row>
    <row r="501" spans="1:37" x14ac:dyDescent="0.3">
      <c r="A501" s="6" t="s">
        <v>891</v>
      </c>
      <c r="B501" s="7" t="s">
        <v>275</v>
      </c>
      <c r="C501" s="6" t="s">
        <v>48</v>
      </c>
      <c r="D501" s="14">
        <v>38104</v>
      </c>
      <c r="E501" s="8">
        <v>22</v>
      </c>
      <c r="F501" s="6" t="s">
        <v>34</v>
      </c>
      <c r="G501" s="8">
        <v>0</v>
      </c>
      <c r="H501" s="6" t="s">
        <v>35</v>
      </c>
      <c r="I501" s="7" t="s">
        <v>36</v>
      </c>
      <c r="J501" s="7" t="s">
        <v>37</v>
      </c>
      <c r="K501" s="6" t="s">
        <v>38</v>
      </c>
      <c r="L501" s="6" t="s">
        <v>39</v>
      </c>
      <c r="M501" s="7" t="s">
        <v>40</v>
      </c>
      <c r="N501" s="6" t="s">
        <v>41</v>
      </c>
      <c r="O501" s="14">
        <v>45276</v>
      </c>
      <c r="P501" s="6" t="s">
        <v>44</v>
      </c>
      <c r="Q501" s="7" t="s">
        <v>44</v>
      </c>
      <c r="R501" s="6" t="s">
        <v>44</v>
      </c>
      <c r="S501" s="6" t="s">
        <v>56</v>
      </c>
      <c r="T501" s="9">
        <v>25300</v>
      </c>
      <c r="U501" s="9">
        <v>0</v>
      </c>
      <c r="V501" s="8">
        <v>14</v>
      </c>
      <c r="W501" s="8">
        <v>29</v>
      </c>
      <c r="X501" s="6" t="s">
        <v>57</v>
      </c>
      <c r="Y501" s="8">
        <v>1</v>
      </c>
      <c r="Z501" s="8">
        <v>5</v>
      </c>
      <c r="AA501" s="8">
        <v>0</v>
      </c>
      <c r="AB501" s="8">
        <v>0</v>
      </c>
      <c r="AC501" s="8">
        <v>3</v>
      </c>
      <c r="AD501" s="8">
        <v>8</v>
      </c>
      <c r="AE501" s="7" t="s">
        <v>82</v>
      </c>
      <c r="AG501">
        <f t="shared" ca="1" si="21"/>
        <v>2</v>
      </c>
      <c r="AH501" s="23" t="str" cm="1">
        <f t="array" ref="AH501">_xlfn.IFS(E501&gt;49,"50+",E501&gt;39,"40-49",E501&gt;29,"30-39",E501&gt;19,"20-29")</f>
        <v>20-29</v>
      </c>
      <c r="AI501" s="24" t="str" cm="1">
        <f t="array" aca="1" ref="AI501" ca="1">_xlfn.IFS(AG501&gt;10,"10+",AG501&gt;4,"5-10 YIL",AG501&gt;2,"3-5 YIL",AG501&gt;0.9,"1-3 YIL",AG501&lt;1,"0-1 YIL")</f>
        <v>1-3 YIL</v>
      </c>
      <c r="AJ501">
        <f t="shared" si="22"/>
        <v>2023</v>
      </c>
      <c r="AK501" t="e">
        <f t="shared" si="23"/>
        <v>#VALUE!</v>
      </c>
    </row>
    <row r="502" spans="1:37" x14ac:dyDescent="0.3">
      <c r="A502" s="2" t="s">
        <v>892</v>
      </c>
      <c r="B502" s="3" t="s">
        <v>528</v>
      </c>
      <c r="C502" s="2" t="s">
        <v>33</v>
      </c>
      <c r="D502" s="13">
        <v>31749</v>
      </c>
      <c r="E502" s="4">
        <v>40</v>
      </c>
      <c r="F502" s="2" t="s">
        <v>49</v>
      </c>
      <c r="G502" s="4">
        <v>1</v>
      </c>
      <c r="H502" s="2" t="s">
        <v>35</v>
      </c>
      <c r="I502" s="3" t="s">
        <v>36</v>
      </c>
      <c r="J502" s="3" t="s">
        <v>78</v>
      </c>
      <c r="K502" s="2" t="s">
        <v>79</v>
      </c>
      <c r="L502" s="2" t="s">
        <v>63</v>
      </c>
      <c r="M502" s="3" t="s">
        <v>80</v>
      </c>
      <c r="N502" s="2" t="s">
        <v>95</v>
      </c>
      <c r="O502" s="13">
        <v>41127</v>
      </c>
      <c r="P502" s="2" t="s">
        <v>44</v>
      </c>
      <c r="Q502" s="3" t="s">
        <v>44</v>
      </c>
      <c r="R502" s="2" t="s">
        <v>44</v>
      </c>
      <c r="S502" s="2" t="s">
        <v>56</v>
      </c>
      <c r="T502" s="5">
        <v>93600</v>
      </c>
      <c r="U502" s="5">
        <v>0</v>
      </c>
      <c r="V502" s="4">
        <v>3</v>
      </c>
      <c r="W502" s="4">
        <v>28</v>
      </c>
      <c r="X502" s="2" t="s">
        <v>57</v>
      </c>
      <c r="Y502" s="4">
        <v>2</v>
      </c>
      <c r="Z502" s="4">
        <v>0</v>
      </c>
      <c r="AA502" s="4">
        <v>0</v>
      </c>
      <c r="AB502" s="4">
        <v>0</v>
      </c>
      <c r="AC502" s="4">
        <v>4</v>
      </c>
      <c r="AD502" s="4">
        <v>21</v>
      </c>
      <c r="AE502" s="3" t="s">
        <v>45</v>
      </c>
      <c r="AG502">
        <f t="shared" ca="1" si="21"/>
        <v>13</v>
      </c>
      <c r="AH502" s="23" t="str" cm="1">
        <f t="array" ref="AH502">_xlfn.IFS(E502&gt;49,"50+",E502&gt;39,"40-49",E502&gt;29,"30-39",E502&gt;19,"20-29")</f>
        <v>40-49</v>
      </c>
      <c r="AI502" s="24" t="str" cm="1">
        <f t="array" aca="1" ref="AI502" ca="1">_xlfn.IFS(AG502&gt;10,"10+",AG502&gt;4,"5-10 YIL",AG502&gt;2,"3-5 YIL",AG502&gt;0.9,"1-3 YIL",AG502&lt;1,"0-1 YIL")</f>
        <v>10+</v>
      </c>
      <c r="AJ502">
        <f t="shared" si="22"/>
        <v>2012</v>
      </c>
      <c r="AK502" t="e">
        <f t="shared" si="23"/>
        <v>#VALUE!</v>
      </c>
    </row>
    <row r="503" spans="1:37" x14ac:dyDescent="0.3">
      <c r="A503" s="6" t="s">
        <v>893</v>
      </c>
      <c r="B503" s="7" t="s">
        <v>713</v>
      </c>
      <c r="C503" s="6" t="s">
        <v>48</v>
      </c>
      <c r="D503" s="14">
        <v>30368</v>
      </c>
      <c r="E503" s="8">
        <v>43</v>
      </c>
      <c r="F503" s="6" t="s">
        <v>49</v>
      </c>
      <c r="G503" s="8">
        <v>0</v>
      </c>
      <c r="H503" s="6" t="s">
        <v>184</v>
      </c>
      <c r="I503" s="7" t="s">
        <v>70</v>
      </c>
      <c r="J503" s="7" t="s">
        <v>129</v>
      </c>
      <c r="K503" s="6" t="s">
        <v>79</v>
      </c>
      <c r="L503" s="6" t="s">
        <v>63</v>
      </c>
      <c r="M503" s="7" t="s">
        <v>80</v>
      </c>
      <c r="N503" s="6" t="s">
        <v>89</v>
      </c>
      <c r="O503" s="14">
        <v>42815</v>
      </c>
      <c r="P503" s="14">
        <v>46142</v>
      </c>
      <c r="Q503" s="7" t="s">
        <v>177</v>
      </c>
      <c r="R503" s="6">
        <v>3</v>
      </c>
      <c r="S503" s="6" t="s">
        <v>43</v>
      </c>
      <c r="T503" s="9">
        <v>115600</v>
      </c>
      <c r="U503" s="9">
        <v>0</v>
      </c>
      <c r="V503" s="8">
        <v>7</v>
      </c>
      <c r="W503" s="8">
        <v>30</v>
      </c>
      <c r="X503" s="6" t="s">
        <v>44</v>
      </c>
      <c r="Y503" s="8">
        <v>0</v>
      </c>
      <c r="Z503" s="8">
        <v>7</v>
      </c>
      <c r="AA503" s="8">
        <v>0</v>
      </c>
      <c r="AB503" s="8">
        <v>0</v>
      </c>
      <c r="AC503" s="8">
        <v>3</v>
      </c>
      <c r="AD503" s="8">
        <v>18</v>
      </c>
      <c r="AE503" s="7" t="s">
        <v>96</v>
      </c>
      <c r="AG503">
        <f t="shared" ca="1" si="21"/>
        <v>9</v>
      </c>
      <c r="AH503" s="23" t="str" cm="1">
        <f t="array" ref="AH503">_xlfn.IFS(E503&gt;49,"50+",E503&gt;39,"40-49",E503&gt;29,"30-39",E503&gt;19,"20-29")</f>
        <v>40-49</v>
      </c>
      <c r="AI503" s="24" t="str" cm="1">
        <f t="array" aca="1" ref="AI503" ca="1">_xlfn.IFS(AG503&gt;10,"10+",AG503&gt;4,"5-10 YIL",AG503&gt;2,"3-5 YIL",AG503&gt;0.9,"1-3 YIL",AG503&lt;1,"0-1 YIL")</f>
        <v>5-10 YIL</v>
      </c>
      <c r="AJ503">
        <f t="shared" si="22"/>
        <v>2017</v>
      </c>
      <c r="AK503">
        <f t="shared" si="23"/>
        <v>2026</v>
      </c>
    </row>
    <row r="504" spans="1:37" x14ac:dyDescent="0.3">
      <c r="A504" s="2" t="s">
        <v>894</v>
      </c>
      <c r="B504" s="3" t="s">
        <v>298</v>
      </c>
      <c r="C504" s="2" t="s">
        <v>33</v>
      </c>
      <c r="D504" s="13">
        <v>37107</v>
      </c>
      <c r="E504" s="4">
        <v>25</v>
      </c>
      <c r="F504" s="2" t="s">
        <v>49</v>
      </c>
      <c r="G504" s="4">
        <v>1</v>
      </c>
      <c r="H504" s="2" t="s">
        <v>35</v>
      </c>
      <c r="I504" s="3" t="s">
        <v>61</v>
      </c>
      <c r="J504" s="3" t="s">
        <v>62</v>
      </c>
      <c r="K504" s="2" t="s">
        <v>38</v>
      </c>
      <c r="L504" s="2" t="s">
        <v>63</v>
      </c>
      <c r="M504" s="3" t="s">
        <v>64</v>
      </c>
      <c r="N504" s="2" t="s">
        <v>95</v>
      </c>
      <c r="O504" s="13">
        <v>45043</v>
      </c>
      <c r="P504" s="2" t="s">
        <v>44</v>
      </c>
      <c r="Q504" s="3" t="s">
        <v>44</v>
      </c>
      <c r="R504" s="2" t="s">
        <v>44</v>
      </c>
      <c r="S504" s="2" t="s">
        <v>56</v>
      </c>
      <c r="T504" s="5">
        <v>32800</v>
      </c>
      <c r="U504" s="5">
        <v>4600</v>
      </c>
      <c r="V504" s="4">
        <v>5</v>
      </c>
      <c r="W504" s="4">
        <v>30</v>
      </c>
      <c r="X504" s="2" t="s">
        <v>44</v>
      </c>
      <c r="Y504" s="4">
        <v>0</v>
      </c>
      <c r="Z504" s="4">
        <v>3</v>
      </c>
      <c r="AA504" s="4">
        <v>0</v>
      </c>
      <c r="AB504" s="4">
        <v>0</v>
      </c>
      <c r="AC504" s="4">
        <v>3</v>
      </c>
      <c r="AD504" s="4">
        <v>10</v>
      </c>
      <c r="AE504" s="3" t="s">
        <v>45</v>
      </c>
      <c r="AG504">
        <f t="shared" ca="1" si="21"/>
        <v>3</v>
      </c>
      <c r="AH504" s="23" t="str" cm="1">
        <f t="array" ref="AH504">_xlfn.IFS(E504&gt;49,"50+",E504&gt;39,"40-49",E504&gt;29,"30-39",E504&gt;19,"20-29")</f>
        <v>20-29</v>
      </c>
      <c r="AI504" s="24" t="str" cm="1">
        <f t="array" aca="1" ref="AI504" ca="1">_xlfn.IFS(AG504&gt;10,"10+",AG504&gt;4,"5-10 YIL",AG504&gt;2,"3-5 YIL",AG504&gt;0.9,"1-3 YIL",AG504&lt;1,"0-1 YIL")</f>
        <v>3-5 YIL</v>
      </c>
      <c r="AJ504">
        <f t="shared" si="22"/>
        <v>2023</v>
      </c>
      <c r="AK504" t="e">
        <f t="shared" si="23"/>
        <v>#VALUE!</v>
      </c>
    </row>
    <row r="505" spans="1:37" x14ac:dyDescent="0.3">
      <c r="A505" s="6" t="s">
        <v>895</v>
      </c>
      <c r="B505" s="7" t="s">
        <v>896</v>
      </c>
      <c r="C505" s="6" t="s">
        <v>33</v>
      </c>
      <c r="D505" s="14">
        <v>28543</v>
      </c>
      <c r="E505" s="8">
        <v>48</v>
      </c>
      <c r="F505" s="6" t="s">
        <v>34</v>
      </c>
      <c r="G505" s="8">
        <v>0</v>
      </c>
      <c r="H505" s="6" t="s">
        <v>35</v>
      </c>
      <c r="I505" s="7" t="s">
        <v>70</v>
      </c>
      <c r="J505" s="7" t="s">
        <v>129</v>
      </c>
      <c r="K505" s="6" t="s">
        <v>79</v>
      </c>
      <c r="L505" s="6" t="s">
        <v>63</v>
      </c>
      <c r="M505" s="7" t="s">
        <v>80</v>
      </c>
      <c r="N505" s="6" t="s">
        <v>41</v>
      </c>
      <c r="O505" s="14">
        <v>40670</v>
      </c>
      <c r="P505" s="6" t="s">
        <v>44</v>
      </c>
      <c r="Q505" s="7" t="s">
        <v>44</v>
      </c>
      <c r="R505" s="6" t="s">
        <v>44</v>
      </c>
      <c r="S505" s="6" t="s">
        <v>56</v>
      </c>
      <c r="T505" s="9">
        <v>112100</v>
      </c>
      <c r="U505" s="9">
        <v>0</v>
      </c>
      <c r="V505" s="8">
        <v>5</v>
      </c>
      <c r="W505" s="8">
        <v>25</v>
      </c>
      <c r="X505" s="6" t="s">
        <v>57</v>
      </c>
      <c r="Y505" s="8">
        <v>5</v>
      </c>
      <c r="Z505" s="8">
        <v>10</v>
      </c>
      <c r="AA505" s="8">
        <v>0</v>
      </c>
      <c r="AB505" s="8">
        <v>0</v>
      </c>
      <c r="AC505" s="8">
        <v>3</v>
      </c>
      <c r="AD505" s="8">
        <v>15</v>
      </c>
      <c r="AE505" s="7" t="s">
        <v>58</v>
      </c>
      <c r="AG505">
        <f t="shared" ca="1" si="21"/>
        <v>15</v>
      </c>
      <c r="AH505" s="23" t="str" cm="1">
        <f t="array" ref="AH505">_xlfn.IFS(E505&gt;49,"50+",E505&gt;39,"40-49",E505&gt;29,"30-39",E505&gt;19,"20-29")</f>
        <v>40-49</v>
      </c>
      <c r="AI505" s="24" t="str" cm="1">
        <f t="array" aca="1" ref="AI505" ca="1">_xlfn.IFS(AG505&gt;10,"10+",AG505&gt;4,"5-10 YIL",AG505&gt;2,"3-5 YIL",AG505&gt;0.9,"1-3 YIL",AG505&lt;1,"0-1 YIL")</f>
        <v>10+</v>
      </c>
      <c r="AJ505">
        <f t="shared" si="22"/>
        <v>2011</v>
      </c>
      <c r="AK505" t="e">
        <f t="shared" si="23"/>
        <v>#VALUE!</v>
      </c>
    </row>
    <row r="506" spans="1:37" x14ac:dyDescent="0.3">
      <c r="A506" s="2" t="s">
        <v>897</v>
      </c>
      <c r="B506" s="3" t="s">
        <v>441</v>
      </c>
      <c r="C506" s="2" t="s">
        <v>48</v>
      </c>
      <c r="D506" s="13">
        <v>31572</v>
      </c>
      <c r="E506" s="4">
        <v>40</v>
      </c>
      <c r="F506" s="2" t="s">
        <v>34</v>
      </c>
      <c r="G506" s="4">
        <v>0</v>
      </c>
      <c r="H506" s="2" t="s">
        <v>85</v>
      </c>
      <c r="I506" s="3" t="s">
        <v>61</v>
      </c>
      <c r="J506" s="3" t="s">
        <v>107</v>
      </c>
      <c r="K506" s="2" t="s">
        <v>51</v>
      </c>
      <c r="L506" s="2" t="s">
        <v>63</v>
      </c>
      <c r="M506" s="3" t="s">
        <v>64</v>
      </c>
      <c r="N506" s="2" t="s">
        <v>89</v>
      </c>
      <c r="O506" s="13">
        <v>43115</v>
      </c>
      <c r="P506" s="2" t="s">
        <v>44</v>
      </c>
      <c r="Q506" s="3" t="s">
        <v>44</v>
      </c>
      <c r="R506" s="2" t="s">
        <v>44</v>
      </c>
      <c r="S506" s="2" t="s">
        <v>56</v>
      </c>
      <c r="T506" s="5">
        <v>57300</v>
      </c>
      <c r="U506" s="5">
        <v>0</v>
      </c>
      <c r="V506" s="4">
        <v>5</v>
      </c>
      <c r="W506" s="4">
        <v>28</v>
      </c>
      <c r="X506" s="2" t="s">
        <v>57</v>
      </c>
      <c r="Y506" s="4">
        <v>1</v>
      </c>
      <c r="Z506" s="4">
        <v>7</v>
      </c>
      <c r="AA506" s="4">
        <v>1</v>
      </c>
      <c r="AB506" s="4">
        <v>0</v>
      </c>
      <c r="AC506" s="4">
        <v>3</v>
      </c>
      <c r="AD506" s="4">
        <v>8</v>
      </c>
      <c r="AE506" s="3" t="s">
        <v>45</v>
      </c>
      <c r="AG506">
        <f t="shared" ca="1" si="21"/>
        <v>8</v>
      </c>
      <c r="AH506" s="23" t="str" cm="1">
        <f t="array" ref="AH506">_xlfn.IFS(E506&gt;49,"50+",E506&gt;39,"40-49",E506&gt;29,"30-39",E506&gt;19,"20-29")</f>
        <v>40-49</v>
      </c>
      <c r="AI506" s="24" t="str" cm="1">
        <f t="array" aca="1" ref="AI506" ca="1">_xlfn.IFS(AG506&gt;10,"10+",AG506&gt;4,"5-10 YIL",AG506&gt;2,"3-5 YIL",AG506&gt;0.9,"1-3 YIL",AG506&lt;1,"0-1 YIL")</f>
        <v>5-10 YIL</v>
      </c>
      <c r="AJ506">
        <f t="shared" si="22"/>
        <v>2018</v>
      </c>
      <c r="AK506" t="e">
        <f t="shared" si="23"/>
        <v>#VALUE!</v>
      </c>
    </row>
    <row r="507" spans="1:37" x14ac:dyDescent="0.3">
      <c r="A507" s="6" t="s">
        <v>898</v>
      </c>
      <c r="B507" s="7" t="s">
        <v>899</v>
      </c>
      <c r="C507" s="6" t="s">
        <v>48</v>
      </c>
      <c r="D507" s="14">
        <v>29483</v>
      </c>
      <c r="E507" s="8">
        <v>46</v>
      </c>
      <c r="F507" s="6" t="s">
        <v>34</v>
      </c>
      <c r="G507" s="8">
        <v>0</v>
      </c>
      <c r="H507" s="6" t="s">
        <v>35</v>
      </c>
      <c r="I507" s="7" t="s">
        <v>36</v>
      </c>
      <c r="J507" s="7" t="s">
        <v>50</v>
      </c>
      <c r="K507" s="6" t="s">
        <v>51</v>
      </c>
      <c r="L507" s="6" t="s">
        <v>39</v>
      </c>
      <c r="M507" s="7" t="s">
        <v>40</v>
      </c>
      <c r="N507" s="6" t="s">
        <v>41</v>
      </c>
      <c r="O507" s="14">
        <v>43976</v>
      </c>
      <c r="P507" s="6" t="s">
        <v>44</v>
      </c>
      <c r="Q507" s="7" t="s">
        <v>44</v>
      </c>
      <c r="R507" s="6" t="s">
        <v>44</v>
      </c>
      <c r="S507" s="6" t="s">
        <v>56</v>
      </c>
      <c r="T507" s="9">
        <v>40000</v>
      </c>
      <c r="U507" s="9">
        <v>0</v>
      </c>
      <c r="V507" s="8">
        <v>39</v>
      </c>
      <c r="W507" s="8">
        <v>30</v>
      </c>
      <c r="X507" s="6" t="s">
        <v>44</v>
      </c>
      <c r="Y507" s="8">
        <v>0</v>
      </c>
      <c r="Z507" s="8">
        <v>7</v>
      </c>
      <c r="AA507" s="8">
        <v>0</v>
      </c>
      <c r="AB507" s="8">
        <v>0</v>
      </c>
      <c r="AC507" s="8">
        <v>3</v>
      </c>
      <c r="AD507" s="8">
        <v>19</v>
      </c>
      <c r="AE507" s="7" t="s">
        <v>45</v>
      </c>
      <c r="AG507">
        <f t="shared" ca="1" si="21"/>
        <v>6</v>
      </c>
      <c r="AH507" s="23" t="str" cm="1">
        <f t="array" ref="AH507">_xlfn.IFS(E507&gt;49,"50+",E507&gt;39,"40-49",E507&gt;29,"30-39",E507&gt;19,"20-29")</f>
        <v>40-49</v>
      </c>
      <c r="AI507" s="24" t="str" cm="1">
        <f t="array" aca="1" ref="AI507" ca="1">_xlfn.IFS(AG507&gt;10,"10+",AG507&gt;4,"5-10 YIL",AG507&gt;2,"3-5 YIL",AG507&gt;0.9,"1-3 YIL",AG507&lt;1,"0-1 YIL")</f>
        <v>5-10 YIL</v>
      </c>
      <c r="AJ507">
        <f t="shared" si="22"/>
        <v>2020</v>
      </c>
      <c r="AK507" t="e">
        <f t="shared" si="23"/>
        <v>#VALUE!</v>
      </c>
    </row>
    <row r="508" spans="1:37" x14ac:dyDescent="0.3">
      <c r="A508" s="2" t="s">
        <v>900</v>
      </c>
      <c r="B508" s="3" t="s">
        <v>305</v>
      </c>
      <c r="C508" s="2" t="s">
        <v>33</v>
      </c>
      <c r="D508" s="13">
        <v>30032</v>
      </c>
      <c r="E508" s="4">
        <v>44</v>
      </c>
      <c r="F508" s="2" t="s">
        <v>34</v>
      </c>
      <c r="G508" s="4">
        <v>0</v>
      </c>
      <c r="H508" s="2" t="s">
        <v>35</v>
      </c>
      <c r="I508" s="3" t="s">
        <v>61</v>
      </c>
      <c r="J508" s="3" t="s">
        <v>107</v>
      </c>
      <c r="K508" s="2" t="s">
        <v>51</v>
      </c>
      <c r="L508" s="2" t="s">
        <v>63</v>
      </c>
      <c r="M508" s="3" t="s">
        <v>64</v>
      </c>
      <c r="N508" s="2" t="s">
        <v>41</v>
      </c>
      <c r="O508" s="13">
        <v>43926</v>
      </c>
      <c r="P508" s="2" t="s">
        <v>44</v>
      </c>
      <c r="Q508" s="3" t="s">
        <v>44</v>
      </c>
      <c r="R508" s="2" t="s">
        <v>44</v>
      </c>
      <c r="S508" s="2" t="s">
        <v>56</v>
      </c>
      <c r="T508" s="5">
        <v>52900</v>
      </c>
      <c r="U508" s="5">
        <v>15400</v>
      </c>
      <c r="V508" s="4">
        <v>5</v>
      </c>
      <c r="W508" s="4">
        <v>30</v>
      </c>
      <c r="X508" s="2" t="s">
        <v>44</v>
      </c>
      <c r="Y508" s="4">
        <v>0</v>
      </c>
      <c r="Z508" s="4">
        <v>7</v>
      </c>
      <c r="AA508" s="4">
        <v>0</v>
      </c>
      <c r="AB508" s="4">
        <v>0</v>
      </c>
      <c r="AC508" s="4">
        <v>3</v>
      </c>
      <c r="AD508" s="4">
        <v>18</v>
      </c>
      <c r="AE508" s="3" t="s">
        <v>45</v>
      </c>
      <c r="AG508">
        <f t="shared" ca="1" si="21"/>
        <v>6</v>
      </c>
      <c r="AH508" s="23" t="str" cm="1">
        <f t="array" ref="AH508">_xlfn.IFS(E508&gt;49,"50+",E508&gt;39,"40-49",E508&gt;29,"30-39",E508&gt;19,"20-29")</f>
        <v>40-49</v>
      </c>
      <c r="AI508" s="24" t="str" cm="1">
        <f t="array" aca="1" ref="AI508" ca="1">_xlfn.IFS(AG508&gt;10,"10+",AG508&gt;4,"5-10 YIL",AG508&gt;2,"3-5 YIL",AG508&gt;0.9,"1-3 YIL",AG508&lt;1,"0-1 YIL")</f>
        <v>5-10 YIL</v>
      </c>
      <c r="AJ508">
        <f t="shared" si="22"/>
        <v>2020</v>
      </c>
      <c r="AK508" t="e">
        <f t="shared" si="23"/>
        <v>#VALUE!</v>
      </c>
    </row>
    <row r="509" spans="1:37" x14ac:dyDescent="0.3">
      <c r="A509" s="6" t="s">
        <v>901</v>
      </c>
      <c r="B509" s="7" t="s">
        <v>668</v>
      </c>
      <c r="C509" s="6" t="s">
        <v>48</v>
      </c>
      <c r="D509" s="14">
        <v>34070</v>
      </c>
      <c r="E509" s="8">
        <v>33</v>
      </c>
      <c r="F509" s="6" t="s">
        <v>49</v>
      </c>
      <c r="G509" s="8">
        <v>1</v>
      </c>
      <c r="H509" s="6" t="s">
        <v>35</v>
      </c>
      <c r="I509" s="7" t="s">
        <v>61</v>
      </c>
      <c r="J509" s="7" t="s">
        <v>107</v>
      </c>
      <c r="K509" s="6" t="s">
        <v>51</v>
      </c>
      <c r="L509" s="6" t="s">
        <v>63</v>
      </c>
      <c r="M509" s="7" t="s">
        <v>64</v>
      </c>
      <c r="N509" s="6" t="s">
        <v>95</v>
      </c>
      <c r="O509" s="14">
        <v>43167</v>
      </c>
      <c r="P509" s="6" t="s">
        <v>44</v>
      </c>
      <c r="Q509" s="7" t="s">
        <v>44</v>
      </c>
      <c r="R509" s="6" t="s">
        <v>44</v>
      </c>
      <c r="S509" s="6" t="s">
        <v>56</v>
      </c>
      <c r="T509" s="9">
        <v>60700</v>
      </c>
      <c r="U509" s="9">
        <v>0</v>
      </c>
      <c r="V509" s="8">
        <v>4</v>
      </c>
      <c r="W509" s="8">
        <v>28</v>
      </c>
      <c r="X509" s="6" t="s">
        <v>57</v>
      </c>
      <c r="Y509" s="8">
        <v>2</v>
      </c>
      <c r="Z509" s="8">
        <v>11</v>
      </c>
      <c r="AA509" s="8">
        <v>0</v>
      </c>
      <c r="AB509" s="8">
        <v>0</v>
      </c>
      <c r="AC509" s="8">
        <v>4</v>
      </c>
      <c r="AD509" s="8">
        <v>26</v>
      </c>
      <c r="AE509" s="7" t="s">
        <v>58</v>
      </c>
      <c r="AG509">
        <f t="shared" ca="1" si="21"/>
        <v>8</v>
      </c>
      <c r="AH509" s="23" t="str" cm="1">
        <f t="array" ref="AH509">_xlfn.IFS(E509&gt;49,"50+",E509&gt;39,"40-49",E509&gt;29,"30-39",E509&gt;19,"20-29")</f>
        <v>30-39</v>
      </c>
      <c r="AI509" s="24" t="str" cm="1">
        <f t="array" aca="1" ref="AI509" ca="1">_xlfn.IFS(AG509&gt;10,"10+",AG509&gt;4,"5-10 YIL",AG509&gt;2,"3-5 YIL",AG509&gt;0.9,"1-3 YIL",AG509&lt;1,"0-1 YIL")</f>
        <v>5-10 YIL</v>
      </c>
      <c r="AJ509">
        <f t="shared" si="22"/>
        <v>2018</v>
      </c>
      <c r="AK509" t="e">
        <f t="shared" si="23"/>
        <v>#VALUE!</v>
      </c>
    </row>
    <row r="510" spans="1:37" x14ac:dyDescent="0.3">
      <c r="A510" s="2" t="s">
        <v>902</v>
      </c>
      <c r="B510" s="3" t="s">
        <v>903</v>
      </c>
      <c r="C510" s="2" t="s">
        <v>33</v>
      </c>
      <c r="D510" s="13">
        <v>30336</v>
      </c>
      <c r="E510" s="4">
        <v>43</v>
      </c>
      <c r="F510" s="2" t="s">
        <v>49</v>
      </c>
      <c r="G510" s="4">
        <v>0</v>
      </c>
      <c r="H510" s="2" t="s">
        <v>85</v>
      </c>
      <c r="I510" s="3" t="s">
        <v>61</v>
      </c>
      <c r="J510" s="3" t="s">
        <v>107</v>
      </c>
      <c r="K510" s="2" t="s">
        <v>51</v>
      </c>
      <c r="L510" s="2" t="s">
        <v>63</v>
      </c>
      <c r="M510" s="3" t="s">
        <v>64</v>
      </c>
      <c r="N510" s="2" t="s">
        <v>67</v>
      </c>
      <c r="O510" s="13">
        <v>43782</v>
      </c>
      <c r="P510" s="13">
        <v>44582</v>
      </c>
      <c r="Q510" s="3" t="s">
        <v>177</v>
      </c>
      <c r="R510" s="2">
        <v>3</v>
      </c>
      <c r="S510" s="2" t="s">
        <v>43</v>
      </c>
      <c r="T510" s="5">
        <v>59100</v>
      </c>
      <c r="U510" s="5">
        <v>13200</v>
      </c>
      <c r="V510" s="4">
        <v>5</v>
      </c>
      <c r="W510" s="4">
        <v>30</v>
      </c>
      <c r="X510" s="2" t="s">
        <v>44</v>
      </c>
      <c r="Y510" s="4">
        <v>0</v>
      </c>
      <c r="Z510" s="4">
        <v>10</v>
      </c>
      <c r="AA510" s="4">
        <v>0</v>
      </c>
      <c r="AB510" s="4">
        <v>0</v>
      </c>
      <c r="AC510" s="4">
        <v>3</v>
      </c>
      <c r="AD510" s="4">
        <v>5</v>
      </c>
      <c r="AE510" s="3" t="s">
        <v>58</v>
      </c>
      <c r="AG510">
        <f t="shared" ca="1" si="21"/>
        <v>6</v>
      </c>
      <c r="AH510" s="23" t="str" cm="1">
        <f t="array" ref="AH510">_xlfn.IFS(E510&gt;49,"50+",E510&gt;39,"40-49",E510&gt;29,"30-39",E510&gt;19,"20-29")</f>
        <v>40-49</v>
      </c>
      <c r="AI510" s="24" t="str" cm="1">
        <f t="array" aca="1" ref="AI510" ca="1">_xlfn.IFS(AG510&gt;10,"10+",AG510&gt;4,"5-10 YIL",AG510&gt;2,"3-5 YIL",AG510&gt;0.9,"1-3 YIL",AG510&lt;1,"0-1 YIL")</f>
        <v>5-10 YIL</v>
      </c>
      <c r="AJ510">
        <f t="shared" si="22"/>
        <v>2019</v>
      </c>
      <c r="AK510">
        <f t="shared" si="23"/>
        <v>2022</v>
      </c>
    </row>
    <row r="511" spans="1:37" x14ac:dyDescent="0.3">
      <c r="A511" s="6" t="s">
        <v>904</v>
      </c>
      <c r="B511" s="7" t="s">
        <v>905</v>
      </c>
      <c r="C511" s="6" t="s">
        <v>33</v>
      </c>
      <c r="D511" s="14">
        <v>36789</v>
      </c>
      <c r="E511" s="8">
        <v>26</v>
      </c>
      <c r="F511" s="6" t="s">
        <v>49</v>
      </c>
      <c r="G511" s="8">
        <v>3</v>
      </c>
      <c r="H511" s="6" t="s">
        <v>88</v>
      </c>
      <c r="I511" s="7" t="s">
        <v>139</v>
      </c>
      <c r="J511" s="7" t="s">
        <v>235</v>
      </c>
      <c r="K511" s="6" t="s">
        <v>38</v>
      </c>
      <c r="L511" s="6" t="s">
        <v>63</v>
      </c>
      <c r="M511" s="7" t="s">
        <v>162</v>
      </c>
      <c r="N511" s="6" t="s">
        <v>52</v>
      </c>
      <c r="O511" s="14">
        <v>45983</v>
      </c>
      <c r="P511" s="6" t="s">
        <v>44</v>
      </c>
      <c r="Q511" s="7" t="s">
        <v>44</v>
      </c>
      <c r="R511" s="6" t="s">
        <v>44</v>
      </c>
      <c r="S511" s="6" t="s">
        <v>56</v>
      </c>
      <c r="T511" s="9">
        <v>48100</v>
      </c>
      <c r="U511" s="9">
        <v>5400</v>
      </c>
      <c r="V511" s="8">
        <v>5</v>
      </c>
      <c r="W511" s="8">
        <v>30</v>
      </c>
      <c r="X511" s="6" t="s">
        <v>44</v>
      </c>
      <c r="Y511" s="8">
        <v>0</v>
      </c>
      <c r="Z511" s="8">
        <v>0</v>
      </c>
      <c r="AA511" s="8">
        <v>0</v>
      </c>
      <c r="AB511" s="8">
        <v>0</v>
      </c>
      <c r="AC511" s="8">
        <v>3</v>
      </c>
      <c r="AD511" s="8">
        <v>12</v>
      </c>
      <c r="AE511" s="7" t="s">
        <v>96</v>
      </c>
      <c r="AG511">
        <f t="shared" ca="1" si="21"/>
        <v>0</v>
      </c>
      <c r="AH511" s="23" t="str" cm="1">
        <f t="array" ref="AH511">_xlfn.IFS(E511&gt;49,"50+",E511&gt;39,"40-49",E511&gt;29,"30-39",E511&gt;19,"20-29")</f>
        <v>20-29</v>
      </c>
      <c r="AI511" s="24" t="str" cm="1">
        <f t="array" aca="1" ref="AI511" ca="1">_xlfn.IFS(AG511&gt;10,"10+",AG511&gt;4,"5-10 YIL",AG511&gt;2,"3-5 YIL",AG511&gt;0.9,"1-3 YIL",AG511&lt;1,"0-1 YIL")</f>
        <v>0-1 YIL</v>
      </c>
      <c r="AJ511">
        <f t="shared" si="22"/>
        <v>2025</v>
      </c>
      <c r="AK511" t="e">
        <f t="shared" si="23"/>
        <v>#VALUE!</v>
      </c>
    </row>
    <row r="512" spans="1:37" x14ac:dyDescent="0.3">
      <c r="A512" s="2" t="s">
        <v>906</v>
      </c>
      <c r="B512" s="3" t="s">
        <v>907</v>
      </c>
      <c r="C512" s="2" t="s">
        <v>48</v>
      </c>
      <c r="D512" s="13">
        <v>31903</v>
      </c>
      <c r="E512" s="4">
        <v>39</v>
      </c>
      <c r="F512" s="2" t="s">
        <v>49</v>
      </c>
      <c r="G512" s="4">
        <v>1</v>
      </c>
      <c r="H512" s="2" t="s">
        <v>85</v>
      </c>
      <c r="I512" s="3" t="s">
        <v>61</v>
      </c>
      <c r="J512" s="3" t="s">
        <v>107</v>
      </c>
      <c r="K512" s="2" t="s">
        <v>51</v>
      </c>
      <c r="L512" s="2" t="s">
        <v>63</v>
      </c>
      <c r="M512" s="3" t="s">
        <v>64</v>
      </c>
      <c r="N512" s="2" t="s">
        <v>41</v>
      </c>
      <c r="O512" s="13">
        <v>44724</v>
      </c>
      <c r="P512" s="2" t="s">
        <v>44</v>
      </c>
      <c r="Q512" s="3" t="s">
        <v>44</v>
      </c>
      <c r="R512" s="2" t="s">
        <v>44</v>
      </c>
      <c r="S512" s="2" t="s">
        <v>56</v>
      </c>
      <c r="T512" s="5">
        <v>53800</v>
      </c>
      <c r="U512" s="5">
        <v>15800</v>
      </c>
      <c r="V512" s="4">
        <v>2</v>
      </c>
      <c r="W512" s="4">
        <v>30</v>
      </c>
      <c r="X512" s="2" t="s">
        <v>44</v>
      </c>
      <c r="Y512" s="4">
        <v>0</v>
      </c>
      <c r="Z512" s="4">
        <v>12</v>
      </c>
      <c r="AA512" s="4">
        <v>0</v>
      </c>
      <c r="AB512" s="4">
        <v>0</v>
      </c>
      <c r="AC512" s="4">
        <v>3</v>
      </c>
      <c r="AD512" s="4">
        <v>5</v>
      </c>
      <c r="AE512" s="3" t="s">
        <v>45</v>
      </c>
      <c r="AG512">
        <f t="shared" ca="1" si="21"/>
        <v>4</v>
      </c>
      <c r="AH512" s="23" t="str" cm="1">
        <f t="array" ref="AH512">_xlfn.IFS(E512&gt;49,"50+",E512&gt;39,"40-49",E512&gt;29,"30-39",E512&gt;19,"20-29")</f>
        <v>30-39</v>
      </c>
      <c r="AI512" s="24" t="str" cm="1">
        <f t="array" aca="1" ref="AI512" ca="1">_xlfn.IFS(AG512&gt;10,"10+",AG512&gt;4,"5-10 YIL",AG512&gt;2,"3-5 YIL",AG512&gt;0.9,"1-3 YIL",AG512&lt;1,"0-1 YIL")</f>
        <v>3-5 YIL</v>
      </c>
      <c r="AJ512">
        <f t="shared" si="22"/>
        <v>2022</v>
      </c>
      <c r="AK512" t="e">
        <f t="shared" si="23"/>
        <v>#VALUE!</v>
      </c>
    </row>
    <row r="513" spans="1:37" x14ac:dyDescent="0.3">
      <c r="A513" s="6" t="s">
        <v>908</v>
      </c>
      <c r="B513" s="7" t="s">
        <v>909</v>
      </c>
      <c r="C513" s="6" t="s">
        <v>48</v>
      </c>
      <c r="D513" s="14">
        <v>36356</v>
      </c>
      <c r="E513" s="8">
        <v>27</v>
      </c>
      <c r="F513" s="6" t="s">
        <v>49</v>
      </c>
      <c r="G513" s="8">
        <v>1</v>
      </c>
      <c r="H513" s="6" t="s">
        <v>85</v>
      </c>
      <c r="I513" s="7" t="s">
        <v>36</v>
      </c>
      <c r="J513" s="7" t="s">
        <v>37</v>
      </c>
      <c r="K513" s="6" t="s">
        <v>38</v>
      </c>
      <c r="L513" s="6" t="s">
        <v>39</v>
      </c>
      <c r="M513" s="7" t="s">
        <v>40</v>
      </c>
      <c r="N513" s="6" t="s">
        <v>41</v>
      </c>
      <c r="O513" s="14">
        <v>45746</v>
      </c>
      <c r="P513" s="6" t="s">
        <v>44</v>
      </c>
      <c r="Q513" s="7" t="s">
        <v>44</v>
      </c>
      <c r="R513" s="6" t="s">
        <v>44</v>
      </c>
      <c r="S513" s="6" t="s">
        <v>56</v>
      </c>
      <c r="T513" s="9">
        <v>28400</v>
      </c>
      <c r="U513" s="9">
        <v>0</v>
      </c>
      <c r="V513" s="8">
        <v>37</v>
      </c>
      <c r="W513" s="8">
        <v>29</v>
      </c>
      <c r="X513" s="6" t="s">
        <v>81</v>
      </c>
      <c r="Y513" s="8">
        <v>0</v>
      </c>
      <c r="Z513" s="8">
        <v>3</v>
      </c>
      <c r="AA513" s="8">
        <v>1</v>
      </c>
      <c r="AB513" s="8">
        <v>0</v>
      </c>
      <c r="AC513" s="8">
        <v>4</v>
      </c>
      <c r="AD513" s="8">
        <v>14</v>
      </c>
      <c r="AE513" s="7" t="s">
        <v>58</v>
      </c>
      <c r="AG513">
        <f t="shared" ca="1" si="21"/>
        <v>1</v>
      </c>
      <c r="AH513" s="23" t="str" cm="1">
        <f t="array" ref="AH513">_xlfn.IFS(E513&gt;49,"50+",E513&gt;39,"40-49",E513&gt;29,"30-39",E513&gt;19,"20-29")</f>
        <v>20-29</v>
      </c>
      <c r="AI513" s="24" t="str" cm="1">
        <f t="array" aca="1" ref="AI513" ca="1">_xlfn.IFS(AG513&gt;10,"10+",AG513&gt;4,"5-10 YIL",AG513&gt;2,"3-5 YIL",AG513&gt;0.9,"1-3 YIL",AG513&lt;1,"0-1 YIL")</f>
        <v>1-3 YIL</v>
      </c>
      <c r="AJ513">
        <f t="shared" si="22"/>
        <v>2025</v>
      </c>
      <c r="AK513" t="e">
        <f t="shared" si="23"/>
        <v>#VALUE!</v>
      </c>
    </row>
    <row r="514" spans="1:37" x14ac:dyDescent="0.3">
      <c r="A514" s="2" t="s">
        <v>910</v>
      </c>
      <c r="B514" s="3" t="s">
        <v>911</v>
      </c>
      <c r="C514" s="2" t="s">
        <v>33</v>
      </c>
      <c r="D514" s="13">
        <v>32003</v>
      </c>
      <c r="E514" s="4">
        <v>39</v>
      </c>
      <c r="F514" s="2" t="s">
        <v>34</v>
      </c>
      <c r="G514" s="4">
        <v>0</v>
      </c>
      <c r="H514" s="2" t="s">
        <v>85</v>
      </c>
      <c r="I514" s="3" t="s">
        <v>148</v>
      </c>
      <c r="J514" s="3" t="s">
        <v>149</v>
      </c>
      <c r="K514" s="2" t="s">
        <v>51</v>
      </c>
      <c r="L514" s="2" t="s">
        <v>63</v>
      </c>
      <c r="M514" s="3" t="s">
        <v>150</v>
      </c>
      <c r="N514" s="2" t="s">
        <v>67</v>
      </c>
      <c r="O514" s="13">
        <v>44457</v>
      </c>
      <c r="P514" s="2" t="s">
        <v>44</v>
      </c>
      <c r="Q514" s="3" t="s">
        <v>44</v>
      </c>
      <c r="R514" s="2" t="s">
        <v>44</v>
      </c>
      <c r="S514" s="2" t="s">
        <v>56</v>
      </c>
      <c r="T514" s="5">
        <v>52600</v>
      </c>
      <c r="U514" s="5">
        <v>6200</v>
      </c>
      <c r="V514" s="4">
        <v>8</v>
      </c>
      <c r="W514" s="4">
        <v>30</v>
      </c>
      <c r="X514" s="2" t="s">
        <v>44</v>
      </c>
      <c r="Y514" s="4">
        <v>0</v>
      </c>
      <c r="Z514" s="4">
        <v>8</v>
      </c>
      <c r="AA514" s="4">
        <v>0</v>
      </c>
      <c r="AB514" s="4">
        <v>0</v>
      </c>
      <c r="AC514" s="4">
        <v>4</v>
      </c>
      <c r="AD514" s="4">
        <v>22</v>
      </c>
      <c r="AE514" s="3" t="s">
        <v>58</v>
      </c>
      <c r="AG514">
        <f t="shared" ca="1" si="21"/>
        <v>4</v>
      </c>
      <c r="AH514" s="23" t="str" cm="1">
        <f t="array" ref="AH514">_xlfn.IFS(E514&gt;49,"50+",E514&gt;39,"40-49",E514&gt;29,"30-39",E514&gt;19,"20-29")</f>
        <v>30-39</v>
      </c>
      <c r="AI514" s="24" t="str" cm="1">
        <f t="array" aca="1" ref="AI514" ca="1">_xlfn.IFS(AG514&gt;10,"10+",AG514&gt;4,"5-10 YIL",AG514&gt;2,"3-5 YIL",AG514&gt;0.9,"1-3 YIL",AG514&lt;1,"0-1 YIL")</f>
        <v>3-5 YIL</v>
      </c>
      <c r="AJ514">
        <f t="shared" si="22"/>
        <v>2021</v>
      </c>
      <c r="AK514" t="e">
        <f t="shared" si="23"/>
        <v>#VALUE!</v>
      </c>
    </row>
    <row r="515" spans="1:37" x14ac:dyDescent="0.3">
      <c r="A515" s="6" t="s">
        <v>912</v>
      </c>
      <c r="B515" s="7" t="s">
        <v>913</v>
      </c>
      <c r="C515" s="6" t="s">
        <v>48</v>
      </c>
      <c r="D515" s="14">
        <v>27176</v>
      </c>
      <c r="E515" s="8">
        <v>52</v>
      </c>
      <c r="F515" s="6" t="s">
        <v>34</v>
      </c>
      <c r="G515" s="8">
        <v>0</v>
      </c>
      <c r="H515" s="6" t="s">
        <v>35</v>
      </c>
      <c r="I515" s="7" t="s">
        <v>70</v>
      </c>
      <c r="J515" s="7" t="s">
        <v>129</v>
      </c>
      <c r="K515" s="6" t="s">
        <v>79</v>
      </c>
      <c r="L515" s="6" t="s">
        <v>63</v>
      </c>
      <c r="M515" s="7" t="s">
        <v>80</v>
      </c>
      <c r="N515" s="6" t="s">
        <v>41</v>
      </c>
      <c r="O515" s="14">
        <v>40529</v>
      </c>
      <c r="P515" s="6" t="s">
        <v>44</v>
      </c>
      <c r="Q515" s="7" t="s">
        <v>44</v>
      </c>
      <c r="R515" s="6" t="s">
        <v>44</v>
      </c>
      <c r="S515" s="6" t="s">
        <v>56</v>
      </c>
      <c r="T515" s="9">
        <v>123100</v>
      </c>
      <c r="U515" s="9">
        <v>0</v>
      </c>
      <c r="V515" s="8">
        <v>3</v>
      </c>
      <c r="W515" s="8">
        <v>30</v>
      </c>
      <c r="X515" s="6" t="s">
        <v>44</v>
      </c>
      <c r="Y515" s="8">
        <v>0</v>
      </c>
      <c r="Z515" s="8">
        <v>7</v>
      </c>
      <c r="AA515" s="8">
        <v>0</v>
      </c>
      <c r="AB515" s="8">
        <v>0</v>
      </c>
      <c r="AC515" s="8">
        <v>3</v>
      </c>
      <c r="AD515" s="8">
        <v>15</v>
      </c>
      <c r="AE515" s="7" t="s">
        <v>58</v>
      </c>
      <c r="AG515">
        <f t="shared" ref="AG515:AG578" ca="1" si="24">DATEDIF(O515,TODAY(),"Y")</f>
        <v>15</v>
      </c>
      <c r="AH515" s="23" t="str" cm="1">
        <f t="array" ref="AH515">_xlfn.IFS(E515&gt;49,"50+",E515&gt;39,"40-49",E515&gt;29,"30-39",E515&gt;19,"20-29")</f>
        <v>50+</v>
      </c>
      <c r="AI515" s="24" t="str" cm="1">
        <f t="array" aca="1" ref="AI515" ca="1">_xlfn.IFS(AG515&gt;10,"10+",AG515&gt;4,"5-10 YIL",AG515&gt;2,"3-5 YIL",AG515&gt;0.9,"1-3 YIL",AG515&lt;1,"0-1 YIL")</f>
        <v>10+</v>
      </c>
      <c r="AJ515">
        <f t="shared" ref="AJ515:AJ578" si="25">YEAR(O515)</f>
        <v>2010</v>
      </c>
      <c r="AK515" t="e">
        <f t="shared" ref="AK515:AK578" si="26">YEAR(P515)</f>
        <v>#VALUE!</v>
      </c>
    </row>
    <row r="516" spans="1:37" x14ac:dyDescent="0.3">
      <c r="A516" s="2" t="s">
        <v>914</v>
      </c>
      <c r="B516" s="3" t="s">
        <v>761</v>
      </c>
      <c r="C516" s="2" t="s">
        <v>33</v>
      </c>
      <c r="D516" s="13">
        <v>33932</v>
      </c>
      <c r="E516" s="4">
        <v>34</v>
      </c>
      <c r="F516" s="2" t="s">
        <v>49</v>
      </c>
      <c r="G516" s="4">
        <v>1</v>
      </c>
      <c r="H516" s="2" t="s">
        <v>88</v>
      </c>
      <c r="I516" s="3" t="s">
        <v>36</v>
      </c>
      <c r="J516" s="3" t="s">
        <v>50</v>
      </c>
      <c r="K516" s="2" t="s">
        <v>51</v>
      </c>
      <c r="L516" s="2" t="s">
        <v>39</v>
      </c>
      <c r="M516" s="3" t="s">
        <v>40</v>
      </c>
      <c r="N516" s="2" t="s">
        <v>41</v>
      </c>
      <c r="O516" s="13">
        <v>41808</v>
      </c>
      <c r="P516" s="2" t="s">
        <v>44</v>
      </c>
      <c r="Q516" s="3" t="s">
        <v>44</v>
      </c>
      <c r="R516" s="2" t="s">
        <v>44</v>
      </c>
      <c r="S516" s="2" t="s">
        <v>56</v>
      </c>
      <c r="T516" s="5">
        <v>39800</v>
      </c>
      <c r="U516" s="5">
        <v>0</v>
      </c>
      <c r="V516" s="4">
        <v>16</v>
      </c>
      <c r="W516" s="4">
        <v>30</v>
      </c>
      <c r="X516" s="2" t="s">
        <v>44</v>
      </c>
      <c r="Y516" s="4">
        <v>0</v>
      </c>
      <c r="Z516" s="4">
        <v>11</v>
      </c>
      <c r="AA516" s="4">
        <v>0</v>
      </c>
      <c r="AB516" s="4">
        <v>0</v>
      </c>
      <c r="AC516" s="4">
        <v>3</v>
      </c>
      <c r="AD516" s="4">
        <v>10</v>
      </c>
      <c r="AE516" s="3" t="s">
        <v>96</v>
      </c>
      <c r="AG516">
        <f t="shared" ca="1" si="24"/>
        <v>12</v>
      </c>
      <c r="AH516" s="23" t="str" cm="1">
        <f t="array" ref="AH516">_xlfn.IFS(E516&gt;49,"50+",E516&gt;39,"40-49",E516&gt;29,"30-39",E516&gt;19,"20-29")</f>
        <v>30-39</v>
      </c>
      <c r="AI516" s="24" t="str" cm="1">
        <f t="array" aca="1" ref="AI516" ca="1">_xlfn.IFS(AG516&gt;10,"10+",AG516&gt;4,"5-10 YIL",AG516&gt;2,"3-5 YIL",AG516&gt;0.9,"1-3 YIL",AG516&lt;1,"0-1 YIL")</f>
        <v>10+</v>
      </c>
      <c r="AJ516">
        <f t="shared" si="25"/>
        <v>2014</v>
      </c>
      <c r="AK516" t="e">
        <f t="shared" si="26"/>
        <v>#VALUE!</v>
      </c>
    </row>
    <row r="517" spans="1:37" x14ac:dyDescent="0.3">
      <c r="A517" s="6" t="s">
        <v>915</v>
      </c>
      <c r="B517" s="7" t="s">
        <v>239</v>
      </c>
      <c r="C517" s="6" t="s">
        <v>33</v>
      </c>
      <c r="D517" s="14">
        <v>36435</v>
      </c>
      <c r="E517" s="8">
        <v>27</v>
      </c>
      <c r="F517" s="6" t="s">
        <v>49</v>
      </c>
      <c r="G517" s="8">
        <v>0</v>
      </c>
      <c r="H517" s="6" t="s">
        <v>35</v>
      </c>
      <c r="I517" s="7" t="s">
        <v>61</v>
      </c>
      <c r="J517" s="7" t="s">
        <v>62</v>
      </c>
      <c r="K517" s="6" t="s">
        <v>38</v>
      </c>
      <c r="L517" s="6" t="s">
        <v>63</v>
      </c>
      <c r="M517" s="7" t="s">
        <v>64</v>
      </c>
      <c r="N517" s="6" t="s">
        <v>41</v>
      </c>
      <c r="O517" s="14">
        <v>44885</v>
      </c>
      <c r="P517" s="6" t="s">
        <v>44</v>
      </c>
      <c r="Q517" s="7" t="s">
        <v>44</v>
      </c>
      <c r="R517" s="6" t="s">
        <v>44</v>
      </c>
      <c r="S517" s="6" t="s">
        <v>56</v>
      </c>
      <c r="T517" s="9">
        <v>35600</v>
      </c>
      <c r="U517" s="9">
        <v>0</v>
      </c>
      <c r="V517" s="8">
        <v>3</v>
      </c>
      <c r="W517" s="8">
        <v>29</v>
      </c>
      <c r="X517" s="6" t="s">
        <v>57</v>
      </c>
      <c r="Y517" s="8">
        <v>1</v>
      </c>
      <c r="Z517" s="8">
        <v>3</v>
      </c>
      <c r="AA517" s="8">
        <v>0</v>
      </c>
      <c r="AB517" s="8">
        <v>0</v>
      </c>
      <c r="AC517" s="8">
        <v>2</v>
      </c>
      <c r="AD517" s="8">
        <v>19</v>
      </c>
      <c r="AE517" s="7" t="s">
        <v>45</v>
      </c>
      <c r="AG517">
        <f t="shared" ca="1" si="24"/>
        <v>3</v>
      </c>
      <c r="AH517" s="23" t="str" cm="1">
        <f t="array" ref="AH517">_xlfn.IFS(E517&gt;49,"50+",E517&gt;39,"40-49",E517&gt;29,"30-39",E517&gt;19,"20-29")</f>
        <v>20-29</v>
      </c>
      <c r="AI517" s="24" t="str" cm="1">
        <f t="array" aca="1" ref="AI517" ca="1">_xlfn.IFS(AG517&gt;10,"10+",AG517&gt;4,"5-10 YIL",AG517&gt;2,"3-5 YIL",AG517&gt;0.9,"1-3 YIL",AG517&lt;1,"0-1 YIL")</f>
        <v>3-5 YIL</v>
      </c>
      <c r="AJ517">
        <f t="shared" si="25"/>
        <v>2022</v>
      </c>
      <c r="AK517" t="e">
        <f t="shared" si="26"/>
        <v>#VALUE!</v>
      </c>
    </row>
    <row r="518" spans="1:37" x14ac:dyDescent="0.3">
      <c r="A518" s="2" t="s">
        <v>916</v>
      </c>
      <c r="B518" s="3" t="s">
        <v>106</v>
      </c>
      <c r="C518" s="2" t="s">
        <v>33</v>
      </c>
      <c r="D518" s="13">
        <v>32922</v>
      </c>
      <c r="E518" s="4">
        <v>36</v>
      </c>
      <c r="F518" s="2" t="s">
        <v>49</v>
      </c>
      <c r="G518" s="4">
        <v>1</v>
      </c>
      <c r="H518" s="2" t="s">
        <v>35</v>
      </c>
      <c r="I518" s="3" t="s">
        <v>139</v>
      </c>
      <c r="J518" s="3" t="s">
        <v>161</v>
      </c>
      <c r="K518" s="2" t="s">
        <v>51</v>
      </c>
      <c r="L518" s="2" t="s">
        <v>63</v>
      </c>
      <c r="M518" s="3" t="s">
        <v>162</v>
      </c>
      <c r="N518" s="2" t="s">
        <v>67</v>
      </c>
      <c r="O518" s="13">
        <v>42907</v>
      </c>
      <c r="P518" s="13">
        <v>44550</v>
      </c>
      <c r="Q518" s="3" t="s">
        <v>53</v>
      </c>
      <c r="R518" s="2">
        <v>4</v>
      </c>
      <c r="S518" s="2" t="s">
        <v>43</v>
      </c>
      <c r="T518" s="5">
        <v>85500</v>
      </c>
      <c r="U518" s="5">
        <v>0</v>
      </c>
      <c r="V518" s="4">
        <v>1</v>
      </c>
      <c r="W518" s="4">
        <v>29</v>
      </c>
      <c r="X518" s="2" t="s">
        <v>57</v>
      </c>
      <c r="Y518" s="4">
        <v>1</v>
      </c>
      <c r="Z518" s="4">
        <v>12</v>
      </c>
      <c r="AA518" s="4">
        <v>0</v>
      </c>
      <c r="AB518" s="4">
        <v>0</v>
      </c>
      <c r="AC518" s="4">
        <v>5</v>
      </c>
      <c r="AD518" s="4">
        <v>21</v>
      </c>
      <c r="AE518" s="3" t="s">
        <v>58</v>
      </c>
      <c r="AG518">
        <f t="shared" ca="1" si="24"/>
        <v>9</v>
      </c>
      <c r="AH518" s="23" t="str" cm="1">
        <f t="array" ref="AH518">_xlfn.IFS(E518&gt;49,"50+",E518&gt;39,"40-49",E518&gt;29,"30-39",E518&gt;19,"20-29")</f>
        <v>30-39</v>
      </c>
      <c r="AI518" s="24" t="str" cm="1">
        <f t="array" aca="1" ref="AI518" ca="1">_xlfn.IFS(AG518&gt;10,"10+",AG518&gt;4,"5-10 YIL",AG518&gt;2,"3-5 YIL",AG518&gt;0.9,"1-3 YIL",AG518&lt;1,"0-1 YIL")</f>
        <v>5-10 YIL</v>
      </c>
      <c r="AJ518">
        <f t="shared" si="25"/>
        <v>2017</v>
      </c>
      <c r="AK518">
        <f t="shared" si="26"/>
        <v>2021</v>
      </c>
    </row>
    <row r="519" spans="1:37" x14ac:dyDescent="0.3">
      <c r="A519" s="6" t="s">
        <v>917</v>
      </c>
      <c r="B519" s="7" t="s">
        <v>918</v>
      </c>
      <c r="C519" s="6" t="s">
        <v>33</v>
      </c>
      <c r="D519" s="14">
        <v>32411</v>
      </c>
      <c r="E519" s="8">
        <v>38</v>
      </c>
      <c r="F519" s="6" t="s">
        <v>49</v>
      </c>
      <c r="G519" s="8">
        <v>0</v>
      </c>
      <c r="H519" s="6" t="s">
        <v>35</v>
      </c>
      <c r="I519" s="7" t="s">
        <v>148</v>
      </c>
      <c r="J519" s="7" t="s">
        <v>149</v>
      </c>
      <c r="K519" s="6" t="s">
        <v>51</v>
      </c>
      <c r="L519" s="6" t="s">
        <v>63</v>
      </c>
      <c r="M519" s="7" t="s">
        <v>150</v>
      </c>
      <c r="N519" s="6" t="s">
        <v>41</v>
      </c>
      <c r="O519" s="14">
        <v>44444</v>
      </c>
      <c r="P519" s="6" t="s">
        <v>44</v>
      </c>
      <c r="Q519" s="7" t="s">
        <v>44</v>
      </c>
      <c r="R519" s="6" t="s">
        <v>44</v>
      </c>
      <c r="S519" s="6" t="s">
        <v>56</v>
      </c>
      <c r="T519" s="9">
        <v>54500</v>
      </c>
      <c r="U519" s="9">
        <v>0</v>
      </c>
      <c r="V519" s="8">
        <v>3</v>
      </c>
      <c r="W519" s="8">
        <v>30</v>
      </c>
      <c r="X519" s="6" t="s">
        <v>44</v>
      </c>
      <c r="Y519" s="8">
        <v>0</v>
      </c>
      <c r="Z519" s="8">
        <v>7</v>
      </c>
      <c r="AA519" s="8">
        <v>0</v>
      </c>
      <c r="AB519" s="8">
        <v>0</v>
      </c>
      <c r="AC519" s="8">
        <v>3</v>
      </c>
      <c r="AD519" s="8">
        <v>7</v>
      </c>
      <c r="AE519" s="7" t="s">
        <v>73</v>
      </c>
      <c r="AG519">
        <f t="shared" ca="1" si="24"/>
        <v>4</v>
      </c>
      <c r="AH519" s="23" t="str" cm="1">
        <f t="array" ref="AH519">_xlfn.IFS(E519&gt;49,"50+",E519&gt;39,"40-49",E519&gt;29,"30-39",E519&gt;19,"20-29")</f>
        <v>30-39</v>
      </c>
      <c r="AI519" s="24" t="str" cm="1">
        <f t="array" aca="1" ref="AI519" ca="1">_xlfn.IFS(AG519&gt;10,"10+",AG519&gt;4,"5-10 YIL",AG519&gt;2,"3-5 YIL",AG519&gt;0.9,"1-3 YIL",AG519&lt;1,"0-1 YIL")</f>
        <v>3-5 YIL</v>
      </c>
      <c r="AJ519">
        <f t="shared" si="25"/>
        <v>2021</v>
      </c>
      <c r="AK519" t="e">
        <f t="shared" si="26"/>
        <v>#VALUE!</v>
      </c>
    </row>
    <row r="520" spans="1:37" x14ac:dyDescent="0.3">
      <c r="A520" s="2" t="s">
        <v>919</v>
      </c>
      <c r="B520" s="3" t="s">
        <v>520</v>
      </c>
      <c r="C520" s="2" t="s">
        <v>48</v>
      </c>
      <c r="D520" s="13">
        <v>36294</v>
      </c>
      <c r="E520" s="4">
        <v>27</v>
      </c>
      <c r="F520" s="2" t="s">
        <v>49</v>
      </c>
      <c r="G520" s="4">
        <v>1</v>
      </c>
      <c r="H520" s="2" t="s">
        <v>35</v>
      </c>
      <c r="I520" s="3" t="s">
        <v>61</v>
      </c>
      <c r="J520" s="3" t="s">
        <v>62</v>
      </c>
      <c r="K520" s="2" t="s">
        <v>38</v>
      </c>
      <c r="L520" s="2" t="s">
        <v>63</v>
      </c>
      <c r="M520" s="3" t="s">
        <v>64</v>
      </c>
      <c r="N520" s="2" t="s">
        <v>67</v>
      </c>
      <c r="O520" s="13">
        <v>45790</v>
      </c>
      <c r="P520" s="2" t="s">
        <v>44</v>
      </c>
      <c r="Q520" s="3" t="s">
        <v>44</v>
      </c>
      <c r="R520" s="2" t="s">
        <v>44</v>
      </c>
      <c r="S520" s="2" t="s">
        <v>56</v>
      </c>
      <c r="T520" s="5">
        <v>34900</v>
      </c>
      <c r="U520" s="5">
        <v>3900</v>
      </c>
      <c r="V520" s="4">
        <v>4</v>
      </c>
      <c r="W520" s="4">
        <v>30</v>
      </c>
      <c r="X520" s="2" t="s">
        <v>44</v>
      </c>
      <c r="Y520" s="4">
        <v>0</v>
      </c>
      <c r="Z520" s="4">
        <v>0</v>
      </c>
      <c r="AA520" s="4">
        <v>0</v>
      </c>
      <c r="AB520" s="4">
        <v>0</v>
      </c>
      <c r="AC520" s="4">
        <v>3</v>
      </c>
      <c r="AD520" s="4">
        <v>7</v>
      </c>
      <c r="AE520" s="3" t="s">
        <v>58</v>
      </c>
      <c r="AG520">
        <f t="shared" ca="1" si="24"/>
        <v>1</v>
      </c>
      <c r="AH520" s="23" t="str" cm="1">
        <f t="array" ref="AH520">_xlfn.IFS(E520&gt;49,"50+",E520&gt;39,"40-49",E520&gt;29,"30-39",E520&gt;19,"20-29")</f>
        <v>20-29</v>
      </c>
      <c r="AI520" s="24" t="str" cm="1">
        <f t="array" aca="1" ref="AI520" ca="1">_xlfn.IFS(AG520&gt;10,"10+",AG520&gt;4,"5-10 YIL",AG520&gt;2,"3-5 YIL",AG520&gt;0.9,"1-3 YIL",AG520&lt;1,"0-1 YIL")</f>
        <v>1-3 YIL</v>
      </c>
      <c r="AJ520">
        <f t="shared" si="25"/>
        <v>2025</v>
      </c>
      <c r="AK520" t="e">
        <f t="shared" si="26"/>
        <v>#VALUE!</v>
      </c>
    </row>
    <row r="521" spans="1:37" x14ac:dyDescent="0.3">
      <c r="A521" s="6" t="s">
        <v>920</v>
      </c>
      <c r="B521" s="7" t="s">
        <v>376</v>
      </c>
      <c r="C521" s="6" t="s">
        <v>48</v>
      </c>
      <c r="D521" s="14">
        <v>36629</v>
      </c>
      <c r="E521" s="8">
        <v>26</v>
      </c>
      <c r="F521" s="6" t="s">
        <v>34</v>
      </c>
      <c r="G521" s="8">
        <v>0</v>
      </c>
      <c r="H521" s="6" t="s">
        <v>88</v>
      </c>
      <c r="I521" s="7" t="s">
        <v>36</v>
      </c>
      <c r="J521" s="7" t="s">
        <v>37</v>
      </c>
      <c r="K521" s="6" t="s">
        <v>38</v>
      </c>
      <c r="L521" s="6" t="s">
        <v>39</v>
      </c>
      <c r="M521" s="7" t="s">
        <v>40</v>
      </c>
      <c r="N521" s="6" t="s">
        <v>89</v>
      </c>
      <c r="O521" s="14">
        <v>44779</v>
      </c>
      <c r="P521" s="6" t="s">
        <v>44</v>
      </c>
      <c r="Q521" s="7" t="s">
        <v>44</v>
      </c>
      <c r="R521" s="6" t="s">
        <v>44</v>
      </c>
      <c r="S521" s="6" t="s">
        <v>56</v>
      </c>
      <c r="T521" s="9">
        <v>28500</v>
      </c>
      <c r="U521" s="9">
        <v>0</v>
      </c>
      <c r="V521" s="8">
        <v>38</v>
      </c>
      <c r="W521" s="8">
        <v>27</v>
      </c>
      <c r="X521" s="6" t="s">
        <v>57</v>
      </c>
      <c r="Y521" s="8">
        <v>3</v>
      </c>
      <c r="Z521" s="8">
        <v>8</v>
      </c>
      <c r="AA521" s="8">
        <v>0</v>
      </c>
      <c r="AB521" s="8">
        <v>0</v>
      </c>
      <c r="AC521" s="8">
        <v>3</v>
      </c>
      <c r="AD521" s="8">
        <v>10</v>
      </c>
      <c r="AE521" s="7" t="s">
        <v>45</v>
      </c>
      <c r="AG521">
        <f t="shared" ca="1" si="24"/>
        <v>3</v>
      </c>
      <c r="AH521" s="23" t="str" cm="1">
        <f t="array" ref="AH521">_xlfn.IFS(E521&gt;49,"50+",E521&gt;39,"40-49",E521&gt;29,"30-39",E521&gt;19,"20-29")</f>
        <v>20-29</v>
      </c>
      <c r="AI521" s="24" t="str" cm="1">
        <f t="array" aca="1" ref="AI521" ca="1">_xlfn.IFS(AG521&gt;10,"10+",AG521&gt;4,"5-10 YIL",AG521&gt;2,"3-5 YIL",AG521&gt;0.9,"1-3 YIL",AG521&lt;1,"0-1 YIL")</f>
        <v>3-5 YIL</v>
      </c>
      <c r="AJ521">
        <f t="shared" si="25"/>
        <v>2022</v>
      </c>
      <c r="AK521" t="e">
        <f t="shared" si="26"/>
        <v>#VALUE!</v>
      </c>
    </row>
    <row r="522" spans="1:37" x14ac:dyDescent="0.3">
      <c r="A522" s="2" t="s">
        <v>921</v>
      </c>
      <c r="B522" s="3" t="s">
        <v>683</v>
      </c>
      <c r="C522" s="2" t="s">
        <v>48</v>
      </c>
      <c r="D522" s="13">
        <v>38145</v>
      </c>
      <c r="E522" s="4">
        <v>22</v>
      </c>
      <c r="F522" s="2" t="s">
        <v>34</v>
      </c>
      <c r="G522" s="4">
        <v>0</v>
      </c>
      <c r="H522" s="2" t="s">
        <v>35</v>
      </c>
      <c r="I522" s="3" t="s">
        <v>36</v>
      </c>
      <c r="J522" s="3" t="s">
        <v>37</v>
      </c>
      <c r="K522" s="2" t="s">
        <v>38</v>
      </c>
      <c r="L522" s="2" t="s">
        <v>39</v>
      </c>
      <c r="M522" s="3" t="s">
        <v>40</v>
      </c>
      <c r="N522" s="2" t="s">
        <v>95</v>
      </c>
      <c r="O522" s="13">
        <v>45493</v>
      </c>
      <c r="P522" s="2" t="s">
        <v>44</v>
      </c>
      <c r="Q522" s="3" t="s">
        <v>44</v>
      </c>
      <c r="R522" s="2" t="s">
        <v>44</v>
      </c>
      <c r="S522" s="2" t="s">
        <v>56</v>
      </c>
      <c r="T522" s="5">
        <v>24200</v>
      </c>
      <c r="U522" s="5">
        <v>0</v>
      </c>
      <c r="V522" s="4">
        <v>35</v>
      </c>
      <c r="W522" s="4">
        <v>30</v>
      </c>
      <c r="X522" s="2" t="s">
        <v>44</v>
      </c>
      <c r="Y522" s="4">
        <v>0</v>
      </c>
      <c r="Z522" s="4">
        <v>10</v>
      </c>
      <c r="AA522" s="4">
        <v>0</v>
      </c>
      <c r="AB522" s="4">
        <v>0</v>
      </c>
      <c r="AC522" s="4">
        <v>5</v>
      </c>
      <c r="AD522" s="4">
        <v>13</v>
      </c>
      <c r="AE522" s="3" t="s">
        <v>45</v>
      </c>
      <c r="AG522">
        <f t="shared" ca="1" si="24"/>
        <v>1</v>
      </c>
      <c r="AH522" s="23" t="str" cm="1">
        <f t="array" ref="AH522">_xlfn.IFS(E522&gt;49,"50+",E522&gt;39,"40-49",E522&gt;29,"30-39",E522&gt;19,"20-29")</f>
        <v>20-29</v>
      </c>
      <c r="AI522" s="24" t="str" cm="1">
        <f t="array" aca="1" ref="AI522" ca="1">_xlfn.IFS(AG522&gt;10,"10+",AG522&gt;4,"5-10 YIL",AG522&gt;2,"3-5 YIL",AG522&gt;0.9,"1-3 YIL",AG522&lt;1,"0-1 YIL")</f>
        <v>1-3 YIL</v>
      </c>
      <c r="AJ522">
        <f t="shared" si="25"/>
        <v>2024</v>
      </c>
      <c r="AK522" t="e">
        <f t="shared" si="26"/>
        <v>#VALUE!</v>
      </c>
    </row>
    <row r="523" spans="1:37" x14ac:dyDescent="0.3">
      <c r="A523" s="6" t="s">
        <v>922</v>
      </c>
      <c r="B523" s="7" t="s">
        <v>923</v>
      </c>
      <c r="C523" s="6" t="s">
        <v>33</v>
      </c>
      <c r="D523" s="14">
        <v>32271</v>
      </c>
      <c r="E523" s="8">
        <v>38</v>
      </c>
      <c r="F523" s="6" t="s">
        <v>49</v>
      </c>
      <c r="G523" s="8">
        <v>1</v>
      </c>
      <c r="H523" s="6" t="s">
        <v>35</v>
      </c>
      <c r="I523" s="7" t="s">
        <v>148</v>
      </c>
      <c r="J523" s="7" t="s">
        <v>149</v>
      </c>
      <c r="K523" s="6" t="s">
        <v>51</v>
      </c>
      <c r="L523" s="6" t="s">
        <v>63</v>
      </c>
      <c r="M523" s="7" t="s">
        <v>150</v>
      </c>
      <c r="N523" s="6" t="s">
        <v>41</v>
      </c>
      <c r="O523" s="14">
        <v>44156</v>
      </c>
      <c r="P523" s="6" t="s">
        <v>44</v>
      </c>
      <c r="Q523" s="7" t="s">
        <v>44</v>
      </c>
      <c r="R523" s="6" t="s">
        <v>44</v>
      </c>
      <c r="S523" s="6" t="s">
        <v>56</v>
      </c>
      <c r="T523" s="9">
        <v>54500</v>
      </c>
      <c r="U523" s="9">
        <v>3000</v>
      </c>
      <c r="V523" s="8">
        <v>9</v>
      </c>
      <c r="W523" s="8">
        <v>28</v>
      </c>
      <c r="X523" s="6" t="s">
        <v>57</v>
      </c>
      <c r="Y523" s="8">
        <v>2</v>
      </c>
      <c r="Z523" s="8">
        <v>8</v>
      </c>
      <c r="AA523" s="8">
        <v>0</v>
      </c>
      <c r="AB523" s="8">
        <v>0</v>
      </c>
      <c r="AC523" s="8">
        <v>1</v>
      </c>
      <c r="AD523" s="8">
        <v>14</v>
      </c>
      <c r="AE523" s="7" t="s">
        <v>82</v>
      </c>
      <c r="AG523">
        <f t="shared" ca="1" si="24"/>
        <v>5</v>
      </c>
      <c r="AH523" s="23" t="str" cm="1">
        <f t="array" ref="AH523">_xlfn.IFS(E523&gt;49,"50+",E523&gt;39,"40-49",E523&gt;29,"30-39",E523&gt;19,"20-29")</f>
        <v>30-39</v>
      </c>
      <c r="AI523" s="24" t="str" cm="1">
        <f t="array" aca="1" ref="AI523" ca="1">_xlfn.IFS(AG523&gt;10,"10+",AG523&gt;4,"5-10 YIL",AG523&gt;2,"3-5 YIL",AG523&gt;0.9,"1-3 YIL",AG523&lt;1,"0-1 YIL")</f>
        <v>5-10 YIL</v>
      </c>
      <c r="AJ523">
        <f t="shared" si="25"/>
        <v>2020</v>
      </c>
      <c r="AK523" t="e">
        <f t="shared" si="26"/>
        <v>#VALUE!</v>
      </c>
    </row>
    <row r="524" spans="1:37" x14ac:dyDescent="0.3">
      <c r="A524" s="2" t="s">
        <v>924</v>
      </c>
      <c r="B524" s="3" t="s">
        <v>899</v>
      </c>
      <c r="C524" s="2" t="s">
        <v>48</v>
      </c>
      <c r="D524" s="13">
        <v>31182</v>
      </c>
      <c r="E524" s="4">
        <v>41</v>
      </c>
      <c r="F524" s="2" t="s">
        <v>49</v>
      </c>
      <c r="G524" s="4">
        <v>1</v>
      </c>
      <c r="H524" s="2" t="s">
        <v>35</v>
      </c>
      <c r="I524" s="3" t="s">
        <v>70</v>
      </c>
      <c r="J524" s="3" t="s">
        <v>71</v>
      </c>
      <c r="K524" s="2" t="s">
        <v>51</v>
      </c>
      <c r="L524" s="2" t="s">
        <v>63</v>
      </c>
      <c r="M524" s="3" t="s">
        <v>72</v>
      </c>
      <c r="N524" s="2" t="s">
        <v>41</v>
      </c>
      <c r="O524" s="13">
        <v>42924</v>
      </c>
      <c r="P524" s="2" t="s">
        <v>44</v>
      </c>
      <c r="Q524" s="3" t="s">
        <v>44</v>
      </c>
      <c r="R524" s="2" t="s">
        <v>44</v>
      </c>
      <c r="S524" s="2" t="s">
        <v>56</v>
      </c>
      <c r="T524" s="5">
        <v>60600</v>
      </c>
      <c r="U524" s="5">
        <v>0</v>
      </c>
      <c r="V524" s="4">
        <v>5</v>
      </c>
      <c r="W524" s="4">
        <v>28</v>
      </c>
      <c r="X524" s="2" t="s">
        <v>57</v>
      </c>
      <c r="Y524" s="4">
        <v>2</v>
      </c>
      <c r="Z524" s="4">
        <v>1</v>
      </c>
      <c r="AA524" s="4">
        <v>0</v>
      </c>
      <c r="AB524" s="4">
        <v>0</v>
      </c>
      <c r="AC524" s="4">
        <v>3</v>
      </c>
      <c r="AD524" s="4">
        <v>16</v>
      </c>
      <c r="AE524" s="3" t="s">
        <v>45</v>
      </c>
      <c r="AG524">
        <f t="shared" ca="1" si="24"/>
        <v>8</v>
      </c>
      <c r="AH524" s="23" t="str" cm="1">
        <f t="array" ref="AH524">_xlfn.IFS(E524&gt;49,"50+",E524&gt;39,"40-49",E524&gt;29,"30-39",E524&gt;19,"20-29")</f>
        <v>40-49</v>
      </c>
      <c r="AI524" s="24" t="str" cm="1">
        <f t="array" aca="1" ref="AI524" ca="1">_xlfn.IFS(AG524&gt;10,"10+",AG524&gt;4,"5-10 YIL",AG524&gt;2,"3-5 YIL",AG524&gt;0.9,"1-3 YIL",AG524&lt;1,"0-1 YIL")</f>
        <v>5-10 YIL</v>
      </c>
      <c r="AJ524">
        <f t="shared" si="25"/>
        <v>2017</v>
      </c>
      <c r="AK524" t="e">
        <f t="shared" si="26"/>
        <v>#VALUE!</v>
      </c>
    </row>
    <row r="525" spans="1:37" x14ac:dyDescent="0.3">
      <c r="A525" s="6" t="s">
        <v>925</v>
      </c>
      <c r="B525" s="7" t="s">
        <v>622</v>
      </c>
      <c r="C525" s="6" t="s">
        <v>48</v>
      </c>
      <c r="D525" s="14">
        <v>34852</v>
      </c>
      <c r="E525" s="8">
        <v>31</v>
      </c>
      <c r="F525" s="6" t="s">
        <v>34</v>
      </c>
      <c r="G525" s="8">
        <v>0</v>
      </c>
      <c r="H525" s="6" t="s">
        <v>35</v>
      </c>
      <c r="I525" s="7" t="s">
        <v>36</v>
      </c>
      <c r="J525" s="7" t="s">
        <v>50</v>
      </c>
      <c r="K525" s="6" t="s">
        <v>51</v>
      </c>
      <c r="L525" s="6" t="s">
        <v>39</v>
      </c>
      <c r="M525" s="7" t="s">
        <v>40</v>
      </c>
      <c r="N525" s="6" t="s">
        <v>41</v>
      </c>
      <c r="O525" s="14">
        <v>44036</v>
      </c>
      <c r="P525" s="6" t="s">
        <v>44</v>
      </c>
      <c r="Q525" s="7" t="s">
        <v>44</v>
      </c>
      <c r="R525" s="6" t="s">
        <v>44</v>
      </c>
      <c r="S525" s="6" t="s">
        <v>56</v>
      </c>
      <c r="T525" s="9">
        <v>38900</v>
      </c>
      <c r="U525" s="9">
        <v>0</v>
      </c>
      <c r="V525" s="8">
        <v>26</v>
      </c>
      <c r="W525" s="8">
        <v>30</v>
      </c>
      <c r="X525" s="6" t="s">
        <v>44</v>
      </c>
      <c r="Y525" s="8">
        <v>0</v>
      </c>
      <c r="Z525" s="8">
        <v>1</v>
      </c>
      <c r="AA525" s="8">
        <v>0</v>
      </c>
      <c r="AB525" s="8">
        <v>0</v>
      </c>
      <c r="AC525" s="8">
        <v>4</v>
      </c>
      <c r="AD525" s="8">
        <v>25</v>
      </c>
      <c r="AE525" s="7" t="s">
        <v>82</v>
      </c>
      <c r="AG525">
        <f t="shared" ca="1" si="24"/>
        <v>5</v>
      </c>
      <c r="AH525" s="23" t="str" cm="1">
        <f t="array" ref="AH525">_xlfn.IFS(E525&gt;49,"50+",E525&gt;39,"40-49",E525&gt;29,"30-39",E525&gt;19,"20-29")</f>
        <v>30-39</v>
      </c>
      <c r="AI525" s="24" t="str" cm="1">
        <f t="array" aca="1" ref="AI525" ca="1">_xlfn.IFS(AG525&gt;10,"10+",AG525&gt;4,"5-10 YIL",AG525&gt;2,"3-5 YIL",AG525&gt;0.9,"1-3 YIL",AG525&lt;1,"0-1 YIL")</f>
        <v>5-10 YIL</v>
      </c>
      <c r="AJ525">
        <f t="shared" si="25"/>
        <v>2020</v>
      </c>
      <c r="AK525" t="e">
        <f t="shared" si="26"/>
        <v>#VALUE!</v>
      </c>
    </row>
    <row r="526" spans="1:37" x14ac:dyDescent="0.3">
      <c r="A526" s="2" t="s">
        <v>926</v>
      </c>
      <c r="B526" s="3" t="s">
        <v>727</v>
      </c>
      <c r="C526" s="2" t="s">
        <v>48</v>
      </c>
      <c r="D526" s="13">
        <v>36263</v>
      </c>
      <c r="E526" s="4">
        <v>27</v>
      </c>
      <c r="F526" s="2" t="s">
        <v>49</v>
      </c>
      <c r="G526" s="4">
        <v>0</v>
      </c>
      <c r="H526" s="2" t="s">
        <v>85</v>
      </c>
      <c r="I526" s="3" t="s">
        <v>36</v>
      </c>
      <c r="J526" s="3" t="s">
        <v>37</v>
      </c>
      <c r="K526" s="2" t="s">
        <v>38</v>
      </c>
      <c r="L526" s="2" t="s">
        <v>39</v>
      </c>
      <c r="M526" s="3" t="s">
        <v>40</v>
      </c>
      <c r="N526" s="2" t="s">
        <v>41</v>
      </c>
      <c r="O526" s="13">
        <v>45791</v>
      </c>
      <c r="P526" s="2" t="s">
        <v>44</v>
      </c>
      <c r="Q526" s="3" t="s">
        <v>44</v>
      </c>
      <c r="R526" s="2" t="s">
        <v>44</v>
      </c>
      <c r="S526" s="2" t="s">
        <v>56</v>
      </c>
      <c r="T526" s="5">
        <v>25700</v>
      </c>
      <c r="U526" s="5">
        <v>0</v>
      </c>
      <c r="V526" s="4">
        <v>25</v>
      </c>
      <c r="W526" s="4">
        <v>30</v>
      </c>
      <c r="X526" s="2" t="s">
        <v>44</v>
      </c>
      <c r="Y526" s="4">
        <v>0</v>
      </c>
      <c r="Z526" s="4">
        <v>2</v>
      </c>
      <c r="AA526" s="4">
        <v>0</v>
      </c>
      <c r="AB526" s="4">
        <v>0</v>
      </c>
      <c r="AC526" s="4">
        <v>3</v>
      </c>
      <c r="AD526" s="4">
        <v>3</v>
      </c>
      <c r="AE526" s="3" t="s">
        <v>58</v>
      </c>
      <c r="AG526">
        <f t="shared" ca="1" si="24"/>
        <v>1</v>
      </c>
      <c r="AH526" s="23" t="str" cm="1">
        <f t="array" ref="AH526">_xlfn.IFS(E526&gt;49,"50+",E526&gt;39,"40-49",E526&gt;29,"30-39",E526&gt;19,"20-29")</f>
        <v>20-29</v>
      </c>
      <c r="AI526" s="24" t="str" cm="1">
        <f t="array" aca="1" ref="AI526" ca="1">_xlfn.IFS(AG526&gt;10,"10+",AG526&gt;4,"5-10 YIL",AG526&gt;2,"3-5 YIL",AG526&gt;0.9,"1-3 YIL",AG526&lt;1,"0-1 YIL")</f>
        <v>1-3 YIL</v>
      </c>
      <c r="AJ526">
        <f t="shared" si="25"/>
        <v>2025</v>
      </c>
      <c r="AK526" t="e">
        <f t="shared" si="26"/>
        <v>#VALUE!</v>
      </c>
    </row>
    <row r="527" spans="1:37" x14ac:dyDescent="0.3">
      <c r="A527" s="6" t="s">
        <v>927</v>
      </c>
      <c r="B527" s="7" t="s">
        <v>211</v>
      </c>
      <c r="C527" s="6" t="s">
        <v>33</v>
      </c>
      <c r="D527" s="14">
        <v>37671</v>
      </c>
      <c r="E527" s="8">
        <v>23</v>
      </c>
      <c r="F527" s="6" t="s">
        <v>34</v>
      </c>
      <c r="G527" s="8">
        <v>0</v>
      </c>
      <c r="H527" s="6" t="s">
        <v>85</v>
      </c>
      <c r="I527" s="7" t="s">
        <v>36</v>
      </c>
      <c r="J527" s="7" t="s">
        <v>37</v>
      </c>
      <c r="K527" s="6" t="s">
        <v>38</v>
      </c>
      <c r="L527" s="6" t="s">
        <v>39</v>
      </c>
      <c r="M527" s="7" t="s">
        <v>40</v>
      </c>
      <c r="N527" s="6" t="s">
        <v>41</v>
      </c>
      <c r="O527" s="14">
        <v>45008</v>
      </c>
      <c r="P527" s="6" t="s">
        <v>44</v>
      </c>
      <c r="Q527" s="7" t="s">
        <v>44</v>
      </c>
      <c r="R527" s="6" t="s">
        <v>44</v>
      </c>
      <c r="S527" s="6" t="s">
        <v>56</v>
      </c>
      <c r="T527" s="9">
        <v>26300</v>
      </c>
      <c r="U527" s="9">
        <v>0</v>
      </c>
      <c r="V527" s="8">
        <v>32</v>
      </c>
      <c r="W527" s="8">
        <v>29</v>
      </c>
      <c r="X527" s="6" t="s">
        <v>57</v>
      </c>
      <c r="Y527" s="8">
        <v>1</v>
      </c>
      <c r="Z527" s="8">
        <v>3</v>
      </c>
      <c r="AA527" s="8">
        <v>0</v>
      </c>
      <c r="AB527" s="8">
        <v>0</v>
      </c>
      <c r="AC527" s="8">
        <v>3</v>
      </c>
      <c r="AD527" s="8">
        <v>9</v>
      </c>
      <c r="AE527" s="7" t="s">
        <v>73</v>
      </c>
      <c r="AG527">
        <f t="shared" ca="1" si="24"/>
        <v>3</v>
      </c>
      <c r="AH527" s="23" t="str" cm="1">
        <f t="array" ref="AH527">_xlfn.IFS(E527&gt;49,"50+",E527&gt;39,"40-49",E527&gt;29,"30-39",E527&gt;19,"20-29")</f>
        <v>20-29</v>
      </c>
      <c r="AI527" s="24" t="str" cm="1">
        <f t="array" aca="1" ref="AI527" ca="1">_xlfn.IFS(AG527&gt;10,"10+",AG527&gt;4,"5-10 YIL",AG527&gt;2,"3-5 YIL",AG527&gt;0.9,"1-3 YIL",AG527&lt;1,"0-1 YIL")</f>
        <v>3-5 YIL</v>
      </c>
      <c r="AJ527">
        <f t="shared" si="25"/>
        <v>2023</v>
      </c>
      <c r="AK527" t="e">
        <f t="shared" si="26"/>
        <v>#VALUE!</v>
      </c>
    </row>
    <row r="528" spans="1:37" x14ac:dyDescent="0.3">
      <c r="A528" s="2" t="s">
        <v>928</v>
      </c>
      <c r="B528" s="3" t="s">
        <v>929</v>
      </c>
      <c r="C528" s="2" t="s">
        <v>33</v>
      </c>
      <c r="D528" s="13">
        <v>37973</v>
      </c>
      <c r="E528" s="4">
        <v>23</v>
      </c>
      <c r="F528" s="2" t="s">
        <v>49</v>
      </c>
      <c r="G528" s="4">
        <v>2</v>
      </c>
      <c r="H528" s="2" t="s">
        <v>35</v>
      </c>
      <c r="I528" s="3" t="s">
        <v>36</v>
      </c>
      <c r="J528" s="3" t="s">
        <v>37</v>
      </c>
      <c r="K528" s="2" t="s">
        <v>38</v>
      </c>
      <c r="L528" s="2" t="s">
        <v>39</v>
      </c>
      <c r="M528" s="3" t="s">
        <v>40</v>
      </c>
      <c r="N528" s="2" t="s">
        <v>41</v>
      </c>
      <c r="O528" s="13">
        <v>45302</v>
      </c>
      <c r="P528" s="2" t="s">
        <v>44</v>
      </c>
      <c r="Q528" s="3" t="s">
        <v>44</v>
      </c>
      <c r="R528" s="2" t="s">
        <v>44</v>
      </c>
      <c r="S528" s="2" t="s">
        <v>56</v>
      </c>
      <c r="T528" s="5">
        <v>28600</v>
      </c>
      <c r="U528" s="5">
        <v>0</v>
      </c>
      <c r="V528" s="4">
        <v>39</v>
      </c>
      <c r="W528" s="4">
        <v>30</v>
      </c>
      <c r="X528" s="2" t="s">
        <v>44</v>
      </c>
      <c r="Y528" s="4">
        <v>0</v>
      </c>
      <c r="Z528" s="4">
        <v>12</v>
      </c>
      <c r="AA528" s="4">
        <v>0</v>
      </c>
      <c r="AB528" s="4">
        <v>0</v>
      </c>
      <c r="AC528" s="4">
        <v>2</v>
      </c>
      <c r="AD528" s="4">
        <v>11</v>
      </c>
      <c r="AE528" s="3" t="s">
        <v>82</v>
      </c>
      <c r="AG528">
        <f t="shared" ca="1" si="24"/>
        <v>2</v>
      </c>
      <c r="AH528" s="23" t="str" cm="1">
        <f t="array" ref="AH528">_xlfn.IFS(E528&gt;49,"50+",E528&gt;39,"40-49",E528&gt;29,"30-39",E528&gt;19,"20-29")</f>
        <v>20-29</v>
      </c>
      <c r="AI528" s="24" t="str" cm="1">
        <f t="array" aca="1" ref="AI528" ca="1">_xlfn.IFS(AG528&gt;10,"10+",AG528&gt;4,"5-10 YIL",AG528&gt;2,"3-5 YIL",AG528&gt;0.9,"1-3 YIL",AG528&lt;1,"0-1 YIL")</f>
        <v>1-3 YIL</v>
      </c>
      <c r="AJ528">
        <f t="shared" si="25"/>
        <v>2024</v>
      </c>
      <c r="AK528" t="e">
        <f t="shared" si="26"/>
        <v>#VALUE!</v>
      </c>
    </row>
    <row r="529" spans="1:37" x14ac:dyDescent="0.3">
      <c r="A529" s="6" t="s">
        <v>930</v>
      </c>
      <c r="B529" s="7" t="s">
        <v>541</v>
      </c>
      <c r="C529" s="6" t="s">
        <v>33</v>
      </c>
      <c r="D529" s="14">
        <v>36437</v>
      </c>
      <c r="E529" s="8">
        <v>27</v>
      </c>
      <c r="F529" s="6" t="s">
        <v>49</v>
      </c>
      <c r="G529" s="8">
        <v>0</v>
      </c>
      <c r="H529" s="6" t="s">
        <v>35</v>
      </c>
      <c r="I529" s="7" t="s">
        <v>70</v>
      </c>
      <c r="J529" s="7" t="s">
        <v>92</v>
      </c>
      <c r="K529" s="6" t="s">
        <v>38</v>
      </c>
      <c r="L529" s="6" t="s">
        <v>63</v>
      </c>
      <c r="M529" s="7" t="s">
        <v>72</v>
      </c>
      <c r="N529" s="6" t="s">
        <v>41</v>
      </c>
      <c r="O529" s="14">
        <v>45034</v>
      </c>
      <c r="P529" s="6" t="s">
        <v>44</v>
      </c>
      <c r="Q529" s="7" t="s">
        <v>44</v>
      </c>
      <c r="R529" s="6" t="s">
        <v>44</v>
      </c>
      <c r="S529" s="6" t="s">
        <v>56</v>
      </c>
      <c r="T529" s="9">
        <v>37900</v>
      </c>
      <c r="U529" s="9">
        <v>0</v>
      </c>
      <c r="V529" s="8">
        <v>0</v>
      </c>
      <c r="W529" s="8">
        <v>27</v>
      </c>
      <c r="X529" s="6" t="s">
        <v>57</v>
      </c>
      <c r="Y529" s="8">
        <v>3</v>
      </c>
      <c r="Z529" s="8">
        <v>10</v>
      </c>
      <c r="AA529" s="8">
        <v>0</v>
      </c>
      <c r="AB529" s="8">
        <v>0</v>
      </c>
      <c r="AC529" s="8">
        <v>4</v>
      </c>
      <c r="AD529" s="8">
        <v>26</v>
      </c>
      <c r="AE529" s="7" t="s">
        <v>96</v>
      </c>
      <c r="AG529">
        <f t="shared" ca="1" si="24"/>
        <v>3</v>
      </c>
      <c r="AH529" s="23" t="str" cm="1">
        <f t="array" ref="AH529">_xlfn.IFS(E529&gt;49,"50+",E529&gt;39,"40-49",E529&gt;29,"30-39",E529&gt;19,"20-29")</f>
        <v>20-29</v>
      </c>
      <c r="AI529" s="24" t="str" cm="1">
        <f t="array" aca="1" ref="AI529" ca="1">_xlfn.IFS(AG529&gt;10,"10+",AG529&gt;4,"5-10 YIL",AG529&gt;2,"3-5 YIL",AG529&gt;0.9,"1-3 YIL",AG529&lt;1,"0-1 YIL")</f>
        <v>3-5 YIL</v>
      </c>
      <c r="AJ529">
        <f t="shared" si="25"/>
        <v>2023</v>
      </c>
      <c r="AK529" t="e">
        <f t="shared" si="26"/>
        <v>#VALUE!</v>
      </c>
    </row>
    <row r="530" spans="1:37" x14ac:dyDescent="0.3">
      <c r="A530" s="2" t="s">
        <v>931</v>
      </c>
      <c r="B530" s="3" t="s">
        <v>453</v>
      </c>
      <c r="C530" s="2" t="s">
        <v>33</v>
      </c>
      <c r="D530" s="13">
        <v>37656</v>
      </c>
      <c r="E530" s="4">
        <v>23</v>
      </c>
      <c r="F530" s="2" t="s">
        <v>49</v>
      </c>
      <c r="G530" s="4">
        <v>0</v>
      </c>
      <c r="H530" s="2" t="s">
        <v>88</v>
      </c>
      <c r="I530" s="3" t="s">
        <v>70</v>
      </c>
      <c r="J530" s="3" t="s">
        <v>92</v>
      </c>
      <c r="K530" s="2" t="s">
        <v>38</v>
      </c>
      <c r="L530" s="2" t="s">
        <v>63</v>
      </c>
      <c r="M530" s="3" t="s">
        <v>72</v>
      </c>
      <c r="N530" s="2" t="s">
        <v>52</v>
      </c>
      <c r="O530" s="13">
        <v>45615</v>
      </c>
      <c r="P530" s="2" t="s">
        <v>44</v>
      </c>
      <c r="Q530" s="3" t="s">
        <v>44</v>
      </c>
      <c r="R530" s="2" t="s">
        <v>44</v>
      </c>
      <c r="S530" s="2" t="s">
        <v>56</v>
      </c>
      <c r="T530" s="5">
        <v>36900</v>
      </c>
      <c r="U530" s="5">
        <v>0</v>
      </c>
      <c r="V530" s="4">
        <v>9</v>
      </c>
      <c r="W530" s="4">
        <v>27</v>
      </c>
      <c r="X530" s="2" t="s">
        <v>57</v>
      </c>
      <c r="Y530" s="4">
        <v>3</v>
      </c>
      <c r="Z530" s="4">
        <v>11</v>
      </c>
      <c r="AA530" s="4">
        <v>0</v>
      </c>
      <c r="AB530" s="4">
        <v>0</v>
      </c>
      <c r="AC530" s="4">
        <v>2</v>
      </c>
      <c r="AD530" s="4">
        <v>18</v>
      </c>
      <c r="AE530" s="3" t="s">
        <v>73</v>
      </c>
      <c r="AG530">
        <f t="shared" ca="1" si="24"/>
        <v>1</v>
      </c>
      <c r="AH530" s="23" t="str" cm="1">
        <f t="array" ref="AH530">_xlfn.IFS(E530&gt;49,"50+",E530&gt;39,"40-49",E530&gt;29,"30-39",E530&gt;19,"20-29")</f>
        <v>20-29</v>
      </c>
      <c r="AI530" s="24" t="str" cm="1">
        <f t="array" aca="1" ref="AI530" ca="1">_xlfn.IFS(AG530&gt;10,"10+",AG530&gt;4,"5-10 YIL",AG530&gt;2,"3-5 YIL",AG530&gt;0.9,"1-3 YIL",AG530&lt;1,"0-1 YIL")</f>
        <v>1-3 YIL</v>
      </c>
      <c r="AJ530">
        <f t="shared" si="25"/>
        <v>2024</v>
      </c>
      <c r="AK530" t="e">
        <f t="shared" si="26"/>
        <v>#VALUE!</v>
      </c>
    </row>
    <row r="531" spans="1:37" x14ac:dyDescent="0.3">
      <c r="A531" s="6" t="s">
        <v>932</v>
      </c>
      <c r="B531" s="7" t="s">
        <v>309</v>
      </c>
      <c r="C531" s="6" t="s">
        <v>33</v>
      </c>
      <c r="D531" s="14">
        <v>34963</v>
      </c>
      <c r="E531" s="8">
        <v>31</v>
      </c>
      <c r="F531" s="6" t="s">
        <v>34</v>
      </c>
      <c r="G531" s="8">
        <v>0</v>
      </c>
      <c r="H531" s="6" t="s">
        <v>35</v>
      </c>
      <c r="I531" s="7" t="s">
        <v>61</v>
      </c>
      <c r="J531" s="7" t="s">
        <v>107</v>
      </c>
      <c r="K531" s="6" t="s">
        <v>51</v>
      </c>
      <c r="L531" s="6" t="s">
        <v>63</v>
      </c>
      <c r="M531" s="7" t="s">
        <v>64</v>
      </c>
      <c r="N531" s="6" t="s">
        <v>52</v>
      </c>
      <c r="O531" s="14">
        <v>42932</v>
      </c>
      <c r="P531" s="6" t="s">
        <v>44</v>
      </c>
      <c r="Q531" s="7" t="s">
        <v>44</v>
      </c>
      <c r="R531" s="6" t="s">
        <v>44</v>
      </c>
      <c r="S531" s="6" t="s">
        <v>56</v>
      </c>
      <c r="T531" s="9">
        <v>56700</v>
      </c>
      <c r="U531" s="9">
        <v>15400</v>
      </c>
      <c r="V531" s="8">
        <v>2</v>
      </c>
      <c r="W531" s="8">
        <v>30</v>
      </c>
      <c r="X531" s="6" t="s">
        <v>44</v>
      </c>
      <c r="Y531" s="8">
        <v>0</v>
      </c>
      <c r="Z531" s="8">
        <v>5</v>
      </c>
      <c r="AA531" s="8">
        <v>0</v>
      </c>
      <c r="AB531" s="8">
        <v>0</v>
      </c>
      <c r="AC531" s="8">
        <v>3</v>
      </c>
      <c r="AD531" s="8">
        <v>9</v>
      </c>
      <c r="AE531" s="7" t="s">
        <v>82</v>
      </c>
      <c r="AG531">
        <f t="shared" ca="1" si="24"/>
        <v>8</v>
      </c>
      <c r="AH531" s="23" t="str" cm="1">
        <f t="array" ref="AH531">_xlfn.IFS(E531&gt;49,"50+",E531&gt;39,"40-49",E531&gt;29,"30-39",E531&gt;19,"20-29")</f>
        <v>30-39</v>
      </c>
      <c r="AI531" s="24" t="str" cm="1">
        <f t="array" aca="1" ref="AI531" ca="1">_xlfn.IFS(AG531&gt;10,"10+",AG531&gt;4,"5-10 YIL",AG531&gt;2,"3-5 YIL",AG531&gt;0.9,"1-3 YIL",AG531&lt;1,"0-1 YIL")</f>
        <v>5-10 YIL</v>
      </c>
      <c r="AJ531">
        <f t="shared" si="25"/>
        <v>2017</v>
      </c>
      <c r="AK531" t="e">
        <f t="shared" si="26"/>
        <v>#VALUE!</v>
      </c>
    </row>
    <row r="532" spans="1:37" x14ac:dyDescent="0.3">
      <c r="A532" s="2" t="s">
        <v>933</v>
      </c>
      <c r="B532" s="3" t="s">
        <v>423</v>
      </c>
      <c r="C532" s="2" t="s">
        <v>48</v>
      </c>
      <c r="D532" s="13">
        <v>37183</v>
      </c>
      <c r="E532" s="4">
        <v>25</v>
      </c>
      <c r="F532" s="2" t="s">
        <v>49</v>
      </c>
      <c r="G532" s="4">
        <v>3</v>
      </c>
      <c r="H532" s="2" t="s">
        <v>35</v>
      </c>
      <c r="I532" s="3" t="s">
        <v>36</v>
      </c>
      <c r="J532" s="3" t="s">
        <v>37</v>
      </c>
      <c r="K532" s="2" t="s">
        <v>38</v>
      </c>
      <c r="L532" s="2" t="s">
        <v>39</v>
      </c>
      <c r="M532" s="3" t="s">
        <v>40</v>
      </c>
      <c r="N532" s="2" t="s">
        <v>41</v>
      </c>
      <c r="O532" s="13">
        <v>46047</v>
      </c>
      <c r="P532" s="2" t="s">
        <v>44</v>
      </c>
      <c r="Q532" s="3" t="s">
        <v>44</v>
      </c>
      <c r="R532" s="2" t="s">
        <v>44</v>
      </c>
      <c r="S532" s="2" t="s">
        <v>56</v>
      </c>
      <c r="T532" s="5">
        <v>24500</v>
      </c>
      <c r="U532" s="5">
        <v>0</v>
      </c>
      <c r="V532" s="4">
        <v>32</v>
      </c>
      <c r="W532" s="4">
        <v>28</v>
      </c>
      <c r="X532" s="2" t="s">
        <v>57</v>
      </c>
      <c r="Y532" s="4">
        <v>2</v>
      </c>
      <c r="Z532" s="4">
        <v>0</v>
      </c>
      <c r="AA532" s="4">
        <v>0</v>
      </c>
      <c r="AB532" s="4">
        <v>0</v>
      </c>
      <c r="AC532" s="4">
        <v>3</v>
      </c>
      <c r="AD532" s="4">
        <v>19</v>
      </c>
      <c r="AE532" s="3" t="s">
        <v>58</v>
      </c>
      <c r="AG532">
        <f t="shared" ca="1" si="24"/>
        <v>0</v>
      </c>
      <c r="AH532" s="23" t="str" cm="1">
        <f t="array" ref="AH532">_xlfn.IFS(E532&gt;49,"50+",E532&gt;39,"40-49",E532&gt;29,"30-39",E532&gt;19,"20-29")</f>
        <v>20-29</v>
      </c>
      <c r="AI532" s="24" t="str" cm="1">
        <f t="array" aca="1" ref="AI532" ca="1">_xlfn.IFS(AG532&gt;10,"10+",AG532&gt;4,"5-10 YIL",AG532&gt;2,"3-5 YIL",AG532&gt;0.9,"1-3 YIL",AG532&lt;1,"0-1 YIL")</f>
        <v>0-1 YIL</v>
      </c>
      <c r="AJ532">
        <f t="shared" si="25"/>
        <v>2026</v>
      </c>
      <c r="AK532" t="e">
        <f t="shared" si="26"/>
        <v>#VALUE!</v>
      </c>
    </row>
    <row r="533" spans="1:37" x14ac:dyDescent="0.3">
      <c r="A533" s="6" t="s">
        <v>934</v>
      </c>
      <c r="B533" s="7" t="s">
        <v>671</v>
      </c>
      <c r="C533" s="6" t="s">
        <v>48</v>
      </c>
      <c r="D533" s="14">
        <v>36894</v>
      </c>
      <c r="E533" s="8">
        <v>25</v>
      </c>
      <c r="F533" s="6" t="s">
        <v>49</v>
      </c>
      <c r="G533" s="8">
        <v>0</v>
      </c>
      <c r="H533" s="6" t="s">
        <v>85</v>
      </c>
      <c r="I533" s="7" t="s">
        <v>70</v>
      </c>
      <c r="J533" s="7" t="s">
        <v>92</v>
      </c>
      <c r="K533" s="6" t="s">
        <v>38</v>
      </c>
      <c r="L533" s="6" t="s">
        <v>63</v>
      </c>
      <c r="M533" s="7" t="s">
        <v>72</v>
      </c>
      <c r="N533" s="6" t="s">
        <v>41</v>
      </c>
      <c r="O533" s="14">
        <v>44738</v>
      </c>
      <c r="P533" s="6" t="s">
        <v>44</v>
      </c>
      <c r="Q533" s="7" t="s">
        <v>44</v>
      </c>
      <c r="R533" s="6" t="s">
        <v>44</v>
      </c>
      <c r="S533" s="6" t="s">
        <v>56</v>
      </c>
      <c r="T533" s="9">
        <v>39100</v>
      </c>
      <c r="U533" s="9">
        <v>0</v>
      </c>
      <c r="V533" s="8">
        <v>6</v>
      </c>
      <c r="W533" s="8">
        <v>30</v>
      </c>
      <c r="X533" s="6" t="s">
        <v>44</v>
      </c>
      <c r="Y533" s="8">
        <v>0</v>
      </c>
      <c r="Z533" s="8">
        <v>6</v>
      </c>
      <c r="AA533" s="8">
        <v>0</v>
      </c>
      <c r="AB533" s="8">
        <v>0</v>
      </c>
      <c r="AC533" s="8">
        <v>1</v>
      </c>
      <c r="AD533" s="8">
        <v>13</v>
      </c>
      <c r="AE533" s="7" t="s">
        <v>45</v>
      </c>
      <c r="AG533">
        <f t="shared" ca="1" si="24"/>
        <v>4</v>
      </c>
      <c r="AH533" s="23" t="str" cm="1">
        <f t="array" ref="AH533">_xlfn.IFS(E533&gt;49,"50+",E533&gt;39,"40-49",E533&gt;29,"30-39",E533&gt;19,"20-29")</f>
        <v>20-29</v>
      </c>
      <c r="AI533" s="24" t="str" cm="1">
        <f t="array" aca="1" ref="AI533" ca="1">_xlfn.IFS(AG533&gt;10,"10+",AG533&gt;4,"5-10 YIL",AG533&gt;2,"3-5 YIL",AG533&gt;0.9,"1-3 YIL",AG533&lt;1,"0-1 YIL")</f>
        <v>3-5 YIL</v>
      </c>
      <c r="AJ533">
        <f t="shared" si="25"/>
        <v>2022</v>
      </c>
      <c r="AK533" t="e">
        <f t="shared" si="26"/>
        <v>#VALUE!</v>
      </c>
    </row>
    <row r="534" spans="1:37" x14ac:dyDescent="0.3">
      <c r="A534" s="2" t="s">
        <v>935</v>
      </c>
      <c r="B534" s="3" t="s">
        <v>528</v>
      </c>
      <c r="C534" s="2" t="s">
        <v>33</v>
      </c>
      <c r="D534" s="13">
        <v>30506</v>
      </c>
      <c r="E534" s="4">
        <v>43</v>
      </c>
      <c r="F534" s="2" t="s">
        <v>34</v>
      </c>
      <c r="G534" s="4">
        <v>0</v>
      </c>
      <c r="H534" s="2" t="s">
        <v>35</v>
      </c>
      <c r="I534" s="3" t="s">
        <v>70</v>
      </c>
      <c r="J534" s="3" t="s">
        <v>129</v>
      </c>
      <c r="K534" s="2" t="s">
        <v>79</v>
      </c>
      <c r="L534" s="2" t="s">
        <v>63</v>
      </c>
      <c r="M534" s="3" t="s">
        <v>80</v>
      </c>
      <c r="N534" s="2" t="s">
        <v>41</v>
      </c>
      <c r="O534" s="13">
        <v>43619</v>
      </c>
      <c r="P534" s="2" t="s">
        <v>44</v>
      </c>
      <c r="Q534" s="3" t="s">
        <v>44</v>
      </c>
      <c r="R534" s="2" t="s">
        <v>44</v>
      </c>
      <c r="S534" s="2" t="s">
        <v>56</v>
      </c>
      <c r="T534" s="5">
        <v>121500</v>
      </c>
      <c r="U534" s="5">
        <v>0</v>
      </c>
      <c r="V534" s="4">
        <v>0</v>
      </c>
      <c r="W534" s="4">
        <v>28</v>
      </c>
      <c r="X534" s="2" t="s">
        <v>57</v>
      </c>
      <c r="Y534" s="4">
        <v>2</v>
      </c>
      <c r="Z534" s="4">
        <v>9</v>
      </c>
      <c r="AA534" s="4">
        <v>0</v>
      </c>
      <c r="AB534" s="4">
        <v>0</v>
      </c>
      <c r="AC534" s="4">
        <v>3</v>
      </c>
      <c r="AD534" s="4">
        <v>5</v>
      </c>
      <c r="AE534" s="3" t="s">
        <v>58</v>
      </c>
      <c r="AG534">
        <f t="shared" ca="1" si="24"/>
        <v>7</v>
      </c>
      <c r="AH534" s="23" t="str" cm="1">
        <f t="array" ref="AH534">_xlfn.IFS(E534&gt;49,"50+",E534&gt;39,"40-49",E534&gt;29,"30-39",E534&gt;19,"20-29")</f>
        <v>40-49</v>
      </c>
      <c r="AI534" s="24" t="str" cm="1">
        <f t="array" aca="1" ref="AI534" ca="1">_xlfn.IFS(AG534&gt;10,"10+",AG534&gt;4,"5-10 YIL",AG534&gt;2,"3-5 YIL",AG534&gt;0.9,"1-3 YIL",AG534&lt;1,"0-1 YIL")</f>
        <v>5-10 YIL</v>
      </c>
      <c r="AJ534">
        <f t="shared" si="25"/>
        <v>2019</v>
      </c>
      <c r="AK534" t="e">
        <f t="shared" si="26"/>
        <v>#VALUE!</v>
      </c>
    </row>
    <row r="535" spans="1:37" x14ac:dyDescent="0.3">
      <c r="A535" s="6" t="s">
        <v>936</v>
      </c>
      <c r="B535" s="7" t="s">
        <v>937</v>
      </c>
      <c r="C535" s="6" t="s">
        <v>33</v>
      </c>
      <c r="D535" s="14">
        <v>29727</v>
      </c>
      <c r="E535" s="8">
        <v>45</v>
      </c>
      <c r="F535" s="6" t="s">
        <v>49</v>
      </c>
      <c r="G535" s="8">
        <v>0</v>
      </c>
      <c r="H535" s="6" t="s">
        <v>35</v>
      </c>
      <c r="I535" s="7" t="s">
        <v>139</v>
      </c>
      <c r="J535" s="7" t="s">
        <v>161</v>
      </c>
      <c r="K535" s="6" t="s">
        <v>51</v>
      </c>
      <c r="L535" s="6" t="s">
        <v>63</v>
      </c>
      <c r="M535" s="7" t="s">
        <v>162</v>
      </c>
      <c r="N535" s="6" t="s">
        <v>95</v>
      </c>
      <c r="O535" s="14">
        <v>41799</v>
      </c>
      <c r="P535" s="6" t="s">
        <v>44</v>
      </c>
      <c r="Q535" s="7" t="s">
        <v>44</v>
      </c>
      <c r="R535" s="6" t="s">
        <v>44</v>
      </c>
      <c r="S535" s="6" t="s">
        <v>56</v>
      </c>
      <c r="T535" s="9">
        <v>79500</v>
      </c>
      <c r="U535" s="9">
        <v>6800</v>
      </c>
      <c r="V535" s="8">
        <v>1</v>
      </c>
      <c r="W535" s="8">
        <v>30</v>
      </c>
      <c r="X535" s="6" t="s">
        <v>44</v>
      </c>
      <c r="Y535" s="8">
        <v>0</v>
      </c>
      <c r="Z535" s="8">
        <v>3</v>
      </c>
      <c r="AA535" s="8">
        <v>0</v>
      </c>
      <c r="AB535" s="8">
        <v>0</v>
      </c>
      <c r="AC535" s="8">
        <v>1</v>
      </c>
      <c r="AD535" s="8">
        <v>10</v>
      </c>
      <c r="AE535" s="7" t="s">
        <v>58</v>
      </c>
      <c r="AG535">
        <f t="shared" ca="1" si="24"/>
        <v>12</v>
      </c>
      <c r="AH535" s="23" t="str" cm="1">
        <f t="array" ref="AH535">_xlfn.IFS(E535&gt;49,"50+",E535&gt;39,"40-49",E535&gt;29,"30-39",E535&gt;19,"20-29")</f>
        <v>40-49</v>
      </c>
      <c r="AI535" s="24" t="str" cm="1">
        <f t="array" aca="1" ref="AI535" ca="1">_xlfn.IFS(AG535&gt;10,"10+",AG535&gt;4,"5-10 YIL",AG535&gt;2,"3-5 YIL",AG535&gt;0.9,"1-3 YIL",AG535&lt;1,"0-1 YIL")</f>
        <v>10+</v>
      </c>
      <c r="AJ535">
        <f t="shared" si="25"/>
        <v>2014</v>
      </c>
      <c r="AK535" t="e">
        <f t="shared" si="26"/>
        <v>#VALUE!</v>
      </c>
    </row>
    <row r="536" spans="1:37" x14ac:dyDescent="0.3">
      <c r="A536" s="2" t="s">
        <v>938</v>
      </c>
      <c r="B536" s="3" t="s">
        <v>431</v>
      </c>
      <c r="C536" s="2" t="s">
        <v>33</v>
      </c>
      <c r="D536" s="13">
        <v>37338</v>
      </c>
      <c r="E536" s="4">
        <v>24</v>
      </c>
      <c r="F536" s="2" t="s">
        <v>49</v>
      </c>
      <c r="G536" s="4">
        <v>1</v>
      </c>
      <c r="H536" s="2" t="s">
        <v>35</v>
      </c>
      <c r="I536" s="3" t="s">
        <v>36</v>
      </c>
      <c r="J536" s="3" t="s">
        <v>37</v>
      </c>
      <c r="K536" s="2" t="s">
        <v>38</v>
      </c>
      <c r="L536" s="2" t="s">
        <v>39</v>
      </c>
      <c r="M536" s="3" t="s">
        <v>40</v>
      </c>
      <c r="N536" s="2" t="s">
        <v>41</v>
      </c>
      <c r="O536" s="13">
        <v>45705</v>
      </c>
      <c r="P536" s="2" t="s">
        <v>44</v>
      </c>
      <c r="Q536" s="3" t="s">
        <v>44</v>
      </c>
      <c r="R536" s="2" t="s">
        <v>44</v>
      </c>
      <c r="S536" s="2" t="s">
        <v>56</v>
      </c>
      <c r="T536" s="5">
        <v>27500</v>
      </c>
      <c r="U536" s="5">
        <v>0</v>
      </c>
      <c r="V536" s="4">
        <v>21</v>
      </c>
      <c r="W536" s="4">
        <v>30</v>
      </c>
      <c r="X536" s="2" t="s">
        <v>44</v>
      </c>
      <c r="Y536" s="4">
        <v>0</v>
      </c>
      <c r="Z536" s="4">
        <v>2</v>
      </c>
      <c r="AA536" s="4">
        <v>0</v>
      </c>
      <c r="AB536" s="4">
        <v>0</v>
      </c>
      <c r="AC536" s="4">
        <v>5</v>
      </c>
      <c r="AD536" s="4">
        <v>25</v>
      </c>
      <c r="AE536" s="3" t="s">
        <v>82</v>
      </c>
      <c r="AG536">
        <f t="shared" ca="1" si="24"/>
        <v>1</v>
      </c>
      <c r="AH536" s="23" t="str" cm="1">
        <f t="array" ref="AH536">_xlfn.IFS(E536&gt;49,"50+",E536&gt;39,"40-49",E536&gt;29,"30-39",E536&gt;19,"20-29")</f>
        <v>20-29</v>
      </c>
      <c r="AI536" s="24" t="str" cm="1">
        <f t="array" aca="1" ref="AI536" ca="1">_xlfn.IFS(AG536&gt;10,"10+",AG536&gt;4,"5-10 YIL",AG536&gt;2,"3-5 YIL",AG536&gt;0.9,"1-3 YIL",AG536&lt;1,"0-1 YIL")</f>
        <v>1-3 YIL</v>
      </c>
      <c r="AJ536">
        <f t="shared" si="25"/>
        <v>2025</v>
      </c>
      <c r="AK536" t="e">
        <f t="shared" si="26"/>
        <v>#VALUE!</v>
      </c>
    </row>
    <row r="537" spans="1:37" x14ac:dyDescent="0.3">
      <c r="A537" s="6" t="s">
        <v>939</v>
      </c>
      <c r="B537" s="7" t="s">
        <v>302</v>
      </c>
      <c r="C537" s="6" t="s">
        <v>48</v>
      </c>
      <c r="D537" s="14">
        <v>37325</v>
      </c>
      <c r="E537" s="8">
        <v>24</v>
      </c>
      <c r="F537" s="6" t="s">
        <v>49</v>
      </c>
      <c r="G537" s="8">
        <v>2</v>
      </c>
      <c r="H537" s="6" t="s">
        <v>35</v>
      </c>
      <c r="I537" s="7" t="s">
        <v>61</v>
      </c>
      <c r="J537" s="7" t="s">
        <v>62</v>
      </c>
      <c r="K537" s="6" t="s">
        <v>38</v>
      </c>
      <c r="L537" s="6" t="s">
        <v>63</v>
      </c>
      <c r="M537" s="7" t="s">
        <v>64</v>
      </c>
      <c r="N537" s="6" t="s">
        <v>41</v>
      </c>
      <c r="O537" s="14">
        <v>45091</v>
      </c>
      <c r="P537" s="6" t="s">
        <v>44</v>
      </c>
      <c r="Q537" s="7" t="s">
        <v>44</v>
      </c>
      <c r="R537" s="6" t="s">
        <v>44</v>
      </c>
      <c r="S537" s="6" t="s">
        <v>56</v>
      </c>
      <c r="T537" s="9">
        <v>33400</v>
      </c>
      <c r="U537" s="9">
        <v>10500</v>
      </c>
      <c r="V537" s="8">
        <v>3</v>
      </c>
      <c r="W537" s="8">
        <v>30</v>
      </c>
      <c r="X537" s="6" t="s">
        <v>44</v>
      </c>
      <c r="Y537" s="8">
        <v>0</v>
      </c>
      <c r="Z537" s="8">
        <v>11</v>
      </c>
      <c r="AA537" s="8">
        <v>0</v>
      </c>
      <c r="AB537" s="8">
        <v>0</v>
      </c>
      <c r="AC537" s="8">
        <v>3</v>
      </c>
      <c r="AD537" s="8">
        <v>17</v>
      </c>
      <c r="AE537" s="7" t="s">
        <v>82</v>
      </c>
      <c r="AG537">
        <f t="shared" ca="1" si="24"/>
        <v>3</v>
      </c>
      <c r="AH537" s="23" t="str" cm="1">
        <f t="array" ref="AH537">_xlfn.IFS(E537&gt;49,"50+",E537&gt;39,"40-49",E537&gt;29,"30-39",E537&gt;19,"20-29")</f>
        <v>20-29</v>
      </c>
      <c r="AI537" s="24" t="str" cm="1">
        <f t="array" aca="1" ref="AI537" ca="1">_xlfn.IFS(AG537&gt;10,"10+",AG537&gt;4,"5-10 YIL",AG537&gt;2,"3-5 YIL",AG537&gt;0.9,"1-3 YIL",AG537&lt;1,"0-1 YIL")</f>
        <v>3-5 YIL</v>
      </c>
      <c r="AJ537">
        <f t="shared" si="25"/>
        <v>2023</v>
      </c>
      <c r="AK537" t="e">
        <f t="shared" si="26"/>
        <v>#VALUE!</v>
      </c>
    </row>
    <row r="538" spans="1:37" x14ac:dyDescent="0.3">
      <c r="A538" s="2" t="s">
        <v>940</v>
      </c>
      <c r="B538" s="3" t="s">
        <v>941</v>
      </c>
      <c r="C538" s="2" t="s">
        <v>48</v>
      </c>
      <c r="D538" s="13">
        <v>35817</v>
      </c>
      <c r="E538" s="4">
        <v>28</v>
      </c>
      <c r="F538" s="2" t="s">
        <v>49</v>
      </c>
      <c r="G538" s="4">
        <v>1</v>
      </c>
      <c r="H538" s="2" t="s">
        <v>35</v>
      </c>
      <c r="I538" s="3" t="s">
        <v>61</v>
      </c>
      <c r="J538" s="3" t="s">
        <v>107</v>
      </c>
      <c r="K538" s="2" t="s">
        <v>51</v>
      </c>
      <c r="L538" s="2" t="s">
        <v>63</v>
      </c>
      <c r="M538" s="3" t="s">
        <v>64</v>
      </c>
      <c r="N538" s="2" t="s">
        <v>41</v>
      </c>
      <c r="O538" s="13">
        <v>42962</v>
      </c>
      <c r="P538" s="2" t="s">
        <v>44</v>
      </c>
      <c r="Q538" s="3" t="s">
        <v>44</v>
      </c>
      <c r="R538" s="2" t="s">
        <v>44</v>
      </c>
      <c r="S538" s="2" t="s">
        <v>56</v>
      </c>
      <c r="T538" s="5">
        <v>55800</v>
      </c>
      <c r="U538" s="5">
        <v>15100</v>
      </c>
      <c r="V538" s="4">
        <v>3</v>
      </c>
      <c r="W538" s="4">
        <v>30</v>
      </c>
      <c r="X538" s="2" t="s">
        <v>44</v>
      </c>
      <c r="Y538" s="4">
        <v>0</v>
      </c>
      <c r="Z538" s="4">
        <v>9</v>
      </c>
      <c r="AA538" s="4">
        <v>0</v>
      </c>
      <c r="AB538" s="4">
        <v>0</v>
      </c>
      <c r="AC538" s="4">
        <v>3</v>
      </c>
      <c r="AD538" s="4">
        <v>11</v>
      </c>
      <c r="AE538" s="3" t="s">
        <v>82</v>
      </c>
      <c r="AG538">
        <f t="shared" ca="1" si="24"/>
        <v>8</v>
      </c>
      <c r="AH538" s="23" t="str" cm="1">
        <f t="array" ref="AH538">_xlfn.IFS(E538&gt;49,"50+",E538&gt;39,"40-49",E538&gt;29,"30-39",E538&gt;19,"20-29")</f>
        <v>20-29</v>
      </c>
      <c r="AI538" s="24" t="str" cm="1">
        <f t="array" aca="1" ref="AI538" ca="1">_xlfn.IFS(AG538&gt;10,"10+",AG538&gt;4,"5-10 YIL",AG538&gt;2,"3-5 YIL",AG538&gt;0.9,"1-3 YIL",AG538&lt;1,"0-1 YIL")</f>
        <v>5-10 YIL</v>
      </c>
      <c r="AJ538">
        <f t="shared" si="25"/>
        <v>2017</v>
      </c>
      <c r="AK538" t="e">
        <f t="shared" si="26"/>
        <v>#VALUE!</v>
      </c>
    </row>
    <row r="539" spans="1:37" x14ac:dyDescent="0.3">
      <c r="A539" s="6" t="s">
        <v>942</v>
      </c>
      <c r="B539" s="7" t="s">
        <v>943</v>
      </c>
      <c r="C539" s="6" t="s">
        <v>33</v>
      </c>
      <c r="D539" s="14">
        <v>36059</v>
      </c>
      <c r="E539" s="8">
        <v>28</v>
      </c>
      <c r="F539" s="6" t="s">
        <v>49</v>
      </c>
      <c r="G539" s="8">
        <v>0</v>
      </c>
      <c r="H539" s="6" t="s">
        <v>35</v>
      </c>
      <c r="I539" s="7" t="s">
        <v>36</v>
      </c>
      <c r="J539" s="7" t="s">
        <v>37</v>
      </c>
      <c r="K539" s="6" t="s">
        <v>38</v>
      </c>
      <c r="L539" s="6" t="s">
        <v>39</v>
      </c>
      <c r="M539" s="7" t="s">
        <v>40</v>
      </c>
      <c r="N539" s="6" t="s">
        <v>41</v>
      </c>
      <c r="O539" s="14">
        <v>45172</v>
      </c>
      <c r="P539" s="6" t="s">
        <v>44</v>
      </c>
      <c r="Q539" s="7" t="s">
        <v>44</v>
      </c>
      <c r="R539" s="6" t="s">
        <v>44</v>
      </c>
      <c r="S539" s="6" t="s">
        <v>56</v>
      </c>
      <c r="T539" s="9">
        <v>25600</v>
      </c>
      <c r="U539" s="9">
        <v>0</v>
      </c>
      <c r="V539" s="8">
        <v>28</v>
      </c>
      <c r="W539" s="8">
        <v>28</v>
      </c>
      <c r="X539" s="6" t="s">
        <v>57</v>
      </c>
      <c r="Y539" s="8">
        <v>2</v>
      </c>
      <c r="Z539" s="8">
        <v>10</v>
      </c>
      <c r="AA539" s="8">
        <v>0</v>
      </c>
      <c r="AB539" s="8">
        <v>0</v>
      </c>
      <c r="AC539" s="8">
        <v>1</v>
      </c>
      <c r="AD539" s="8">
        <v>5</v>
      </c>
      <c r="AE539" s="7" t="s">
        <v>58</v>
      </c>
      <c r="AG539">
        <f t="shared" ca="1" si="24"/>
        <v>2</v>
      </c>
      <c r="AH539" s="23" t="str" cm="1">
        <f t="array" ref="AH539">_xlfn.IFS(E539&gt;49,"50+",E539&gt;39,"40-49",E539&gt;29,"30-39",E539&gt;19,"20-29")</f>
        <v>20-29</v>
      </c>
      <c r="AI539" s="24" t="str" cm="1">
        <f t="array" aca="1" ref="AI539" ca="1">_xlfn.IFS(AG539&gt;10,"10+",AG539&gt;4,"5-10 YIL",AG539&gt;2,"3-5 YIL",AG539&gt;0.9,"1-3 YIL",AG539&lt;1,"0-1 YIL")</f>
        <v>1-3 YIL</v>
      </c>
      <c r="AJ539">
        <f t="shared" si="25"/>
        <v>2023</v>
      </c>
      <c r="AK539" t="e">
        <f t="shared" si="26"/>
        <v>#VALUE!</v>
      </c>
    </row>
    <row r="540" spans="1:37" x14ac:dyDescent="0.3">
      <c r="A540" s="2" t="s">
        <v>944</v>
      </c>
      <c r="B540" s="3" t="s">
        <v>415</v>
      </c>
      <c r="C540" s="2" t="s">
        <v>33</v>
      </c>
      <c r="D540" s="13">
        <v>36814</v>
      </c>
      <c r="E540" s="4">
        <v>26</v>
      </c>
      <c r="F540" s="2" t="s">
        <v>34</v>
      </c>
      <c r="G540" s="4">
        <v>0</v>
      </c>
      <c r="H540" s="2" t="s">
        <v>35</v>
      </c>
      <c r="I540" s="3" t="s">
        <v>36</v>
      </c>
      <c r="J540" s="3" t="s">
        <v>37</v>
      </c>
      <c r="K540" s="2" t="s">
        <v>38</v>
      </c>
      <c r="L540" s="2" t="s">
        <v>39</v>
      </c>
      <c r="M540" s="3" t="s">
        <v>40</v>
      </c>
      <c r="N540" s="2" t="s">
        <v>41</v>
      </c>
      <c r="O540" s="13">
        <v>45379</v>
      </c>
      <c r="P540" s="2" t="s">
        <v>44</v>
      </c>
      <c r="Q540" s="3" t="s">
        <v>44</v>
      </c>
      <c r="R540" s="2" t="s">
        <v>44</v>
      </c>
      <c r="S540" s="2" t="s">
        <v>56</v>
      </c>
      <c r="T540" s="5">
        <v>28500</v>
      </c>
      <c r="U540" s="5">
        <v>0</v>
      </c>
      <c r="V540" s="4">
        <v>19</v>
      </c>
      <c r="W540" s="4">
        <v>30</v>
      </c>
      <c r="X540" s="2" t="s">
        <v>44</v>
      </c>
      <c r="Y540" s="4">
        <v>0</v>
      </c>
      <c r="Z540" s="4">
        <v>12</v>
      </c>
      <c r="AA540" s="4">
        <v>0</v>
      </c>
      <c r="AB540" s="4">
        <v>0</v>
      </c>
      <c r="AC540" s="4">
        <v>5</v>
      </c>
      <c r="AD540" s="4">
        <v>20</v>
      </c>
      <c r="AE540" s="3" t="s">
        <v>45</v>
      </c>
      <c r="AG540">
        <f t="shared" ca="1" si="24"/>
        <v>2</v>
      </c>
      <c r="AH540" s="23" t="str" cm="1">
        <f t="array" ref="AH540">_xlfn.IFS(E540&gt;49,"50+",E540&gt;39,"40-49",E540&gt;29,"30-39",E540&gt;19,"20-29")</f>
        <v>20-29</v>
      </c>
      <c r="AI540" s="24" t="str" cm="1">
        <f t="array" aca="1" ref="AI540" ca="1">_xlfn.IFS(AG540&gt;10,"10+",AG540&gt;4,"5-10 YIL",AG540&gt;2,"3-5 YIL",AG540&gt;0.9,"1-3 YIL",AG540&lt;1,"0-1 YIL")</f>
        <v>1-3 YIL</v>
      </c>
      <c r="AJ540">
        <f t="shared" si="25"/>
        <v>2024</v>
      </c>
      <c r="AK540" t="e">
        <f t="shared" si="26"/>
        <v>#VALUE!</v>
      </c>
    </row>
    <row r="541" spans="1:37" x14ac:dyDescent="0.3">
      <c r="A541" s="6" t="s">
        <v>945</v>
      </c>
      <c r="B541" s="7" t="s">
        <v>87</v>
      </c>
      <c r="C541" s="6" t="s">
        <v>48</v>
      </c>
      <c r="D541" s="14">
        <v>36334</v>
      </c>
      <c r="E541" s="8">
        <v>27</v>
      </c>
      <c r="F541" s="6" t="s">
        <v>34</v>
      </c>
      <c r="G541" s="8">
        <v>0</v>
      </c>
      <c r="H541" s="6" t="s">
        <v>35</v>
      </c>
      <c r="I541" s="7" t="s">
        <v>70</v>
      </c>
      <c r="J541" s="7" t="s">
        <v>92</v>
      </c>
      <c r="K541" s="6" t="s">
        <v>38</v>
      </c>
      <c r="L541" s="6" t="s">
        <v>63</v>
      </c>
      <c r="M541" s="7" t="s">
        <v>72</v>
      </c>
      <c r="N541" s="6" t="s">
        <v>67</v>
      </c>
      <c r="O541" s="14">
        <v>45608</v>
      </c>
      <c r="P541" s="6" t="s">
        <v>44</v>
      </c>
      <c r="Q541" s="7" t="s">
        <v>44</v>
      </c>
      <c r="R541" s="6" t="s">
        <v>44</v>
      </c>
      <c r="S541" s="6" t="s">
        <v>56</v>
      </c>
      <c r="T541" s="9">
        <v>39100</v>
      </c>
      <c r="U541" s="9">
        <v>0</v>
      </c>
      <c r="V541" s="8">
        <v>7</v>
      </c>
      <c r="W541" s="8">
        <v>30</v>
      </c>
      <c r="X541" s="6" t="s">
        <v>44</v>
      </c>
      <c r="Y541" s="8">
        <v>0</v>
      </c>
      <c r="Z541" s="8">
        <v>3</v>
      </c>
      <c r="AA541" s="8">
        <v>0</v>
      </c>
      <c r="AB541" s="8">
        <v>0</v>
      </c>
      <c r="AC541" s="8">
        <v>3</v>
      </c>
      <c r="AD541" s="8">
        <v>6</v>
      </c>
      <c r="AE541" s="7" t="s">
        <v>58</v>
      </c>
      <c r="AG541">
        <f t="shared" ca="1" si="24"/>
        <v>1</v>
      </c>
      <c r="AH541" s="23" t="str" cm="1">
        <f t="array" ref="AH541">_xlfn.IFS(E541&gt;49,"50+",E541&gt;39,"40-49",E541&gt;29,"30-39",E541&gt;19,"20-29")</f>
        <v>20-29</v>
      </c>
      <c r="AI541" s="24" t="str" cm="1">
        <f t="array" aca="1" ref="AI541" ca="1">_xlfn.IFS(AG541&gt;10,"10+",AG541&gt;4,"5-10 YIL",AG541&gt;2,"3-5 YIL",AG541&gt;0.9,"1-3 YIL",AG541&lt;1,"0-1 YIL")</f>
        <v>1-3 YIL</v>
      </c>
      <c r="AJ541">
        <f t="shared" si="25"/>
        <v>2024</v>
      </c>
      <c r="AK541" t="e">
        <f t="shared" si="26"/>
        <v>#VALUE!</v>
      </c>
    </row>
    <row r="542" spans="1:37" x14ac:dyDescent="0.3">
      <c r="A542" s="2" t="s">
        <v>946</v>
      </c>
      <c r="B542" s="3" t="s">
        <v>571</v>
      </c>
      <c r="C542" s="2" t="s">
        <v>48</v>
      </c>
      <c r="D542" s="13">
        <v>30448</v>
      </c>
      <c r="E542" s="4">
        <v>43</v>
      </c>
      <c r="F542" s="2" t="s">
        <v>49</v>
      </c>
      <c r="G542" s="4">
        <v>1</v>
      </c>
      <c r="H542" s="2" t="s">
        <v>35</v>
      </c>
      <c r="I542" s="3" t="s">
        <v>70</v>
      </c>
      <c r="J542" s="3" t="s">
        <v>71</v>
      </c>
      <c r="K542" s="2" t="s">
        <v>51</v>
      </c>
      <c r="L542" s="2" t="s">
        <v>63</v>
      </c>
      <c r="M542" s="3" t="s">
        <v>72</v>
      </c>
      <c r="N542" s="2" t="s">
        <v>89</v>
      </c>
      <c r="O542" s="13">
        <v>42976</v>
      </c>
      <c r="P542" s="2" t="s">
        <v>44</v>
      </c>
      <c r="Q542" s="3" t="s">
        <v>44</v>
      </c>
      <c r="R542" s="2" t="s">
        <v>44</v>
      </c>
      <c r="S542" s="2" t="s">
        <v>56</v>
      </c>
      <c r="T542" s="5">
        <v>58300</v>
      </c>
      <c r="U542" s="5">
        <v>0</v>
      </c>
      <c r="V542" s="4">
        <v>0</v>
      </c>
      <c r="W542" s="4">
        <v>30</v>
      </c>
      <c r="X542" s="2" t="s">
        <v>44</v>
      </c>
      <c r="Y542" s="4">
        <v>0</v>
      </c>
      <c r="Z542" s="4">
        <v>7</v>
      </c>
      <c r="AA542" s="4">
        <v>0</v>
      </c>
      <c r="AB542" s="4">
        <v>0</v>
      </c>
      <c r="AC542" s="4">
        <v>4</v>
      </c>
      <c r="AD542" s="4">
        <v>14</v>
      </c>
      <c r="AE542" s="3" t="s">
        <v>45</v>
      </c>
      <c r="AG542">
        <f t="shared" ca="1" si="24"/>
        <v>8</v>
      </c>
      <c r="AH542" s="23" t="str" cm="1">
        <f t="array" ref="AH542">_xlfn.IFS(E542&gt;49,"50+",E542&gt;39,"40-49",E542&gt;29,"30-39",E542&gt;19,"20-29")</f>
        <v>40-49</v>
      </c>
      <c r="AI542" s="24" t="str" cm="1">
        <f t="array" aca="1" ref="AI542" ca="1">_xlfn.IFS(AG542&gt;10,"10+",AG542&gt;4,"5-10 YIL",AG542&gt;2,"3-5 YIL",AG542&gt;0.9,"1-3 YIL",AG542&lt;1,"0-1 YIL")</f>
        <v>5-10 YIL</v>
      </c>
      <c r="AJ542">
        <f t="shared" si="25"/>
        <v>2017</v>
      </c>
      <c r="AK542" t="e">
        <f t="shared" si="26"/>
        <v>#VALUE!</v>
      </c>
    </row>
    <row r="543" spans="1:37" x14ac:dyDescent="0.3">
      <c r="A543" s="6" t="s">
        <v>947</v>
      </c>
      <c r="B543" s="7" t="s">
        <v>516</v>
      </c>
      <c r="C543" s="6" t="s">
        <v>33</v>
      </c>
      <c r="D543" s="14">
        <v>25524</v>
      </c>
      <c r="E543" s="8">
        <v>57</v>
      </c>
      <c r="F543" s="6" t="s">
        <v>34</v>
      </c>
      <c r="G543" s="8">
        <v>0</v>
      </c>
      <c r="H543" s="6" t="s">
        <v>35</v>
      </c>
      <c r="I543" s="7" t="s">
        <v>61</v>
      </c>
      <c r="J543" s="7" t="s">
        <v>124</v>
      </c>
      <c r="K543" s="6" t="s">
        <v>79</v>
      </c>
      <c r="L543" s="6" t="s">
        <v>63</v>
      </c>
      <c r="M543" s="7" t="s">
        <v>80</v>
      </c>
      <c r="N543" s="6" t="s">
        <v>41</v>
      </c>
      <c r="O543" s="14">
        <v>40830</v>
      </c>
      <c r="P543" s="6" t="s">
        <v>44</v>
      </c>
      <c r="Q543" s="7" t="s">
        <v>44</v>
      </c>
      <c r="R543" s="6" t="s">
        <v>44</v>
      </c>
      <c r="S543" s="6" t="s">
        <v>56</v>
      </c>
      <c r="T543" s="9">
        <v>111500</v>
      </c>
      <c r="U543" s="9">
        <v>12000</v>
      </c>
      <c r="V543" s="8">
        <v>2</v>
      </c>
      <c r="W543" s="8">
        <v>30</v>
      </c>
      <c r="X543" s="6" t="s">
        <v>44</v>
      </c>
      <c r="Y543" s="8">
        <v>0</v>
      </c>
      <c r="Z543" s="8">
        <v>5</v>
      </c>
      <c r="AA543" s="8">
        <v>0</v>
      </c>
      <c r="AB543" s="8">
        <v>0</v>
      </c>
      <c r="AC543" s="8">
        <v>3</v>
      </c>
      <c r="AD543" s="8">
        <v>6</v>
      </c>
      <c r="AE543" s="7" t="s">
        <v>58</v>
      </c>
      <c r="AG543">
        <f t="shared" ca="1" si="24"/>
        <v>14</v>
      </c>
      <c r="AH543" s="23" t="str" cm="1">
        <f t="array" ref="AH543">_xlfn.IFS(E543&gt;49,"50+",E543&gt;39,"40-49",E543&gt;29,"30-39",E543&gt;19,"20-29")</f>
        <v>50+</v>
      </c>
      <c r="AI543" s="24" t="str" cm="1">
        <f t="array" aca="1" ref="AI543" ca="1">_xlfn.IFS(AG543&gt;10,"10+",AG543&gt;4,"5-10 YIL",AG543&gt;2,"3-5 YIL",AG543&gt;0.9,"1-3 YIL",AG543&lt;1,"0-1 YIL")</f>
        <v>10+</v>
      </c>
      <c r="AJ543">
        <f t="shared" si="25"/>
        <v>2011</v>
      </c>
      <c r="AK543" t="e">
        <f t="shared" si="26"/>
        <v>#VALUE!</v>
      </c>
    </row>
    <row r="544" spans="1:37" x14ac:dyDescent="0.3">
      <c r="A544" s="2" t="s">
        <v>948</v>
      </c>
      <c r="B544" s="3" t="s">
        <v>918</v>
      </c>
      <c r="C544" s="2" t="s">
        <v>33</v>
      </c>
      <c r="D544" s="13">
        <v>37520</v>
      </c>
      <c r="E544" s="4">
        <v>24</v>
      </c>
      <c r="F544" s="2" t="s">
        <v>49</v>
      </c>
      <c r="G544" s="4">
        <v>1</v>
      </c>
      <c r="H544" s="2" t="s">
        <v>85</v>
      </c>
      <c r="I544" s="3" t="s">
        <v>36</v>
      </c>
      <c r="J544" s="3" t="s">
        <v>37</v>
      </c>
      <c r="K544" s="2" t="s">
        <v>38</v>
      </c>
      <c r="L544" s="2" t="s">
        <v>39</v>
      </c>
      <c r="M544" s="3" t="s">
        <v>40</v>
      </c>
      <c r="N544" s="2" t="s">
        <v>41</v>
      </c>
      <c r="O544" s="13">
        <v>45235</v>
      </c>
      <c r="P544" s="13">
        <v>46103</v>
      </c>
      <c r="Q544" s="3" t="s">
        <v>121</v>
      </c>
      <c r="R544" s="2">
        <v>17</v>
      </c>
      <c r="S544" s="2" t="s">
        <v>43</v>
      </c>
      <c r="T544" s="5">
        <v>26600</v>
      </c>
      <c r="U544" s="5">
        <v>0</v>
      </c>
      <c r="V544" s="4">
        <v>34</v>
      </c>
      <c r="W544" s="4">
        <v>30</v>
      </c>
      <c r="X544" s="2" t="s">
        <v>44</v>
      </c>
      <c r="Y544" s="4">
        <v>0</v>
      </c>
      <c r="Z544" s="4">
        <v>4</v>
      </c>
      <c r="AA544" s="4">
        <v>0</v>
      </c>
      <c r="AB544" s="4">
        <v>0</v>
      </c>
      <c r="AC544" s="4">
        <v>4</v>
      </c>
      <c r="AD544" s="4">
        <v>30</v>
      </c>
      <c r="AE544" s="3" t="s">
        <v>58</v>
      </c>
      <c r="AG544">
        <f t="shared" ca="1" si="24"/>
        <v>2</v>
      </c>
      <c r="AH544" s="23" t="str" cm="1">
        <f t="array" ref="AH544">_xlfn.IFS(E544&gt;49,"50+",E544&gt;39,"40-49",E544&gt;29,"30-39",E544&gt;19,"20-29")</f>
        <v>20-29</v>
      </c>
      <c r="AI544" s="24" t="str" cm="1">
        <f t="array" aca="1" ref="AI544" ca="1">_xlfn.IFS(AG544&gt;10,"10+",AG544&gt;4,"5-10 YIL",AG544&gt;2,"3-5 YIL",AG544&gt;0.9,"1-3 YIL",AG544&lt;1,"0-1 YIL")</f>
        <v>1-3 YIL</v>
      </c>
      <c r="AJ544">
        <f t="shared" si="25"/>
        <v>2023</v>
      </c>
      <c r="AK544">
        <f t="shared" si="26"/>
        <v>2026</v>
      </c>
    </row>
    <row r="545" spans="1:37" x14ac:dyDescent="0.3">
      <c r="A545" s="6" t="s">
        <v>949</v>
      </c>
      <c r="B545" s="7" t="s">
        <v>302</v>
      </c>
      <c r="C545" s="6" t="s">
        <v>48</v>
      </c>
      <c r="D545" s="14">
        <v>36084</v>
      </c>
      <c r="E545" s="8">
        <v>28</v>
      </c>
      <c r="F545" s="6" t="s">
        <v>34</v>
      </c>
      <c r="G545" s="8">
        <v>0</v>
      </c>
      <c r="H545" s="6" t="s">
        <v>35</v>
      </c>
      <c r="I545" s="7" t="s">
        <v>70</v>
      </c>
      <c r="J545" s="7" t="s">
        <v>92</v>
      </c>
      <c r="K545" s="6" t="s">
        <v>38</v>
      </c>
      <c r="L545" s="6" t="s">
        <v>63</v>
      </c>
      <c r="M545" s="7" t="s">
        <v>72</v>
      </c>
      <c r="N545" s="6" t="s">
        <v>41</v>
      </c>
      <c r="O545" s="14">
        <v>46002</v>
      </c>
      <c r="P545" s="6" t="s">
        <v>44</v>
      </c>
      <c r="Q545" s="7" t="s">
        <v>44</v>
      </c>
      <c r="R545" s="6" t="s">
        <v>44</v>
      </c>
      <c r="S545" s="6" t="s">
        <v>56</v>
      </c>
      <c r="T545" s="9">
        <v>39300</v>
      </c>
      <c r="U545" s="9">
        <v>0</v>
      </c>
      <c r="V545" s="8">
        <v>2</v>
      </c>
      <c r="W545" s="8">
        <v>29</v>
      </c>
      <c r="X545" s="6" t="s">
        <v>57</v>
      </c>
      <c r="Y545" s="8">
        <v>1</v>
      </c>
      <c r="Z545" s="8">
        <v>0</v>
      </c>
      <c r="AA545" s="8">
        <v>0</v>
      </c>
      <c r="AB545" s="8">
        <v>0</v>
      </c>
      <c r="AC545" s="8">
        <v>2</v>
      </c>
      <c r="AD545" s="8">
        <v>15</v>
      </c>
      <c r="AE545" s="7" t="s">
        <v>96</v>
      </c>
      <c r="AG545">
        <f t="shared" ca="1" si="24"/>
        <v>0</v>
      </c>
      <c r="AH545" s="23" t="str" cm="1">
        <f t="array" ref="AH545">_xlfn.IFS(E545&gt;49,"50+",E545&gt;39,"40-49",E545&gt;29,"30-39",E545&gt;19,"20-29")</f>
        <v>20-29</v>
      </c>
      <c r="AI545" s="24" t="str" cm="1">
        <f t="array" aca="1" ref="AI545" ca="1">_xlfn.IFS(AG545&gt;10,"10+",AG545&gt;4,"5-10 YIL",AG545&gt;2,"3-5 YIL",AG545&gt;0.9,"1-3 YIL",AG545&lt;1,"0-1 YIL")</f>
        <v>0-1 YIL</v>
      </c>
      <c r="AJ545">
        <f t="shared" si="25"/>
        <v>2025</v>
      </c>
      <c r="AK545" t="e">
        <f t="shared" si="26"/>
        <v>#VALUE!</v>
      </c>
    </row>
    <row r="546" spans="1:37" x14ac:dyDescent="0.3">
      <c r="A546" s="2" t="s">
        <v>950</v>
      </c>
      <c r="B546" s="3" t="s">
        <v>951</v>
      </c>
      <c r="C546" s="2" t="s">
        <v>33</v>
      </c>
      <c r="D546" s="13">
        <v>35561</v>
      </c>
      <c r="E546" s="4">
        <v>29</v>
      </c>
      <c r="F546" s="2" t="s">
        <v>49</v>
      </c>
      <c r="G546" s="4">
        <v>1</v>
      </c>
      <c r="H546" s="2" t="s">
        <v>88</v>
      </c>
      <c r="I546" s="3" t="s">
        <v>36</v>
      </c>
      <c r="J546" s="3" t="s">
        <v>50</v>
      </c>
      <c r="K546" s="2" t="s">
        <v>51</v>
      </c>
      <c r="L546" s="2" t="s">
        <v>39</v>
      </c>
      <c r="M546" s="3" t="s">
        <v>40</v>
      </c>
      <c r="N546" s="2" t="s">
        <v>67</v>
      </c>
      <c r="O546" s="13">
        <v>42184</v>
      </c>
      <c r="P546" s="2" t="s">
        <v>44</v>
      </c>
      <c r="Q546" s="3" t="s">
        <v>44</v>
      </c>
      <c r="R546" s="2" t="s">
        <v>44</v>
      </c>
      <c r="S546" s="2" t="s">
        <v>56</v>
      </c>
      <c r="T546" s="5">
        <v>38100</v>
      </c>
      <c r="U546" s="5">
        <v>0</v>
      </c>
      <c r="V546" s="4">
        <v>18</v>
      </c>
      <c r="W546" s="4">
        <v>30</v>
      </c>
      <c r="X546" s="2" t="s">
        <v>44</v>
      </c>
      <c r="Y546" s="4">
        <v>0</v>
      </c>
      <c r="Z546" s="4">
        <v>0</v>
      </c>
      <c r="AA546" s="4">
        <v>0</v>
      </c>
      <c r="AB546" s="4">
        <v>0</v>
      </c>
      <c r="AC546" s="4">
        <v>2</v>
      </c>
      <c r="AD546" s="4">
        <v>5</v>
      </c>
      <c r="AE546" s="3" t="s">
        <v>58</v>
      </c>
      <c r="AG546">
        <f t="shared" ca="1" si="24"/>
        <v>11</v>
      </c>
      <c r="AH546" s="23" t="str" cm="1">
        <f t="array" ref="AH546">_xlfn.IFS(E546&gt;49,"50+",E546&gt;39,"40-49",E546&gt;29,"30-39",E546&gt;19,"20-29")</f>
        <v>20-29</v>
      </c>
      <c r="AI546" s="24" t="str" cm="1">
        <f t="array" aca="1" ref="AI546" ca="1">_xlfn.IFS(AG546&gt;10,"10+",AG546&gt;4,"5-10 YIL",AG546&gt;2,"3-5 YIL",AG546&gt;0.9,"1-3 YIL",AG546&lt;1,"0-1 YIL")</f>
        <v>10+</v>
      </c>
      <c r="AJ546">
        <f t="shared" si="25"/>
        <v>2015</v>
      </c>
      <c r="AK546" t="e">
        <f t="shared" si="26"/>
        <v>#VALUE!</v>
      </c>
    </row>
    <row r="547" spans="1:37" x14ac:dyDescent="0.3">
      <c r="A547" s="6" t="s">
        <v>952</v>
      </c>
      <c r="B547" s="7" t="s">
        <v>370</v>
      </c>
      <c r="C547" s="6" t="s">
        <v>33</v>
      </c>
      <c r="D547" s="14">
        <v>34634</v>
      </c>
      <c r="E547" s="8">
        <v>32</v>
      </c>
      <c r="F547" s="6" t="s">
        <v>49</v>
      </c>
      <c r="G547" s="8">
        <v>3</v>
      </c>
      <c r="H547" s="6" t="s">
        <v>184</v>
      </c>
      <c r="I547" s="7" t="s">
        <v>61</v>
      </c>
      <c r="J547" s="7" t="s">
        <v>107</v>
      </c>
      <c r="K547" s="6" t="s">
        <v>51</v>
      </c>
      <c r="L547" s="6" t="s">
        <v>63</v>
      </c>
      <c r="M547" s="7" t="s">
        <v>64</v>
      </c>
      <c r="N547" s="6" t="s">
        <v>41</v>
      </c>
      <c r="O547" s="14">
        <v>42418</v>
      </c>
      <c r="P547" s="6" t="s">
        <v>44</v>
      </c>
      <c r="Q547" s="7" t="s">
        <v>44</v>
      </c>
      <c r="R547" s="6" t="s">
        <v>44</v>
      </c>
      <c r="S547" s="6" t="s">
        <v>56</v>
      </c>
      <c r="T547" s="9">
        <v>60300</v>
      </c>
      <c r="U547" s="9">
        <v>0</v>
      </c>
      <c r="V547" s="8">
        <v>2</v>
      </c>
      <c r="W547" s="8">
        <v>27</v>
      </c>
      <c r="X547" s="6" t="s">
        <v>57</v>
      </c>
      <c r="Y547" s="8">
        <v>3</v>
      </c>
      <c r="Z547" s="8">
        <v>1</v>
      </c>
      <c r="AA547" s="8">
        <v>0</v>
      </c>
      <c r="AB547" s="8">
        <v>0</v>
      </c>
      <c r="AC547" s="8">
        <v>1</v>
      </c>
      <c r="AD547" s="8">
        <v>6</v>
      </c>
      <c r="AE547" s="7" t="s">
        <v>45</v>
      </c>
      <c r="AG547">
        <f t="shared" ca="1" si="24"/>
        <v>10</v>
      </c>
      <c r="AH547" s="23" t="str" cm="1">
        <f t="array" ref="AH547">_xlfn.IFS(E547&gt;49,"50+",E547&gt;39,"40-49",E547&gt;29,"30-39",E547&gt;19,"20-29")</f>
        <v>30-39</v>
      </c>
      <c r="AI547" s="24" t="str" cm="1">
        <f t="array" aca="1" ref="AI547" ca="1">_xlfn.IFS(AG547&gt;10,"10+",AG547&gt;4,"5-10 YIL",AG547&gt;2,"3-5 YIL",AG547&gt;0.9,"1-3 YIL",AG547&lt;1,"0-1 YIL")</f>
        <v>5-10 YIL</v>
      </c>
      <c r="AJ547">
        <f t="shared" si="25"/>
        <v>2016</v>
      </c>
      <c r="AK547" t="e">
        <f t="shared" si="26"/>
        <v>#VALUE!</v>
      </c>
    </row>
    <row r="548" spans="1:37" x14ac:dyDescent="0.3">
      <c r="A548" s="2" t="s">
        <v>953</v>
      </c>
      <c r="B548" s="3" t="s">
        <v>768</v>
      </c>
      <c r="C548" s="2" t="s">
        <v>48</v>
      </c>
      <c r="D548" s="13">
        <v>36908</v>
      </c>
      <c r="E548" s="4">
        <v>25</v>
      </c>
      <c r="F548" s="2" t="s">
        <v>49</v>
      </c>
      <c r="G548" s="4">
        <v>2</v>
      </c>
      <c r="H548" s="2" t="s">
        <v>88</v>
      </c>
      <c r="I548" s="3" t="s">
        <v>36</v>
      </c>
      <c r="J548" s="3" t="s">
        <v>37</v>
      </c>
      <c r="K548" s="2" t="s">
        <v>38</v>
      </c>
      <c r="L548" s="2" t="s">
        <v>39</v>
      </c>
      <c r="M548" s="3" t="s">
        <v>40</v>
      </c>
      <c r="N548" s="2" t="s">
        <v>89</v>
      </c>
      <c r="O548" s="13">
        <v>46018</v>
      </c>
      <c r="P548" s="2" t="s">
        <v>44</v>
      </c>
      <c r="Q548" s="3" t="s">
        <v>44</v>
      </c>
      <c r="R548" s="2" t="s">
        <v>44</v>
      </c>
      <c r="S548" s="2" t="s">
        <v>56</v>
      </c>
      <c r="T548" s="5">
        <v>24600</v>
      </c>
      <c r="U548" s="5">
        <v>0</v>
      </c>
      <c r="V548" s="4">
        <v>40</v>
      </c>
      <c r="W548" s="4">
        <v>29</v>
      </c>
      <c r="X548" s="2" t="s">
        <v>57</v>
      </c>
      <c r="Y548" s="4">
        <v>1</v>
      </c>
      <c r="Z548" s="4">
        <v>0</v>
      </c>
      <c r="AA548" s="4">
        <v>0</v>
      </c>
      <c r="AB548" s="4">
        <v>0</v>
      </c>
      <c r="AC548" s="4">
        <v>3</v>
      </c>
      <c r="AD548" s="4">
        <v>17</v>
      </c>
      <c r="AE548" s="3" t="s">
        <v>73</v>
      </c>
      <c r="AG548">
        <f t="shared" ca="1" si="24"/>
        <v>0</v>
      </c>
      <c r="AH548" s="23" t="str" cm="1">
        <f t="array" ref="AH548">_xlfn.IFS(E548&gt;49,"50+",E548&gt;39,"40-49",E548&gt;29,"30-39",E548&gt;19,"20-29")</f>
        <v>20-29</v>
      </c>
      <c r="AI548" s="24" t="str" cm="1">
        <f t="array" aca="1" ref="AI548" ca="1">_xlfn.IFS(AG548&gt;10,"10+",AG548&gt;4,"5-10 YIL",AG548&gt;2,"3-5 YIL",AG548&gt;0.9,"1-3 YIL",AG548&lt;1,"0-1 YIL")</f>
        <v>0-1 YIL</v>
      </c>
      <c r="AJ548">
        <f t="shared" si="25"/>
        <v>2025</v>
      </c>
      <c r="AK548" t="e">
        <f t="shared" si="26"/>
        <v>#VALUE!</v>
      </c>
    </row>
    <row r="549" spans="1:37" x14ac:dyDescent="0.3">
      <c r="A549" s="6" t="s">
        <v>954</v>
      </c>
      <c r="B549" s="7" t="s">
        <v>409</v>
      </c>
      <c r="C549" s="6" t="s">
        <v>33</v>
      </c>
      <c r="D549" s="14">
        <v>38073</v>
      </c>
      <c r="E549" s="8">
        <v>22</v>
      </c>
      <c r="F549" s="6" t="s">
        <v>34</v>
      </c>
      <c r="G549" s="8">
        <v>0</v>
      </c>
      <c r="H549" s="6" t="s">
        <v>88</v>
      </c>
      <c r="I549" s="7" t="s">
        <v>148</v>
      </c>
      <c r="J549" s="7" t="s">
        <v>252</v>
      </c>
      <c r="K549" s="6" t="s">
        <v>38</v>
      </c>
      <c r="L549" s="6" t="s">
        <v>63</v>
      </c>
      <c r="M549" s="7" t="s">
        <v>150</v>
      </c>
      <c r="N549" s="6" t="s">
        <v>41</v>
      </c>
      <c r="O549" s="14">
        <v>44864</v>
      </c>
      <c r="P549" s="6" t="s">
        <v>44</v>
      </c>
      <c r="Q549" s="7" t="s">
        <v>44</v>
      </c>
      <c r="R549" s="6" t="s">
        <v>44</v>
      </c>
      <c r="S549" s="6" t="s">
        <v>56</v>
      </c>
      <c r="T549" s="9">
        <v>37400</v>
      </c>
      <c r="U549" s="9">
        <v>0</v>
      </c>
      <c r="V549" s="8">
        <v>6</v>
      </c>
      <c r="W549" s="8">
        <v>30</v>
      </c>
      <c r="X549" s="6" t="s">
        <v>44</v>
      </c>
      <c r="Y549" s="8">
        <v>0</v>
      </c>
      <c r="Z549" s="8">
        <v>10</v>
      </c>
      <c r="AA549" s="8">
        <v>0</v>
      </c>
      <c r="AB549" s="8">
        <v>0</v>
      </c>
      <c r="AC549" s="8">
        <v>3</v>
      </c>
      <c r="AD549" s="8">
        <v>16</v>
      </c>
      <c r="AE549" s="7" t="s">
        <v>73</v>
      </c>
      <c r="AG549">
        <f t="shared" ca="1" si="24"/>
        <v>3</v>
      </c>
      <c r="AH549" s="23" t="str" cm="1">
        <f t="array" ref="AH549">_xlfn.IFS(E549&gt;49,"50+",E549&gt;39,"40-49",E549&gt;29,"30-39",E549&gt;19,"20-29")</f>
        <v>20-29</v>
      </c>
      <c r="AI549" s="24" t="str" cm="1">
        <f t="array" aca="1" ref="AI549" ca="1">_xlfn.IFS(AG549&gt;10,"10+",AG549&gt;4,"5-10 YIL",AG549&gt;2,"3-5 YIL",AG549&gt;0.9,"1-3 YIL",AG549&lt;1,"0-1 YIL")</f>
        <v>3-5 YIL</v>
      </c>
      <c r="AJ549">
        <f t="shared" si="25"/>
        <v>2022</v>
      </c>
      <c r="AK549" t="e">
        <f t="shared" si="26"/>
        <v>#VALUE!</v>
      </c>
    </row>
    <row r="550" spans="1:37" x14ac:dyDescent="0.3">
      <c r="A550" s="2" t="s">
        <v>955</v>
      </c>
      <c r="B550" s="3" t="s">
        <v>956</v>
      </c>
      <c r="C550" s="2" t="s">
        <v>33</v>
      </c>
      <c r="D550" s="13">
        <v>31791</v>
      </c>
      <c r="E550" s="4">
        <v>39</v>
      </c>
      <c r="F550" s="2" t="s">
        <v>49</v>
      </c>
      <c r="G550" s="4">
        <v>3</v>
      </c>
      <c r="H550" s="2" t="s">
        <v>85</v>
      </c>
      <c r="I550" s="3" t="s">
        <v>61</v>
      </c>
      <c r="J550" s="3" t="s">
        <v>107</v>
      </c>
      <c r="K550" s="2" t="s">
        <v>51</v>
      </c>
      <c r="L550" s="2" t="s">
        <v>63</v>
      </c>
      <c r="M550" s="3" t="s">
        <v>64</v>
      </c>
      <c r="N550" s="2" t="s">
        <v>41</v>
      </c>
      <c r="O550" s="13">
        <v>43937</v>
      </c>
      <c r="P550" s="13">
        <v>45618</v>
      </c>
      <c r="Q550" s="3" t="s">
        <v>42</v>
      </c>
      <c r="R550" s="2">
        <v>3</v>
      </c>
      <c r="S550" s="2" t="s">
        <v>43</v>
      </c>
      <c r="T550" s="5">
        <v>56500</v>
      </c>
      <c r="U550" s="5">
        <v>10100</v>
      </c>
      <c r="V550" s="4">
        <v>5</v>
      </c>
      <c r="W550" s="4">
        <v>29</v>
      </c>
      <c r="X550" s="2" t="s">
        <v>57</v>
      </c>
      <c r="Y550" s="4">
        <v>1</v>
      </c>
      <c r="Z550" s="4">
        <v>7</v>
      </c>
      <c r="AA550" s="4">
        <v>0</v>
      </c>
      <c r="AB550" s="4">
        <v>0</v>
      </c>
      <c r="AC550" s="4">
        <v>3</v>
      </c>
      <c r="AD550" s="4">
        <v>5</v>
      </c>
      <c r="AE550" s="3" t="s">
        <v>58</v>
      </c>
      <c r="AG550">
        <f t="shared" ca="1" si="24"/>
        <v>6</v>
      </c>
      <c r="AH550" s="23" t="str" cm="1">
        <f t="array" ref="AH550">_xlfn.IFS(E550&gt;49,"50+",E550&gt;39,"40-49",E550&gt;29,"30-39",E550&gt;19,"20-29")</f>
        <v>30-39</v>
      </c>
      <c r="AI550" s="24" t="str" cm="1">
        <f t="array" aca="1" ref="AI550" ca="1">_xlfn.IFS(AG550&gt;10,"10+",AG550&gt;4,"5-10 YIL",AG550&gt;2,"3-5 YIL",AG550&gt;0.9,"1-3 YIL",AG550&lt;1,"0-1 YIL")</f>
        <v>5-10 YIL</v>
      </c>
      <c r="AJ550">
        <f t="shared" si="25"/>
        <v>2020</v>
      </c>
      <c r="AK550">
        <f t="shared" si="26"/>
        <v>2024</v>
      </c>
    </row>
    <row r="551" spans="1:37" x14ac:dyDescent="0.3">
      <c r="A551" s="6" t="s">
        <v>957</v>
      </c>
      <c r="B551" s="7" t="s">
        <v>958</v>
      </c>
      <c r="C551" s="6" t="s">
        <v>48</v>
      </c>
      <c r="D551" s="14">
        <v>36071</v>
      </c>
      <c r="E551" s="8">
        <v>28</v>
      </c>
      <c r="F551" s="6" t="s">
        <v>34</v>
      </c>
      <c r="G551" s="8">
        <v>0</v>
      </c>
      <c r="H551" s="6" t="s">
        <v>35</v>
      </c>
      <c r="I551" s="7" t="s">
        <v>36</v>
      </c>
      <c r="J551" s="7" t="s">
        <v>37</v>
      </c>
      <c r="K551" s="6" t="s">
        <v>38</v>
      </c>
      <c r="L551" s="6" t="s">
        <v>39</v>
      </c>
      <c r="M551" s="7" t="s">
        <v>40</v>
      </c>
      <c r="N551" s="6" t="s">
        <v>52</v>
      </c>
      <c r="O551" s="14">
        <v>45101</v>
      </c>
      <c r="P551" s="6" t="s">
        <v>44</v>
      </c>
      <c r="Q551" s="7" t="s">
        <v>44</v>
      </c>
      <c r="R551" s="6" t="s">
        <v>44</v>
      </c>
      <c r="S551" s="6" t="s">
        <v>56</v>
      </c>
      <c r="T551" s="9">
        <v>26500</v>
      </c>
      <c r="U551" s="9">
        <v>0</v>
      </c>
      <c r="V551" s="8">
        <v>17</v>
      </c>
      <c r="W551" s="8">
        <v>28</v>
      </c>
      <c r="X551" s="6" t="s">
        <v>57</v>
      </c>
      <c r="Y551" s="8">
        <v>2</v>
      </c>
      <c r="Z551" s="8">
        <v>3</v>
      </c>
      <c r="AA551" s="8">
        <v>0</v>
      </c>
      <c r="AB551" s="8">
        <v>0</v>
      </c>
      <c r="AC551" s="8">
        <v>3</v>
      </c>
      <c r="AD551" s="8">
        <v>8</v>
      </c>
      <c r="AE551" s="7" t="s">
        <v>58</v>
      </c>
      <c r="AG551">
        <f t="shared" ca="1" si="24"/>
        <v>3</v>
      </c>
      <c r="AH551" s="23" t="str" cm="1">
        <f t="array" ref="AH551">_xlfn.IFS(E551&gt;49,"50+",E551&gt;39,"40-49",E551&gt;29,"30-39",E551&gt;19,"20-29")</f>
        <v>20-29</v>
      </c>
      <c r="AI551" s="24" t="str" cm="1">
        <f t="array" aca="1" ref="AI551" ca="1">_xlfn.IFS(AG551&gt;10,"10+",AG551&gt;4,"5-10 YIL",AG551&gt;2,"3-5 YIL",AG551&gt;0.9,"1-3 YIL",AG551&lt;1,"0-1 YIL")</f>
        <v>3-5 YIL</v>
      </c>
      <c r="AJ551">
        <f t="shared" si="25"/>
        <v>2023</v>
      </c>
      <c r="AK551" t="e">
        <f t="shared" si="26"/>
        <v>#VALUE!</v>
      </c>
    </row>
    <row r="552" spans="1:37" x14ac:dyDescent="0.3">
      <c r="A552" s="2" t="s">
        <v>959</v>
      </c>
      <c r="B552" s="3" t="s">
        <v>216</v>
      </c>
      <c r="C552" s="2" t="s">
        <v>48</v>
      </c>
      <c r="D552" s="13">
        <v>36102</v>
      </c>
      <c r="E552" s="4">
        <v>28</v>
      </c>
      <c r="F552" s="2" t="s">
        <v>49</v>
      </c>
      <c r="G552" s="4">
        <v>1</v>
      </c>
      <c r="H552" s="2" t="s">
        <v>88</v>
      </c>
      <c r="I552" s="3" t="s">
        <v>36</v>
      </c>
      <c r="J552" s="3" t="s">
        <v>37</v>
      </c>
      <c r="K552" s="2" t="s">
        <v>38</v>
      </c>
      <c r="L552" s="2" t="s">
        <v>39</v>
      </c>
      <c r="M552" s="3" t="s">
        <v>40</v>
      </c>
      <c r="N552" s="2" t="s">
        <v>41</v>
      </c>
      <c r="O552" s="13">
        <v>45906</v>
      </c>
      <c r="P552" s="2" t="s">
        <v>44</v>
      </c>
      <c r="Q552" s="3" t="s">
        <v>44</v>
      </c>
      <c r="R552" s="2" t="s">
        <v>44</v>
      </c>
      <c r="S552" s="2" t="s">
        <v>56</v>
      </c>
      <c r="T552" s="5">
        <v>25100</v>
      </c>
      <c r="U552" s="5">
        <v>0</v>
      </c>
      <c r="V552" s="4">
        <v>15</v>
      </c>
      <c r="W552" s="4">
        <v>28</v>
      </c>
      <c r="X552" s="2" t="s">
        <v>57</v>
      </c>
      <c r="Y552" s="4">
        <v>2</v>
      </c>
      <c r="Z552" s="4">
        <v>0</v>
      </c>
      <c r="AA552" s="4">
        <v>0</v>
      </c>
      <c r="AB552" s="4">
        <v>0</v>
      </c>
      <c r="AC552" s="4">
        <v>3</v>
      </c>
      <c r="AD552" s="4">
        <v>5</v>
      </c>
      <c r="AE552" s="3" t="s">
        <v>58</v>
      </c>
      <c r="AG552">
        <f t="shared" ca="1" si="24"/>
        <v>0</v>
      </c>
      <c r="AH552" s="23" t="str" cm="1">
        <f t="array" ref="AH552">_xlfn.IFS(E552&gt;49,"50+",E552&gt;39,"40-49",E552&gt;29,"30-39",E552&gt;19,"20-29")</f>
        <v>20-29</v>
      </c>
      <c r="AI552" s="24" t="str" cm="1">
        <f t="array" aca="1" ref="AI552" ca="1">_xlfn.IFS(AG552&gt;10,"10+",AG552&gt;4,"5-10 YIL",AG552&gt;2,"3-5 YIL",AG552&gt;0.9,"1-3 YIL",AG552&lt;1,"0-1 YIL")</f>
        <v>0-1 YIL</v>
      </c>
      <c r="AJ552">
        <f t="shared" si="25"/>
        <v>2025</v>
      </c>
      <c r="AK552" t="e">
        <f t="shared" si="26"/>
        <v>#VALUE!</v>
      </c>
    </row>
    <row r="553" spans="1:37" x14ac:dyDescent="0.3">
      <c r="A553" s="6" t="s">
        <v>960</v>
      </c>
      <c r="B553" s="7" t="s">
        <v>677</v>
      </c>
      <c r="C553" s="6" t="s">
        <v>48</v>
      </c>
      <c r="D553" s="14">
        <v>33029</v>
      </c>
      <c r="E553" s="8">
        <v>36</v>
      </c>
      <c r="F553" s="6" t="s">
        <v>34</v>
      </c>
      <c r="G553" s="8">
        <v>0</v>
      </c>
      <c r="H553" s="6" t="s">
        <v>88</v>
      </c>
      <c r="I553" s="7" t="s">
        <v>61</v>
      </c>
      <c r="J553" s="7" t="s">
        <v>124</v>
      </c>
      <c r="K553" s="6" t="s">
        <v>79</v>
      </c>
      <c r="L553" s="6" t="s">
        <v>63</v>
      </c>
      <c r="M553" s="7" t="s">
        <v>80</v>
      </c>
      <c r="N553" s="6" t="s">
        <v>52</v>
      </c>
      <c r="O553" s="14">
        <v>43188</v>
      </c>
      <c r="P553" s="6" t="s">
        <v>44</v>
      </c>
      <c r="Q553" s="7" t="s">
        <v>44</v>
      </c>
      <c r="R553" s="6" t="s">
        <v>44</v>
      </c>
      <c r="S553" s="6" t="s">
        <v>56</v>
      </c>
      <c r="T553" s="9">
        <v>111200</v>
      </c>
      <c r="U553" s="9">
        <v>17300</v>
      </c>
      <c r="V553" s="8">
        <v>5</v>
      </c>
      <c r="W553" s="8">
        <v>30</v>
      </c>
      <c r="X553" s="6" t="s">
        <v>44</v>
      </c>
      <c r="Y553" s="8">
        <v>0</v>
      </c>
      <c r="Z553" s="8">
        <v>6</v>
      </c>
      <c r="AA553" s="8">
        <v>0</v>
      </c>
      <c r="AB553" s="8">
        <v>0</v>
      </c>
      <c r="AC553" s="8">
        <v>3</v>
      </c>
      <c r="AD553" s="8">
        <v>4</v>
      </c>
      <c r="AE553" s="7" t="s">
        <v>58</v>
      </c>
      <c r="AG553">
        <f t="shared" ca="1" si="24"/>
        <v>8</v>
      </c>
      <c r="AH553" s="23" t="str" cm="1">
        <f t="array" ref="AH553">_xlfn.IFS(E553&gt;49,"50+",E553&gt;39,"40-49",E553&gt;29,"30-39",E553&gt;19,"20-29")</f>
        <v>30-39</v>
      </c>
      <c r="AI553" s="24" t="str" cm="1">
        <f t="array" aca="1" ref="AI553" ca="1">_xlfn.IFS(AG553&gt;10,"10+",AG553&gt;4,"5-10 YIL",AG553&gt;2,"3-5 YIL",AG553&gt;0.9,"1-3 YIL",AG553&lt;1,"0-1 YIL")</f>
        <v>5-10 YIL</v>
      </c>
      <c r="AJ553">
        <f t="shared" si="25"/>
        <v>2018</v>
      </c>
      <c r="AK553" t="e">
        <f t="shared" si="26"/>
        <v>#VALUE!</v>
      </c>
    </row>
    <row r="554" spans="1:37" x14ac:dyDescent="0.3">
      <c r="A554" s="2" t="s">
        <v>961</v>
      </c>
      <c r="B554" s="3" t="s">
        <v>487</v>
      </c>
      <c r="C554" s="2" t="s">
        <v>48</v>
      </c>
      <c r="D554" s="13">
        <v>37641</v>
      </c>
      <c r="E554" s="4">
        <v>23</v>
      </c>
      <c r="F554" s="2" t="s">
        <v>49</v>
      </c>
      <c r="G554" s="4">
        <v>1</v>
      </c>
      <c r="H554" s="2" t="s">
        <v>184</v>
      </c>
      <c r="I554" s="3" t="s">
        <v>36</v>
      </c>
      <c r="J554" s="3" t="s">
        <v>37</v>
      </c>
      <c r="K554" s="2" t="s">
        <v>38</v>
      </c>
      <c r="L554" s="2" t="s">
        <v>39</v>
      </c>
      <c r="M554" s="3" t="s">
        <v>40</v>
      </c>
      <c r="N554" s="2" t="s">
        <v>41</v>
      </c>
      <c r="O554" s="13">
        <v>46007</v>
      </c>
      <c r="P554" s="2" t="s">
        <v>44</v>
      </c>
      <c r="Q554" s="3" t="s">
        <v>44</v>
      </c>
      <c r="R554" s="2" t="s">
        <v>44</v>
      </c>
      <c r="S554" s="2" t="s">
        <v>56</v>
      </c>
      <c r="T554" s="5">
        <v>25400</v>
      </c>
      <c r="U554" s="5">
        <v>0</v>
      </c>
      <c r="V554" s="4">
        <v>40</v>
      </c>
      <c r="W554" s="4">
        <v>30</v>
      </c>
      <c r="X554" s="2" t="s">
        <v>44</v>
      </c>
      <c r="Y554" s="4">
        <v>0</v>
      </c>
      <c r="Z554" s="4">
        <v>0</v>
      </c>
      <c r="AA554" s="4">
        <v>0</v>
      </c>
      <c r="AB554" s="4">
        <v>0</v>
      </c>
      <c r="AC554" s="4">
        <v>3</v>
      </c>
      <c r="AD554" s="4">
        <v>17</v>
      </c>
      <c r="AE554" s="3" t="s">
        <v>58</v>
      </c>
      <c r="AG554">
        <f t="shared" ca="1" si="24"/>
        <v>0</v>
      </c>
      <c r="AH554" s="23" t="str" cm="1">
        <f t="array" ref="AH554">_xlfn.IFS(E554&gt;49,"50+",E554&gt;39,"40-49",E554&gt;29,"30-39",E554&gt;19,"20-29")</f>
        <v>20-29</v>
      </c>
      <c r="AI554" s="24" t="str" cm="1">
        <f t="array" aca="1" ref="AI554" ca="1">_xlfn.IFS(AG554&gt;10,"10+",AG554&gt;4,"5-10 YIL",AG554&gt;2,"3-5 YIL",AG554&gt;0.9,"1-3 YIL",AG554&lt;1,"0-1 YIL")</f>
        <v>0-1 YIL</v>
      </c>
      <c r="AJ554">
        <f t="shared" si="25"/>
        <v>2025</v>
      </c>
      <c r="AK554" t="e">
        <f t="shared" si="26"/>
        <v>#VALUE!</v>
      </c>
    </row>
    <row r="555" spans="1:37" x14ac:dyDescent="0.3">
      <c r="A555" s="6" t="s">
        <v>962</v>
      </c>
      <c r="B555" s="7" t="s">
        <v>757</v>
      </c>
      <c r="C555" s="6" t="s">
        <v>48</v>
      </c>
      <c r="D555" s="14">
        <v>31763</v>
      </c>
      <c r="E555" s="8">
        <v>40</v>
      </c>
      <c r="F555" s="6" t="s">
        <v>34</v>
      </c>
      <c r="G555" s="8">
        <v>0</v>
      </c>
      <c r="H555" s="6" t="s">
        <v>35</v>
      </c>
      <c r="I555" s="7" t="s">
        <v>36</v>
      </c>
      <c r="J555" s="7" t="s">
        <v>78</v>
      </c>
      <c r="K555" s="6" t="s">
        <v>79</v>
      </c>
      <c r="L555" s="6" t="s">
        <v>63</v>
      </c>
      <c r="M555" s="7" t="s">
        <v>80</v>
      </c>
      <c r="N555" s="6" t="s">
        <v>41</v>
      </c>
      <c r="O555" s="14">
        <v>39694</v>
      </c>
      <c r="P555" s="6" t="s">
        <v>44</v>
      </c>
      <c r="Q555" s="7" t="s">
        <v>44</v>
      </c>
      <c r="R555" s="6" t="s">
        <v>44</v>
      </c>
      <c r="S555" s="6" t="s">
        <v>56</v>
      </c>
      <c r="T555" s="9">
        <v>95200</v>
      </c>
      <c r="U555" s="9">
        <v>0</v>
      </c>
      <c r="V555" s="8">
        <v>4</v>
      </c>
      <c r="W555" s="8">
        <v>30</v>
      </c>
      <c r="X555" s="6" t="s">
        <v>44</v>
      </c>
      <c r="Y555" s="8">
        <v>0</v>
      </c>
      <c r="Z555" s="8">
        <v>2</v>
      </c>
      <c r="AA555" s="8">
        <v>0</v>
      </c>
      <c r="AB555" s="8">
        <v>0</v>
      </c>
      <c r="AC555" s="8">
        <v>3</v>
      </c>
      <c r="AD555" s="8">
        <v>11</v>
      </c>
      <c r="AE555" s="7" t="s">
        <v>58</v>
      </c>
      <c r="AG555">
        <f t="shared" ca="1" si="24"/>
        <v>17</v>
      </c>
      <c r="AH555" s="23" t="str" cm="1">
        <f t="array" ref="AH555">_xlfn.IFS(E555&gt;49,"50+",E555&gt;39,"40-49",E555&gt;29,"30-39",E555&gt;19,"20-29")</f>
        <v>40-49</v>
      </c>
      <c r="AI555" s="24" t="str" cm="1">
        <f t="array" aca="1" ref="AI555" ca="1">_xlfn.IFS(AG555&gt;10,"10+",AG555&gt;4,"5-10 YIL",AG555&gt;2,"3-5 YIL",AG555&gt;0.9,"1-3 YIL",AG555&lt;1,"0-1 YIL")</f>
        <v>10+</v>
      </c>
      <c r="AJ555">
        <f t="shared" si="25"/>
        <v>2008</v>
      </c>
      <c r="AK555" t="e">
        <f t="shared" si="26"/>
        <v>#VALUE!</v>
      </c>
    </row>
    <row r="556" spans="1:37" x14ac:dyDescent="0.3">
      <c r="A556" s="2" t="s">
        <v>963</v>
      </c>
      <c r="B556" s="3" t="s">
        <v>384</v>
      </c>
      <c r="C556" s="2" t="s">
        <v>48</v>
      </c>
      <c r="D556" s="13">
        <v>36220</v>
      </c>
      <c r="E556" s="4">
        <v>27</v>
      </c>
      <c r="F556" s="2" t="s">
        <v>34</v>
      </c>
      <c r="G556" s="4">
        <v>0</v>
      </c>
      <c r="H556" s="2" t="s">
        <v>85</v>
      </c>
      <c r="I556" s="3" t="s">
        <v>36</v>
      </c>
      <c r="J556" s="3" t="s">
        <v>37</v>
      </c>
      <c r="K556" s="2" t="s">
        <v>38</v>
      </c>
      <c r="L556" s="2" t="s">
        <v>39</v>
      </c>
      <c r="M556" s="3" t="s">
        <v>40</v>
      </c>
      <c r="N556" s="2" t="s">
        <v>95</v>
      </c>
      <c r="O556" s="13">
        <v>46096</v>
      </c>
      <c r="P556" s="2" t="s">
        <v>44</v>
      </c>
      <c r="Q556" s="3" t="s">
        <v>44</v>
      </c>
      <c r="R556" s="2" t="s">
        <v>44</v>
      </c>
      <c r="S556" s="2" t="s">
        <v>56</v>
      </c>
      <c r="T556" s="5">
        <v>28700</v>
      </c>
      <c r="U556" s="5">
        <v>0</v>
      </c>
      <c r="V556" s="4">
        <v>24</v>
      </c>
      <c r="W556" s="4">
        <v>30</v>
      </c>
      <c r="X556" s="2" t="s">
        <v>44</v>
      </c>
      <c r="Y556" s="4">
        <v>0</v>
      </c>
      <c r="Z556" s="4">
        <v>0</v>
      </c>
      <c r="AA556" s="4">
        <v>0</v>
      </c>
      <c r="AB556" s="4">
        <v>0</v>
      </c>
      <c r="AC556" s="4">
        <v>4</v>
      </c>
      <c r="AD556" s="4">
        <v>12</v>
      </c>
      <c r="AE556" s="3" t="s">
        <v>58</v>
      </c>
      <c r="AG556">
        <f t="shared" ca="1" si="24"/>
        <v>0</v>
      </c>
      <c r="AH556" s="23" t="str" cm="1">
        <f t="array" ref="AH556">_xlfn.IFS(E556&gt;49,"50+",E556&gt;39,"40-49",E556&gt;29,"30-39",E556&gt;19,"20-29")</f>
        <v>20-29</v>
      </c>
      <c r="AI556" s="24" t="str" cm="1">
        <f t="array" aca="1" ref="AI556" ca="1">_xlfn.IFS(AG556&gt;10,"10+",AG556&gt;4,"5-10 YIL",AG556&gt;2,"3-5 YIL",AG556&gt;0.9,"1-3 YIL",AG556&lt;1,"0-1 YIL")</f>
        <v>0-1 YIL</v>
      </c>
      <c r="AJ556">
        <f t="shared" si="25"/>
        <v>2026</v>
      </c>
      <c r="AK556" t="e">
        <f t="shared" si="26"/>
        <v>#VALUE!</v>
      </c>
    </row>
    <row r="557" spans="1:37" x14ac:dyDescent="0.3">
      <c r="A557" s="6" t="s">
        <v>964</v>
      </c>
      <c r="B557" s="7" t="s">
        <v>965</v>
      </c>
      <c r="C557" s="6" t="s">
        <v>48</v>
      </c>
      <c r="D557" s="14">
        <v>35981</v>
      </c>
      <c r="E557" s="8">
        <v>28</v>
      </c>
      <c r="F557" s="6" t="s">
        <v>49</v>
      </c>
      <c r="G557" s="8">
        <v>3</v>
      </c>
      <c r="H557" s="6" t="s">
        <v>35</v>
      </c>
      <c r="I557" s="7" t="s">
        <v>36</v>
      </c>
      <c r="J557" s="7" t="s">
        <v>37</v>
      </c>
      <c r="K557" s="6" t="s">
        <v>38</v>
      </c>
      <c r="L557" s="6" t="s">
        <v>39</v>
      </c>
      <c r="M557" s="7" t="s">
        <v>40</v>
      </c>
      <c r="N557" s="6" t="s">
        <v>41</v>
      </c>
      <c r="O557" s="14">
        <v>44966</v>
      </c>
      <c r="P557" s="6" t="s">
        <v>44</v>
      </c>
      <c r="Q557" s="7" t="s">
        <v>44</v>
      </c>
      <c r="R557" s="6" t="s">
        <v>44</v>
      </c>
      <c r="S557" s="6" t="s">
        <v>56</v>
      </c>
      <c r="T557" s="9">
        <v>27300</v>
      </c>
      <c r="U557" s="9">
        <v>0</v>
      </c>
      <c r="V557" s="8">
        <v>25</v>
      </c>
      <c r="W557" s="8">
        <v>30</v>
      </c>
      <c r="X557" s="6" t="s">
        <v>44</v>
      </c>
      <c r="Y557" s="8">
        <v>0</v>
      </c>
      <c r="Z557" s="8">
        <v>0</v>
      </c>
      <c r="AA557" s="8">
        <v>0</v>
      </c>
      <c r="AB557" s="8">
        <v>0</v>
      </c>
      <c r="AC557" s="8">
        <v>3</v>
      </c>
      <c r="AD557" s="8">
        <v>12</v>
      </c>
      <c r="AE557" s="7" t="s">
        <v>82</v>
      </c>
      <c r="AG557">
        <f t="shared" ca="1" si="24"/>
        <v>3</v>
      </c>
      <c r="AH557" s="23" t="str" cm="1">
        <f t="array" ref="AH557">_xlfn.IFS(E557&gt;49,"50+",E557&gt;39,"40-49",E557&gt;29,"30-39",E557&gt;19,"20-29")</f>
        <v>20-29</v>
      </c>
      <c r="AI557" s="24" t="str" cm="1">
        <f t="array" aca="1" ref="AI557" ca="1">_xlfn.IFS(AG557&gt;10,"10+",AG557&gt;4,"5-10 YIL",AG557&gt;2,"3-5 YIL",AG557&gt;0.9,"1-3 YIL",AG557&lt;1,"0-1 YIL")</f>
        <v>3-5 YIL</v>
      </c>
      <c r="AJ557">
        <f t="shared" si="25"/>
        <v>2023</v>
      </c>
      <c r="AK557" t="e">
        <f t="shared" si="26"/>
        <v>#VALUE!</v>
      </c>
    </row>
    <row r="558" spans="1:37" x14ac:dyDescent="0.3">
      <c r="A558" s="2" t="s">
        <v>966</v>
      </c>
      <c r="B558" s="3" t="s">
        <v>810</v>
      </c>
      <c r="C558" s="2" t="s">
        <v>48</v>
      </c>
      <c r="D558" s="13">
        <v>36262</v>
      </c>
      <c r="E558" s="4">
        <v>27</v>
      </c>
      <c r="F558" s="2" t="s">
        <v>34</v>
      </c>
      <c r="G558" s="4">
        <v>0</v>
      </c>
      <c r="H558" s="2" t="s">
        <v>88</v>
      </c>
      <c r="I558" s="3" t="s">
        <v>36</v>
      </c>
      <c r="J558" s="3" t="s">
        <v>37</v>
      </c>
      <c r="K558" s="2" t="s">
        <v>38</v>
      </c>
      <c r="L558" s="2" t="s">
        <v>39</v>
      </c>
      <c r="M558" s="3" t="s">
        <v>40</v>
      </c>
      <c r="N558" s="2" t="s">
        <v>89</v>
      </c>
      <c r="O558" s="13">
        <v>45567</v>
      </c>
      <c r="P558" s="2" t="s">
        <v>44</v>
      </c>
      <c r="Q558" s="3" t="s">
        <v>44</v>
      </c>
      <c r="R558" s="2" t="s">
        <v>44</v>
      </c>
      <c r="S558" s="2" t="s">
        <v>56</v>
      </c>
      <c r="T558" s="5">
        <v>27500</v>
      </c>
      <c r="U558" s="5">
        <v>0</v>
      </c>
      <c r="V558" s="4">
        <v>35</v>
      </c>
      <c r="W558" s="4">
        <v>30</v>
      </c>
      <c r="X558" s="2" t="s">
        <v>44</v>
      </c>
      <c r="Y558" s="4">
        <v>0</v>
      </c>
      <c r="Z558" s="4">
        <v>9</v>
      </c>
      <c r="AA558" s="4">
        <v>0</v>
      </c>
      <c r="AB558" s="4">
        <v>0</v>
      </c>
      <c r="AC558" s="4">
        <v>3</v>
      </c>
      <c r="AD558" s="4">
        <v>19</v>
      </c>
      <c r="AE558" s="3" t="s">
        <v>58</v>
      </c>
      <c r="AG558">
        <f t="shared" ca="1" si="24"/>
        <v>1</v>
      </c>
      <c r="AH558" s="23" t="str" cm="1">
        <f t="array" ref="AH558">_xlfn.IFS(E558&gt;49,"50+",E558&gt;39,"40-49",E558&gt;29,"30-39",E558&gt;19,"20-29")</f>
        <v>20-29</v>
      </c>
      <c r="AI558" s="24" t="str" cm="1">
        <f t="array" aca="1" ref="AI558" ca="1">_xlfn.IFS(AG558&gt;10,"10+",AG558&gt;4,"5-10 YIL",AG558&gt;2,"3-5 YIL",AG558&gt;0.9,"1-3 YIL",AG558&lt;1,"0-1 YIL")</f>
        <v>1-3 YIL</v>
      </c>
      <c r="AJ558">
        <f t="shared" si="25"/>
        <v>2024</v>
      </c>
      <c r="AK558" t="e">
        <f t="shared" si="26"/>
        <v>#VALUE!</v>
      </c>
    </row>
    <row r="559" spans="1:37" x14ac:dyDescent="0.3">
      <c r="A559" s="6" t="s">
        <v>967</v>
      </c>
      <c r="B559" s="7" t="s">
        <v>598</v>
      </c>
      <c r="C559" s="6" t="s">
        <v>33</v>
      </c>
      <c r="D559" s="14">
        <v>30574</v>
      </c>
      <c r="E559" s="8">
        <v>43</v>
      </c>
      <c r="F559" s="6" t="s">
        <v>34</v>
      </c>
      <c r="G559" s="8">
        <v>0</v>
      </c>
      <c r="H559" s="6" t="s">
        <v>35</v>
      </c>
      <c r="I559" s="7" t="s">
        <v>148</v>
      </c>
      <c r="J559" s="7" t="s">
        <v>149</v>
      </c>
      <c r="K559" s="6" t="s">
        <v>51</v>
      </c>
      <c r="L559" s="6" t="s">
        <v>63</v>
      </c>
      <c r="M559" s="7" t="s">
        <v>150</v>
      </c>
      <c r="N559" s="6" t="s">
        <v>95</v>
      </c>
      <c r="O559" s="14">
        <v>42850</v>
      </c>
      <c r="P559" s="6" t="s">
        <v>44</v>
      </c>
      <c r="Q559" s="7" t="s">
        <v>44</v>
      </c>
      <c r="R559" s="6" t="s">
        <v>44</v>
      </c>
      <c r="S559" s="6" t="s">
        <v>56</v>
      </c>
      <c r="T559" s="9">
        <v>57900</v>
      </c>
      <c r="U559" s="9">
        <v>3600</v>
      </c>
      <c r="V559" s="8">
        <v>8</v>
      </c>
      <c r="W559" s="8">
        <v>30</v>
      </c>
      <c r="X559" s="6" t="s">
        <v>44</v>
      </c>
      <c r="Y559" s="8">
        <v>0</v>
      </c>
      <c r="Z559" s="8">
        <v>14</v>
      </c>
      <c r="AA559" s="8">
        <v>0</v>
      </c>
      <c r="AB559" s="8">
        <v>0</v>
      </c>
      <c r="AC559" s="8">
        <v>3</v>
      </c>
      <c r="AD559" s="8">
        <v>5</v>
      </c>
      <c r="AE559" s="7" t="s">
        <v>45</v>
      </c>
      <c r="AG559">
        <f t="shared" ca="1" si="24"/>
        <v>9</v>
      </c>
      <c r="AH559" s="23" t="str" cm="1">
        <f t="array" ref="AH559">_xlfn.IFS(E559&gt;49,"50+",E559&gt;39,"40-49",E559&gt;29,"30-39",E559&gt;19,"20-29")</f>
        <v>40-49</v>
      </c>
      <c r="AI559" s="24" t="str" cm="1">
        <f t="array" aca="1" ref="AI559" ca="1">_xlfn.IFS(AG559&gt;10,"10+",AG559&gt;4,"5-10 YIL",AG559&gt;2,"3-5 YIL",AG559&gt;0.9,"1-3 YIL",AG559&lt;1,"0-1 YIL")</f>
        <v>5-10 YIL</v>
      </c>
      <c r="AJ559">
        <f t="shared" si="25"/>
        <v>2017</v>
      </c>
      <c r="AK559" t="e">
        <f t="shared" si="26"/>
        <v>#VALUE!</v>
      </c>
    </row>
    <row r="560" spans="1:37" x14ac:dyDescent="0.3">
      <c r="A560" s="2" t="s">
        <v>968</v>
      </c>
      <c r="B560" s="3" t="s">
        <v>851</v>
      </c>
      <c r="C560" s="2" t="s">
        <v>33</v>
      </c>
      <c r="D560" s="13">
        <v>36976</v>
      </c>
      <c r="E560" s="4">
        <v>25</v>
      </c>
      <c r="F560" s="2" t="s">
        <v>49</v>
      </c>
      <c r="G560" s="4">
        <v>2</v>
      </c>
      <c r="H560" s="2" t="s">
        <v>85</v>
      </c>
      <c r="I560" s="3" t="s">
        <v>61</v>
      </c>
      <c r="J560" s="3" t="s">
        <v>62</v>
      </c>
      <c r="K560" s="2" t="s">
        <v>38</v>
      </c>
      <c r="L560" s="2" t="s">
        <v>63</v>
      </c>
      <c r="M560" s="3" t="s">
        <v>64</v>
      </c>
      <c r="N560" s="2" t="s">
        <v>41</v>
      </c>
      <c r="O560" s="13">
        <v>45392</v>
      </c>
      <c r="P560" s="2" t="s">
        <v>44</v>
      </c>
      <c r="Q560" s="3" t="s">
        <v>44</v>
      </c>
      <c r="R560" s="2" t="s">
        <v>44</v>
      </c>
      <c r="S560" s="2" t="s">
        <v>56</v>
      </c>
      <c r="T560" s="5">
        <v>33600</v>
      </c>
      <c r="U560" s="5">
        <v>0</v>
      </c>
      <c r="V560" s="4">
        <v>4</v>
      </c>
      <c r="W560" s="4">
        <v>30</v>
      </c>
      <c r="X560" s="2" t="s">
        <v>44</v>
      </c>
      <c r="Y560" s="4">
        <v>0</v>
      </c>
      <c r="Z560" s="4">
        <v>3</v>
      </c>
      <c r="AA560" s="4">
        <v>0</v>
      </c>
      <c r="AB560" s="4">
        <v>0</v>
      </c>
      <c r="AC560" s="4">
        <v>3</v>
      </c>
      <c r="AD560" s="4">
        <v>5</v>
      </c>
      <c r="AE560" s="3" t="s">
        <v>58</v>
      </c>
      <c r="AG560">
        <f t="shared" ca="1" si="24"/>
        <v>2</v>
      </c>
      <c r="AH560" s="23" t="str" cm="1">
        <f t="array" ref="AH560">_xlfn.IFS(E560&gt;49,"50+",E560&gt;39,"40-49",E560&gt;29,"30-39",E560&gt;19,"20-29")</f>
        <v>20-29</v>
      </c>
      <c r="AI560" s="24" t="str" cm="1">
        <f t="array" aca="1" ref="AI560" ca="1">_xlfn.IFS(AG560&gt;10,"10+",AG560&gt;4,"5-10 YIL",AG560&gt;2,"3-5 YIL",AG560&gt;0.9,"1-3 YIL",AG560&lt;1,"0-1 YIL")</f>
        <v>1-3 YIL</v>
      </c>
      <c r="AJ560">
        <f t="shared" si="25"/>
        <v>2024</v>
      </c>
      <c r="AK560" t="e">
        <f t="shared" si="26"/>
        <v>#VALUE!</v>
      </c>
    </row>
    <row r="561" spans="1:37" x14ac:dyDescent="0.3">
      <c r="A561" s="6" t="s">
        <v>969</v>
      </c>
      <c r="B561" s="7" t="s">
        <v>871</v>
      </c>
      <c r="C561" s="6" t="s">
        <v>48</v>
      </c>
      <c r="D561" s="14">
        <v>36334</v>
      </c>
      <c r="E561" s="8">
        <v>27</v>
      </c>
      <c r="F561" s="6" t="s">
        <v>49</v>
      </c>
      <c r="G561" s="8">
        <v>1</v>
      </c>
      <c r="H561" s="6" t="s">
        <v>85</v>
      </c>
      <c r="I561" s="7" t="s">
        <v>36</v>
      </c>
      <c r="J561" s="7" t="s">
        <v>37</v>
      </c>
      <c r="K561" s="6" t="s">
        <v>38</v>
      </c>
      <c r="L561" s="6" t="s">
        <v>39</v>
      </c>
      <c r="M561" s="7" t="s">
        <v>40</v>
      </c>
      <c r="N561" s="6" t="s">
        <v>95</v>
      </c>
      <c r="O561" s="14">
        <v>45428</v>
      </c>
      <c r="P561" s="6" t="s">
        <v>44</v>
      </c>
      <c r="Q561" s="7" t="s">
        <v>44</v>
      </c>
      <c r="R561" s="6" t="s">
        <v>44</v>
      </c>
      <c r="S561" s="6" t="s">
        <v>56</v>
      </c>
      <c r="T561" s="9">
        <v>25300</v>
      </c>
      <c r="U561" s="9">
        <v>0</v>
      </c>
      <c r="V561" s="8">
        <v>43</v>
      </c>
      <c r="W561" s="8">
        <v>29</v>
      </c>
      <c r="X561" s="6" t="s">
        <v>57</v>
      </c>
      <c r="Y561" s="8">
        <v>1</v>
      </c>
      <c r="Z561" s="8">
        <v>8</v>
      </c>
      <c r="AA561" s="8">
        <v>0</v>
      </c>
      <c r="AB561" s="8">
        <v>0</v>
      </c>
      <c r="AC561" s="8">
        <v>2</v>
      </c>
      <c r="AD561" s="8">
        <v>4</v>
      </c>
      <c r="AE561" s="7" t="s">
        <v>45</v>
      </c>
      <c r="AG561">
        <f t="shared" ca="1" si="24"/>
        <v>2</v>
      </c>
      <c r="AH561" s="23" t="str" cm="1">
        <f t="array" ref="AH561">_xlfn.IFS(E561&gt;49,"50+",E561&gt;39,"40-49",E561&gt;29,"30-39",E561&gt;19,"20-29")</f>
        <v>20-29</v>
      </c>
      <c r="AI561" s="24" t="str" cm="1">
        <f t="array" aca="1" ref="AI561" ca="1">_xlfn.IFS(AG561&gt;10,"10+",AG561&gt;4,"5-10 YIL",AG561&gt;2,"3-5 YIL",AG561&gt;0.9,"1-3 YIL",AG561&lt;1,"0-1 YIL")</f>
        <v>1-3 YIL</v>
      </c>
      <c r="AJ561">
        <f t="shared" si="25"/>
        <v>2024</v>
      </c>
      <c r="AK561" t="e">
        <f t="shared" si="26"/>
        <v>#VALUE!</v>
      </c>
    </row>
    <row r="562" spans="1:37" x14ac:dyDescent="0.3">
      <c r="A562" s="2" t="s">
        <v>970</v>
      </c>
      <c r="B562" s="3" t="s">
        <v>413</v>
      </c>
      <c r="C562" s="2" t="s">
        <v>48</v>
      </c>
      <c r="D562" s="13">
        <v>37810</v>
      </c>
      <c r="E562" s="4">
        <v>23</v>
      </c>
      <c r="F562" s="2" t="s">
        <v>49</v>
      </c>
      <c r="G562" s="4">
        <v>3</v>
      </c>
      <c r="H562" s="2" t="s">
        <v>88</v>
      </c>
      <c r="I562" s="3" t="s">
        <v>36</v>
      </c>
      <c r="J562" s="3" t="s">
        <v>37</v>
      </c>
      <c r="K562" s="2" t="s">
        <v>38</v>
      </c>
      <c r="L562" s="2" t="s">
        <v>39</v>
      </c>
      <c r="M562" s="3" t="s">
        <v>40</v>
      </c>
      <c r="N562" s="2" t="s">
        <v>95</v>
      </c>
      <c r="O562" s="13">
        <v>44918</v>
      </c>
      <c r="P562" s="2" t="s">
        <v>44</v>
      </c>
      <c r="Q562" s="3" t="s">
        <v>44</v>
      </c>
      <c r="R562" s="2" t="s">
        <v>44</v>
      </c>
      <c r="S562" s="2" t="s">
        <v>56</v>
      </c>
      <c r="T562" s="5">
        <v>24100</v>
      </c>
      <c r="U562" s="5">
        <v>0</v>
      </c>
      <c r="V562" s="4">
        <v>40</v>
      </c>
      <c r="W562" s="4">
        <v>30</v>
      </c>
      <c r="X562" s="2" t="s">
        <v>44</v>
      </c>
      <c r="Y562" s="4">
        <v>0</v>
      </c>
      <c r="Z562" s="4">
        <v>9</v>
      </c>
      <c r="AA562" s="4">
        <v>0</v>
      </c>
      <c r="AB562" s="4">
        <v>0</v>
      </c>
      <c r="AC562" s="4">
        <v>3</v>
      </c>
      <c r="AD562" s="4">
        <v>5</v>
      </c>
      <c r="AE562" s="3" t="s">
        <v>58</v>
      </c>
      <c r="AG562">
        <f t="shared" ca="1" si="24"/>
        <v>3</v>
      </c>
      <c r="AH562" s="23" t="str" cm="1">
        <f t="array" ref="AH562">_xlfn.IFS(E562&gt;49,"50+",E562&gt;39,"40-49",E562&gt;29,"30-39",E562&gt;19,"20-29")</f>
        <v>20-29</v>
      </c>
      <c r="AI562" s="24" t="str" cm="1">
        <f t="array" aca="1" ref="AI562" ca="1">_xlfn.IFS(AG562&gt;10,"10+",AG562&gt;4,"5-10 YIL",AG562&gt;2,"3-5 YIL",AG562&gt;0.9,"1-3 YIL",AG562&lt;1,"0-1 YIL")</f>
        <v>3-5 YIL</v>
      </c>
      <c r="AJ562">
        <f t="shared" si="25"/>
        <v>2022</v>
      </c>
      <c r="AK562" t="e">
        <f t="shared" si="26"/>
        <v>#VALUE!</v>
      </c>
    </row>
    <row r="563" spans="1:37" x14ac:dyDescent="0.3">
      <c r="A563" s="6" t="s">
        <v>971</v>
      </c>
      <c r="B563" s="7" t="s">
        <v>972</v>
      </c>
      <c r="C563" s="6" t="s">
        <v>48</v>
      </c>
      <c r="D563" s="14">
        <v>31420</v>
      </c>
      <c r="E563" s="8">
        <v>40</v>
      </c>
      <c r="F563" s="6" t="s">
        <v>49</v>
      </c>
      <c r="G563" s="8">
        <v>0</v>
      </c>
      <c r="H563" s="6" t="s">
        <v>35</v>
      </c>
      <c r="I563" s="7" t="s">
        <v>148</v>
      </c>
      <c r="J563" s="7" t="s">
        <v>149</v>
      </c>
      <c r="K563" s="6" t="s">
        <v>51</v>
      </c>
      <c r="L563" s="6" t="s">
        <v>63</v>
      </c>
      <c r="M563" s="7" t="s">
        <v>150</v>
      </c>
      <c r="N563" s="6" t="s">
        <v>41</v>
      </c>
      <c r="O563" s="14">
        <v>44961</v>
      </c>
      <c r="P563" s="6" t="s">
        <v>44</v>
      </c>
      <c r="Q563" s="7" t="s">
        <v>44</v>
      </c>
      <c r="R563" s="6" t="s">
        <v>44</v>
      </c>
      <c r="S563" s="6" t="s">
        <v>56</v>
      </c>
      <c r="T563" s="9">
        <v>58600</v>
      </c>
      <c r="U563" s="9">
        <v>0</v>
      </c>
      <c r="V563" s="8">
        <v>6</v>
      </c>
      <c r="W563" s="8">
        <v>30</v>
      </c>
      <c r="X563" s="6" t="s">
        <v>44</v>
      </c>
      <c r="Y563" s="8">
        <v>0</v>
      </c>
      <c r="Z563" s="8">
        <v>11</v>
      </c>
      <c r="AA563" s="8">
        <v>0</v>
      </c>
      <c r="AB563" s="8">
        <v>0</v>
      </c>
      <c r="AC563" s="8">
        <v>3</v>
      </c>
      <c r="AD563" s="8">
        <v>11</v>
      </c>
      <c r="AE563" s="7" t="s">
        <v>58</v>
      </c>
      <c r="AG563">
        <f t="shared" ca="1" si="24"/>
        <v>3</v>
      </c>
      <c r="AH563" s="23" t="str" cm="1">
        <f t="array" ref="AH563">_xlfn.IFS(E563&gt;49,"50+",E563&gt;39,"40-49",E563&gt;29,"30-39",E563&gt;19,"20-29")</f>
        <v>40-49</v>
      </c>
      <c r="AI563" s="24" t="str" cm="1">
        <f t="array" aca="1" ref="AI563" ca="1">_xlfn.IFS(AG563&gt;10,"10+",AG563&gt;4,"5-10 YIL",AG563&gt;2,"3-5 YIL",AG563&gt;0.9,"1-3 YIL",AG563&lt;1,"0-1 YIL")</f>
        <v>3-5 YIL</v>
      </c>
      <c r="AJ563">
        <f t="shared" si="25"/>
        <v>2023</v>
      </c>
      <c r="AK563" t="e">
        <f t="shared" si="26"/>
        <v>#VALUE!</v>
      </c>
    </row>
    <row r="564" spans="1:37" x14ac:dyDescent="0.3">
      <c r="A564" s="2" t="s">
        <v>973</v>
      </c>
      <c r="B564" s="3" t="s">
        <v>974</v>
      </c>
      <c r="C564" s="2" t="s">
        <v>48</v>
      </c>
      <c r="D564" s="13">
        <v>31043</v>
      </c>
      <c r="E564" s="4">
        <v>42</v>
      </c>
      <c r="F564" s="2" t="s">
        <v>34</v>
      </c>
      <c r="G564" s="4">
        <v>0</v>
      </c>
      <c r="H564" s="2" t="s">
        <v>35</v>
      </c>
      <c r="I564" s="3" t="s">
        <v>70</v>
      </c>
      <c r="J564" s="3" t="s">
        <v>71</v>
      </c>
      <c r="K564" s="2" t="s">
        <v>51</v>
      </c>
      <c r="L564" s="2" t="s">
        <v>63</v>
      </c>
      <c r="M564" s="3" t="s">
        <v>72</v>
      </c>
      <c r="N564" s="2" t="s">
        <v>52</v>
      </c>
      <c r="O564" s="13">
        <v>43304</v>
      </c>
      <c r="P564" s="2" t="s">
        <v>44</v>
      </c>
      <c r="Q564" s="3" t="s">
        <v>44</v>
      </c>
      <c r="R564" s="2" t="s">
        <v>44</v>
      </c>
      <c r="S564" s="2" t="s">
        <v>56</v>
      </c>
      <c r="T564" s="5">
        <v>64200</v>
      </c>
      <c r="U564" s="5">
        <v>0</v>
      </c>
      <c r="V564" s="4">
        <v>3</v>
      </c>
      <c r="W564" s="4">
        <v>25</v>
      </c>
      <c r="X564" s="2" t="s">
        <v>57</v>
      </c>
      <c r="Y564" s="4">
        <v>5</v>
      </c>
      <c r="Z564" s="4">
        <v>13</v>
      </c>
      <c r="AA564" s="4">
        <v>0</v>
      </c>
      <c r="AB564" s="4">
        <v>0</v>
      </c>
      <c r="AC564" s="4">
        <v>3</v>
      </c>
      <c r="AD564" s="4">
        <v>10</v>
      </c>
      <c r="AE564" s="3" t="s">
        <v>58</v>
      </c>
      <c r="AG564">
        <f t="shared" ca="1" si="24"/>
        <v>7</v>
      </c>
      <c r="AH564" s="23" t="str" cm="1">
        <f t="array" ref="AH564">_xlfn.IFS(E564&gt;49,"50+",E564&gt;39,"40-49",E564&gt;29,"30-39",E564&gt;19,"20-29")</f>
        <v>40-49</v>
      </c>
      <c r="AI564" s="24" t="str" cm="1">
        <f t="array" aca="1" ref="AI564" ca="1">_xlfn.IFS(AG564&gt;10,"10+",AG564&gt;4,"5-10 YIL",AG564&gt;2,"3-5 YIL",AG564&gt;0.9,"1-3 YIL",AG564&lt;1,"0-1 YIL")</f>
        <v>5-10 YIL</v>
      </c>
      <c r="AJ564">
        <f t="shared" si="25"/>
        <v>2018</v>
      </c>
      <c r="AK564" t="e">
        <f t="shared" si="26"/>
        <v>#VALUE!</v>
      </c>
    </row>
    <row r="565" spans="1:37" x14ac:dyDescent="0.3">
      <c r="A565" s="6" t="s">
        <v>975</v>
      </c>
      <c r="B565" s="7" t="s">
        <v>473</v>
      </c>
      <c r="C565" s="6" t="s">
        <v>48</v>
      </c>
      <c r="D565" s="14">
        <v>37884</v>
      </c>
      <c r="E565" s="8">
        <v>23</v>
      </c>
      <c r="F565" s="6" t="s">
        <v>49</v>
      </c>
      <c r="G565" s="8">
        <v>1</v>
      </c>
      <c r="H565" s="6" t="s">
        <v>35</v>
      </c>
      <c r="I565" s="7" t="s">
        <v>36</v>
      </c>
      <c r="J565" s="7" t="s">
        <v>37</v>
      </c>
      <c r="K565" s="6" t="s">
        <v>38</v>
      </c>
      <c r="L565" s="6" t="s">
        <v>39</v>
      </c>
      <c r="M565" s="7" t="s">
        <v>40</v>
      </c>
      <c r="N565" s="6" t="s">
        <v>41</v>
      </c>
      <c r="O565" s="14">
        <v>45423</v>
      </c>
      <c r="P565" s="14">
        <v>45810</v>
      </c>
      <c r="Q565" s="7" t="s">
        <v>53</v>
      </c>
      <c r="R565" s="6">
        <v>4</v>
      </c>
      <c r="S565" s="6" t="s">
        <v>43</v>
      </c>
      <c r="T565" s="9">
        <v>27400</v>
      </c>
      <c r="U565" s="9">
        <v>0</v>
      </c>
      <c r="V565" s="8">
        <v>35</v>
      </c>
      <c r="W565" s="8">
        <v>30</v>
      </c>
      <c r="X565" s="6" t="s">
        <v>44</v>
      </c>
      <c r="Y565" s="8">
        <v>0</v>
      </c>
      <c r="Z565" s="8">
        <v>11</v>
      </c>
      <c r="AA565" s="8">
        <v>0</v>
      </c>
      <c r="AB565" s="8">
        <v>0</v>
      </c>
      <c r="AC565" s="8">
        <v>4</v>
      </c>
      <c r="AD565" s="8">
        <v>34</v>
      </c>
      <c r="AE565" s="7" t="s">
        <v>45</v>
      </c>
      <c r="AG565">
        <f t="shared" ca="1" si="24"/>
        <v>2</v>
      </c>
      <c r="AH565" s="23" t="str" cm="1">
        <f t="array" ref="AH565">_xlfn.IFS(E565&gt;49,"50+",E565&gt;39,"40-49",E565&gt;29,"30-39",E565&gt;19,"20-29")</f>
        <v>20-29</v>
      </c>
      <c r="AI565" s="24" t="str" cm="1">
        <f t="array" aca="1" ref="AI565" ca="1">_xlfn.IFS(AG565&gt;10,"10+",AG565&gt;4,"5-10 YIL",AG565&gt;2,"3-5 YIL",AG565&gt;0.9,"1-3 YIL",AG565&lt;1,"0-1 YIL")</f>
        <v>1-3 YIL</v>
      </c>
      <c r="AJ565">
        <f t="shared" si="25"/>
        <v>2024</v>
      </c>
      <c r="AK565">
        <f t="shared" si="26"/>
        <v>2025</v>
      </c>
    </row>
    <row r="566" spans="1:37" x14ac:dyDescent="0.3">
      <c r="A566" s="2" t="s">
        <v>976</v>
      </c>
      <c r="B566" s="3" t="s">
        <v>403</v>
      </c>
      <c r="C566" s="2" t="s">
        <v>48</v>
      </c>
      <c r="D566" s="13">
        <v>35839</v>
      </c>
      <c r="E566" s="4">
        <v>28</v>
      </c>
      <c r="F566" s="2" t="s">
        <v>34</v>
      </c>
      <c r="G566" s="4">
        <v>0</v>
      </c>
      <c r="H566" s="2" t="s">
        <v>88</v>
      </c>
      <c r="I566" s="3" t="s">
        <v>36</v>
      </c>
      <c r="J566" s="3" t="s">
        <v>37</v>
      </c>
      <c r="K566" s="2" t="s">
        <v>38</v>
      </c>
      <c r="L566" s="2" t="s">
        <v>39</v>
      </c>
      <c r="M566" s="3" t="s">
        <v>40</v>
      </c>
      <c r="N566" s="2" t="s">
        <v>41</v>
      </c>
      <c r="O566" s="13">
        <v>45312</v>
      </c>
      <c r="P566" s="13">
        <v>45748</v>
      </c>
      <c r="Q566" s="3" t="s">
        <v>53</v>
      </c>
      <c r="R566" s="2">
        <v>4</v>
      </c>
      <c r="S566" s="2" t="s">
        <v>43</v>
      </c>
      <c r="T566" s="5">
        <v>24700</v>
      </c>
      <c r="U566" s="5">
        <v>0</v>
      </c>
      <c r="V566" s="4">
        <v>44</v>
      </c>
      <c r="W566" s="4">
        <v>30</v>
      </c>
      <c r="X566" s="2" t="s">
        <v>44</v>
      </c>
      <c r="Y566" s="4">
        <v>0</v>
      </c>
      <c r="Z566" s="4">
        <v>10</v>
      </c>
      <c r="AA566" s="4">
        <v>0</v>
      </c>
      <c r="AB566" s="4">
        <v>0</v>
      </c>
      <c r="AC566" s="4">
        <v>3</v>
      </c>
      <c r="AD566" s="4">
        <v>3</v>
      </c>
      <c r="AE566" s="3" t="s">
        <v>58</v>
      </c>
      <c r="AG566">
        <f t="shared" ca="1" si="24"/>
        <v>2</v>
      </c>
      <c r="AH566" s="23" t="str" cm="1">
        <f t="array" ref="AH566">_xlfn.IFS(E566&gt;49,"50+",E566&gt;39,"40-49",E566&gt;29,"30-39",E566&gt;19,"20-29")</f>
        <v>20-29</v>
      </c>
      <c r="AI566" s="24" t="str" cm="1">
        <f t="array" aca="1" ref="AI566" ca="1">_xlfn.IFS(AG566&gt;10,"10+",AG566&gt;4,"5-10 YIL",AG566&gt;2,"3-5 YIL",AG566&gt;0.9,"1-3 YIL",AG566&lt;1,"0-1 YIL")</f>
        <v>1-3 YIL</v>
      </c>
      <c r="AJ566">
        <f t="shared" si="25"/>
        <v>2024</v>
      </c>
      <c r="AK566">
        <f t="shared" si="26"/>
        <v>2025</v>
      </c>
    </row>
    <row r="567" spans="1:37" x14ac:dyDescent="0.3">
      <c r="A567" s="6" t="s">
        <v>977</v>
      </c>
      <c r="B567" s="7" t="s">
        <v>289</v>
      </c>
      <c r="C567" s="6" t="s">
        <v>33</v>
      </c>
      <c r="D567" s="14">
        <v>36840</v>
      </c>
      <c r="E567" s="8">
        <v>26</v>
      </c>
      <c r="F567" s="6" t="s">
        <v>49</v>
      </c>
      <c r="G567" s="8">
        <v>2</v>
      </c>
      <c r="H567" s="6" t="s">
        <v>35</v>
      </c>
      <c r="I567" s="7" t="s">
        <v>36</v>
      </c>
      <c r="J567" s="7" t="s">
        <v>37</v>
      </c>
      <c r="K567" s="6" t="s">
        <v>38</v>
      </c>
      <c r="L567" s="6" t="s">
        <v>39</v>
      </c>
      <c r="M567" s="7" t="s">
        <v>40</v>
      </c>
      <c r="N567" s="6" t="s">
        <v>67</v>
      </c>
      <c r="O567" s="14">
        <v>45315</v>
      </c>
      <c r="P567" s="6" t="s">
        <v>44</v>
      </c>
      <c r="Q567" s="7" t="s">
        <v>44</v>
      </c>
      <c r="R567" s="6" t="s">
        <v>44</v>
      </c>
      <c r="S567" s="6" t="s">
        <v>56</v>
      </c>
      <c r="T567" s="9">
        <v>27300</v>
      </c>
      <c r="U567" s="9">
        <v>0</v>
      </c>
      <c r="V567" s="8">
        <v>29</v>
      </c>
      <c r="W567" s="8">
        <v>30</v>
      </c>
      <c r="X567" s="6" t="s">
        <v>44</v>
      </c>
      <c r="Y567" s="8">
        <v>0</v>
      </c>
      <c r="Z567" s="8">
        <v>1</v>
      </c>
      <c r="AA567" s="8">
        <v>0</v>
      </c>
      <c r="AB567" s="8">
        <v>0</v>
      </c>
      <c r="AC567" s="8">
        <v>3</v>
      </c>
      <c r="AD567" s="8">
        <v>19</v>
      </c>
      <c r="AE567" s="7" t="s">
        <v>73</v>
      </c>
      <c r="AG567">
        <f t="shared" ca="1" si="24"/>
        <v>2</v>
      </c>
      <c r="AH567" s="23" t="str" cm="1">
        <f t="array" ref="AH567">_xlfn.IFS(E567&gt;49,"50+",E567&gt;39,"40-49",E567&gt;29,"30-39",E567&gt;19,"20-29")</f>
        <v>20-29</v>
      </c>
      <c r="AI567" s="24" t="str" cm="1">
        <f t="array" aca="1" ref="AI567" ca="1">_xlfn.IFS(AG567&gt;10,"10+",AG567&gt;4,"5-10 YIL",AG567&gt;2,"3-5 YIL",AG567&gt;0.9,"1-3 YIL",AG567&lt;1,"0-1 YIL")</f>
        <v>1-3 YIL</v>
      </c>
      <c r="AJ567">
        <f t="shared" si="25"/>
        <v>2024</v>
      </c>
      <c r="AK567" t="e">
        <f t="shared" si="26"/>
        <v>#VALUE!</v>
      </c>
    </row>
    <row r="568" spans="1:37" x14ac:dyDescent="0.3">
      <c r="A568" s="2" t="s">
        <v>978</v>
      </c>
      <c r="B568" s="3" t="s">
        <v>979</v>
      </c>
      <c r="C568" s="2" t="s">
        <v>48</v>
      </c>
      <c r="D568" s="13">
        <v>36563</v>
      </c>
      <c r="E568" s="4">
        <v>26</v>
      </c>
      <c r="F568" s="2" t="s">
        <v>49</v>
      </c>
      <c r="G568" s="4">
        <v>2</v>
      </c>
      <c r="H568" s="2" t="s">
        <v>35</v>
      </c>
      <c r="I568" s="3" t="s">
        <v>70</v>
      </c>
      <c r="J568" s="3" t="s">
        <v>92</v>
      </c>
      <c r="K568" s="2" t="s">
        <v>38</v>
      </c>
      <c r="L568" s="2" t="s">
        <v>63</v>
      </c>
      <c r="M568" s="3" t="s">
        <v>72</v>
      </c>
      <c r="N568" s="2" t="s">
        <v>41</v>
      </c>
      <c r="O568" s="13">
        <v>45505</v>
      </c>
      <c r="P568" s="13">
        <v>45839</v>
      </c>
      <c r="Q568" s="3" t="s">
        <v>53</v>
      </c>
      <c r="R568" s="2">
        <v>4</v>
      </c>
      <c r="S568" s="2" t="s">
        <v>43</v>
      </c>
      <c r="T568" s="5">
        <v>39300</v>
      </c>
      <c r="U568" s="5">
        <v>0</v>
      </c>
      <c r="V568" s="4">
        <v>6</v>
      </c>
      <c r="W568" s="4">
        <v>27</v>
      </c>
      <c r="X568" s="2" t="s">
        <v>57</v>
      </c>
      <c r="Y568" s="4">
        <v>3</v>
      </c>
      <c r="Z568" s="4">
        <v>5</v>
      </c>
      <c r="AA568" s="4">
        <v>0</v>
      </c>
      <c r="AB568" s="4">
        <v>0</v>
      </c>
      <c r="AC568" s="4">
        <v>4</v>
      </c>
      <c r="AD568" s="4">
        <v>17</v>
      </c>
      <c r="AE568" s="3" t="s">
        <v>73</v>
      </c>
      <c r="AG568">
        <f t="shared" ca="1" si="24"/>
        <v>1</v>
      </c>
      <c r="AH568" s="23" t="str" cm="1">
        <f t="array" ref="AH568">_xlfn.IFS(E568&gt;49,"50+",E568&gt;39,"40-49",E568&gt;29,"30-39",E568&gt;19,"20-29")</f>
        <v>20-29</v>
      </c>
      <c r="AI568" s="24" t="str" cm="1">
        <f t="array" aca="1" ref="AI568" ca="1">_xlfn.IFS(AG568&gt;10,"10+",AG568&gt;4,"5-10 YIL",AG568&gt;2,"3-5 YIL",AG568&gt;0.9,"1-3 YIL",AG568&lt;1,"0-1 YIL")</f>
        <v>1-3 YIL</v>
      </c>
      <c r="AJ568">
        <f t="shared" si="25"/>
        <v>2024</v>
      </c>
      <c r="AK568">
        <f t="shared" si="26"/>
        <v>2025</v>
      </c>
    </row>
    <row r="569" spans="1:37" x14ac:dyDescent="0.3">
      <c r="A569" s="6" t="s">
        <v>980</v>
      </c>
      <c r="B569" s="7" t="s">
        <v>701</v>
      </c>
      <c r="C569" s="6" t="s">
        <v>48</v>
      </c>
      <c r="D569" s="14">
        <v>37940</v>
      </c>
      <c r="E569" s="8">
        <v>23</v>
      </c>
      <c r="F569" s="6" t="s">
        <v>34</v>
      </c>
      <c r="G569" s="8">
        <v>0</v>
      </c>
      <c r="H569" s="6" t="s">
        <v>85</v>
      </c>
      <c r="I569" s="7" t="s">
        <v>36</v>
      </c>
      <c r="J569" s="7" t="s">
        <v>37</v>
      </c>
      <c r="K569" s="6" t="s">
        <v>38</v>
      </c>
      <c r="L569" s="6" t="s">
        <v>39</v>
      </c>
      <c r="M569" s="7" t="s">
        <v>40</v>
      </c>
      <c r="N569" s="6" t="s">
        <v>67</v>
      </c>
      <c r="O569" s="14">
        <v>44742</v>
      </c>
      <c r="P569" s="6" t="s">
        <v>44</v>
      </c>
      <c r="Q569" s="7" t="s">
        <v>44</v>
      </c>
      <c r="R569" s="6" t="s">
        <v>44</v>
      </c>
      <c r="S569" s="6" t="s">
        <v>56</v>
      </c>
      <c r="T569" s="9">
        <v>27700</v>
      </c>
      <c r="U569" s="9">
        <v>0</v>
      </c>
      <c r="V569" s="8">
        <v>43</v>
      </c>
      <c r="W569" s="8">
        <v>27</v>
      </c>
      <c r="X569" s="6" t="s">
        <v>81</v>
      </c>
      <c r="Y569" s="8">
        <v>0</v>
      </c>
      <c r="Z569" s="8">
        <v>9</v>
      </c>
      <c r="AA569" s="8">
        <v>3</v>
      </c>
      <c r="AB569" s="8">
        <v>0</v>
      </c>
      <c r="AC569" s="8">
        <v>1</v>
      </c>
      <c r="AD569" s="8">
        <v>13</v>
      </c>
      <c r="AE569" s="7" t="s">
        <v>45</v>
      </c>
      <c r="AG569">
        <f t="shared" ca="1" si="24"/>
        <v>4</v>
      </c>
      <c r="AH569" s="23" t="str" cm="1">
        <f t="array" ref="AH569">_xlfn.IFS(E569&gt;49,"50+",E569&gt;39,"40-49",E569&gt;29,"30-39",E569&gt;19,"20-29")</f>
        <v>20-29</v>
      </c>
      <c r="AI569" s="24" t="str" cm="1">
        <f t="array" aca="1" ref="AI569" ca="1">_xlfn.IFS(AG569&gt;10,"10+",AG569&gt;4,"5-10 YIL",AG569&gt;2,"3-5 YIL",AG569&gt;0.9,"1-3 YIL",AG569&lt;1,"0-1 YIL")</f>
        <v>3-5 YIL</v>
      </c>
      <c r="AJ569">
        <f t="shared" si="25"/>
        <v>2022</v>
      </c>
      <c r="AK569" t="e">
        <f t="shared" si="26"/>
        <v>#VALUE!</v>
      </c>
    </row>
    <row r="570" spans="1:37" x14ac:dyDescent="0.3">
      <c r="A570" s="2" t="s">
        <v>981</v>
      </c>
      <c r="B570" s="3" t="s">
        <v>545</v>
      </c>
      <c r="C570" s="2" t="s">
        <v>33</v>
      </c>
      <c r="D570" s="13">
        <v>30333</v>
      </c>
      <c r="E570" s="4">
        <v>43</v>
      </c>
      <c r="F570" s="2" t="s">
        <v>34</v>
      </c>
      <c r="G570" s="4">
        <v>0</v>
      </c>
      <c r="H570" s="2" t="s">
        <v>35</v>
      </c>
      <c r="I570" s="3" t="s">
        <v>61</v>
      </c>
      <c r="J570" s="3" t="s">
        <v>107</v>
      </c>
      <c r="K570" s="2" t="s">
        <v>51</v>
      </c>
      <c r="L570" s="2" t="s">
        <v>63</v>
      </c>
      <c r="M570" s="3" t="s">
        <v>64</v>
      </c>
      <c r="N570" s="2" t="s">
        <v>41</v>
      </c>
      <c r="O570" s="13">
        <v>41801</v>
      </c>
      <c r="P570" s="13">
        <v>41901</v>
      </c>
      <c r="Q570" s="3" t="s">
        <v>53</v>
      </c>
      <c r="R570" s="2">
        <v>4</v>
      </c>
      <c r="S570" s="2" t="s">
        <v>43</v>
      </c>
      <c r="T570" s="5">
        <v>57200</v>
      </c>
      <c r="U570" s="5">
        <v>0</v>
      </c>
      <c r="V570" s="4">
        <v>1</v>
      </c>
      <c r="W570" s="4">
        <v>30</v>
      </c>
      <c r="X570" s="2" t="s">
        <v>44</v>
      </c>
      <c r="Y570" s="4">
        <v>0</v>
      </c>
      <c r="Z570" s="4">
        <v>0</v>
      </c>
      <c r="AA570" s="4">
        <v>0</v>
      </c>
      <c r="AB570" s="4">
        <v>0</v>
      </c>
      <c r="AC570" s="4">
        <v>3</v>
      </c>
      <c r="AD570" s="4">
        <v>9</v>
      </c>
      <c r="AE570" s="3" t="s">
        <v>58</v>
      </c>
      <c r="AG570">
        <f t="shared" ca="1" si="24"/>
        <v>12</v>
      </c>
      <c r="AH570" s="23" t="str" cm="1">
        <f t="array" ref="AH570">_xlfn.IFS(E570&gt;49,"50+",E570&gt;39,"40-49",E570&gt;29,"30-39",E570&gt;19,"20-29")</f>
        <v>40-49</v>
      </c>
      <c r="AI570" s="24" t="str" cm="1">
        <f t="array" aca="1" ref="AI570" ca="1">_xlfn.IFS(AG570&gt;10,"10+",AG570&gt;4,"5-10 YIL",AG570&gt;2,"3-5 YIL",AG570&gt;0.9,"1-3 YIL",AG570&lt;1,"0-1 YIL")</f>
        <v>10+</v>
      </c>
      <c r="AJ570">
        <f t="shared" si="25"/>
        <v>2014</v>
      </c>
      <c r="AK570">
        <f t="shared" si="26"/>
        <v>2014</v>
      </c>
    </row>
    <row r="571" spans="1:37" x14ac:dyDescent="0.3">
      <c r="A571" s="6" t="s">
        <v>982</v>
      </c>
      <c r="B571" s="7" t="s">
        <v>845</v>
      </c>
      <c r="C571" s="6" t="s">
        <v>48</v>
      </c>
      <c r="D571" s="14">
        <v>31145</v>
      </c>
      <c r="E571" s="8">
        <v>41</v>
      </c>
      <c r="F571" s="6" t="s">
        <v>49</v>
      </c>
      <c r="G571" s="8">
        <v>2</v>
      </c>
      <c r="H571" s="6" t="s">
        <v>88</v>
      </c>
      <c r="I571" s="7" t="s">
        <v>139</v>
      </c>
      <c r="J571" s="7" t="s">
        <v>140</v>
      </c>
      <c r="K571" s="6" t="s">
        <v>79</v>
      </c>
      <c r="L571" s="6" t="s">
        <v>63</v>
      </c>
      <c r="M571" s="7" t="s">
        <v>80</v>
      </c>
      <c r="N571" s="6" t="s">
        <v>41</v>
      </c>
      <c r="O571" s="14">
        <v>40147</v>
      </c>
      <c r="P571" s="6" t="s">
        <v>44</v>
      </c>
      <c r="Q571" s="7" t="s">
        <v>44</v>
      </c>
      <c r="R571" s="6" t="s">
        <v>44</v>
      </c>
      <c r="S571" s="6" t="s">
        <v>56</v>
      </c>
      <c r="T571" s="9">
        <v>127700</v>
      </c>
      <c r="U571" s="9">
        <v>0</v>
      </c>
      <c r="V571" s="8">
        <v>3</v>
      </c>
      <c r="W571" s="8">
        <v>30</v>
      </c>
      <c r="X571" s="6" t="s">
        <v>44</v>
      </c>
      <c r="Y571" s="8">
        <v>0</v>
      </c>
      <c r="Z571" s="8">
        <v>10</v>
      </c>
      <c r="AA571" s="8">
        <v>0</v>
      </c>
      <c r="AB571" s="8">
        <v>0</v>
      </c>
      <c r="AC571" s="8">
        <v>3</v>
      </c>
      <c r="AD571" s="8">
        <v>14</v>
      </c>
      <c r="AE571" s="7" t="s">
        <v>45</v>
      </c>
      <c r="AG571">
        <f t="shared" ca="1" si="24"/>
        <v>16</v>
      </c>
      <c r="AH571" s="23" t="str" cm="1">
        <f t="array" ref="AH571">_xlfn.IFS(E571&gt;49,"50+",E571&gt;39,"40-49",E571&gt;29,"30-39",E571&gt;19,"20-29")</f>
        <v>40-49</v>
      </c>
      <c r="AI571" s="24" t="str" cm="1">
        <f t="array" aca="1" ref="AI571" ca="1">_xlfn.IFS(AG571&gt;10,"10+",AG571&gt;4,"5-10 YIL",AG571&gt;2,"3-5 YIL",AG571&gt;0.9,"1-3 YIL",AG571&lt;1,"0-1 YIL")</f>
        <v>10+</v>
      </c>
      <c r="AJ571">
        <f t="shared" si="25"/>
        <v>2009</v>
      </c>
      <c r="AK571" t="e">
        <f t="shared" si="26"/>
        <v>#VALUE!</v>
      </c>
    </row>
    <row r="572" spans="1:37" x14ac:dyDescent="0.3">
      <c r="A572" s="2" t="s">
        <v>983</v>
      </c>
      <c r="B572" s="3" t="s">
        <v>624</v>
      </c>
      <c r="C572" s="2" t="s">
        <v>33</v>
      </c>
      <c r="D572" s="13">
        <v>31235</v>
      </c>
      <c r="E572" s="4">
        <v>41</v>
      </c>
      <c r="F572" s="2" t="s">
        <v>49</v>
      </c>
      <c r="G572" s="4">
        <v>0</v>
      </c>
      <c r="H572" s="2" t="s">
        <v>35</v>
      </c>
      <c r="I572" s="3" t="s">
        <v>61</v>
      </c>
      <c r="J572" s="3" t="s">
        <v>124</v>
      </c>
      <c r="K572" s="2" t="s">
        <v>79</v>
      </c>
      <c r="L572" s="2" t="s">
        <v>63</v>
      </c>
      <c r="M572" s="3" t="s">
        <v>80</v>
      </c>
      <c r="N572" s="2" t="s">
        <v>95</v>
      </c>
      <c r="O572" s="13">
        <v>40864</v>
      </c>
      <c r="P572" s="2" t="s">
        <v>44</v>
      </c>
      <c r="Q572" s="3" t="s">
        <v>44</v>
      </c>
      <c r="R572" s="2" t="s">
        <v>44</v>
      </c>
      <c r="S572" s="2" t="s">
        <v>56</v>
      </c>
      <c r="T572" s="5">
        <v>101700</v>
      </c>
      <c r="U572" s="5">
        <v>0</v>
      </c>
      <c r="V572" s="4">
        <v>0</v>
      </c>
      <c r="W572" s="4">
        <v>28</v>
      </c>
      <c r="X572" s="2" t="s">
        <v>57</v>
      </c>
      <c r="Y572" s="4">
        <v>2</v>
      </c>
      <c r="Z572" s="4">
        <v>14</v>
      </c>
      <c r="AA572" s="4">
        <v>0</v>
      </c>
      <c r="AB572" s="4">
        <v>0</v>
      </c>
      <c r="AC572" s="4">
        <v>2</v>
      </c>
      <c r="AD572" s="4">
        <v>16</v>
      </c>
      <c r="AE572" s="3" t="s">
        <v>82</v>
      </c>
      <c r="AG572">
        <f t="shared" ca="1" si="24"/>
        <v>14</v>
      </c>
      <c r="AH572" s="23" t="str" cm="1">
        <f t="array" ref="AH572">_xlfn.IFS(E572&gt;49,"50+",E572&gt;39,"40-49",E572&gt;29,"30-39",E572&gt;19,"20-29")</f>
        <v>40-49</v>
      </c>
      <c r="AI572" s="24" t="str" cm="1">
        <f t="array" aca="1" ref="AI572" ca="1">_xlfn.IFS(AG572&gt;10,"10+",AG572&gt;4,"5-10 YIL",AG572&gt;2,"3-5 YIL",AG572&gt;0.9,"1-3 YIL",AG572&lt;1,"0-1 YIL")</f>
        <v>10+</v>
      </c>
      <c r="AJ572">
        <f t="shared" si="25"/>
        <v>2011</v>
      </c>
      <c r="AK572" t="e">
        <f t="shared" si="26"/>
        <v>#VALUE!</v>
      </c>
    </row>
    <row r="573" spans="1:37" x14ac:dyDescent="0.3">
      <c r="A573" s="6" t="s">
        <v>984</v>
      </c>
      <c r="B573" s="7" t="s">
        <v>614</v>
      </c>
      <c r="C573" s="6" t="s">
        <v>33</v>
      </c>
      <c r="D573" s="14">
        <v>35775</v>
      </c>
      <c r="E573" s="8">
        <v>29</v>
      </c>
      <c r="F573" s="6" t="s">
        <v>49</v>
      </c>
      <c r="G573" s="8">
        <v>2</v>
      </c>
      <c r="H573" s="6" t="s">
        <v>85</v>
      </c>
      <c r="I573" s="7" t="s">
        <v>36</v>
      </c>
      <c r="J573" s="7" t="s">
        <v>37</v>
      </c>
      <c r="K573" s="6" t="s">
        <v>38</v>
      </c>
      <c r="L573" s="6" t="s">
        <v>39</v>
      </c>
      <c r="M573" s="7" t="s">
        <v>40</v>
      </c>
      <c r="N573" s="6" t="s">
        <v>95</v>
      </c>
      <c r="O573" s="14">
        <v>45739</v>
      </c>
      <c r="P573" s="6" t="s">
        <v>44</v>
      </c>
      <c r="Q573" s="7" t="s">
        <v>44</v>
      </c>
      <c r="R573" s="6" t="s">
        <v>44</v>
      </c>
      <c r="S573" s="6" t="s">
        <v>56</v>
      </c>
      <c r="T573" s="9">
        <v>26900</v>
      </c>
      <c r="U573" s="9">
        <v>0</v>
      </c>
      <c r="V573" s="8">
        <v>10</v>
      </c>
      <c r="W573" s="8">
        <v>30</v>
      </c>
      <c r="X573" s="6" t="s">
        <v>44</v>
      </c>
      <c r="Y573" s="8">
        <v>0</v>
      </c>
      <c r="Z573" s="8">
        <v>12</v>
      </c>
      <c r="AA573" s="8">
        <v>0</v>
      </c>
      <c r="AB573" s="8">
        <v>0</v>
      </c>
      <c r="AC573" s="8">
        <v>5</v>
      </c>
      <c r="AD573" s="8">
        <v>38</v>
      </c>
      <c r="AE573" s="7" t="s">
        <v>45</v>
      </c>
      <c r="AG573">
        <f t="shared" ca="1" si="24"/>
        <v>1</v>
      </c>
      <c r="AH573" s="23" t="str" cm="1">
        <f t="array" ref="AH573">_xlfn.IFS(E573&gt;49,"50+",E573&gt;39,"40-49",E573&gt;29,"30-39",E573&gt;19,"20-29")</f>
        <v>20-29</v>
      </c>
      <c r="AI573" s="24" t="str" cm="1">
        <f t="array" aca="1" ref="AI573" ca="1">_xlfn.IFS(AG573&gt;10,"10+",AG573&gt;4,"5-10 YIL",AG573&gt;2,"3-5 YIL",AG573&gt;0.9,"1-3 YIL",AG573&lt;1,"0-1 YIL")</f>
        <v>1-3 YIL</v>
      </c>
      <c r="AJ573">
        <f t="shared" si="25"/>
        <v>2025</v>
      </c>
      <c r="AK573" t="e">
        <f t="shared" si="26"/>
        <v>#VALUE!</v>
      </c>
    </row>
    <row r="574" spans="1:37" x14ac:dyDescent="0.3">
      <c r="A574" s="2" t="s">
        <v>985</v>
      </c>
      <c r="B574" s="3" t="s">
        <v>779</v>
      </c>
      <c r="C574" s="2" t="s">
        <v>33</v>
      </c>
      <c r="D574" s="13">
        <v>38348</v>
      </c>
      <c r="E574" s="4">
        <v>22</v>
      </c>
      <c r="F574" s="2" t="s">
        <v>34</v>
      </c>
      <c r="G574" s="4">
        <v>0</v>
      </c>
      <c r="H574" s="2" t="s">
        <v>184</v>
      </c>
      <c r="I574" s="3" t="s">
        <v>36</v>
      </c>
      <c r="J574" s="3" t="s">
        <v>37</v>
      </c>
      <c r="K574" s="2" t="s">
        <v>38</v>
      </c>
      <c r="L574" s="2" t="s">
        <v>39</v>
      </c>
      <c r="M574" s="3" t="s">
        <v>40</v>
      </c>
      <c r="N574" s="2" t="s">
        <v>41</v>
      </c>
      <c r="O574" s="13">
        <v>45091</v>
      </c>
      <c r="P574" s="2" t="s">
        <v>44</v>
      </c>
      <c r="Q574" s="3" t="s">
        <v>44</v>
      </c>
      <c r="R574" s="2" t="s">
        <v>44</v>
      </c>
      <c r="S574" s="2" t="s">
        <v>56</v>
      </c>
      <c r="T574" s="5">
        <v>26900</v>
      </c>
      <c r="U574" s="5">
        <v>0</v>
      </c>
      <c r="V574" s="4">
        <v>26</v>
      </c>
      <c r="W574" s="4">
        <v>30</v>
      </c>
      <c r="X574" s="2" t="s">
        <v>44</v>
      </c>
      <c r="Y574" s="4">
        <v>0</v>
      </c>
      <c r="Z574" s="4">
        <v>3</v>
      </c>
      <c r="AA574" s="4">
        <v>0</v>
      </c>
      <c r="AB574" s="4">
        <v>0</v>
      </c>
      <c r="AC574" s="4">
        <v>1</v>
      </c>
      <c r="AD574" s="4">
        <v>10</v>
      </c>
      <c r="AE574" s="3" t="s">
        <v>45</v>
      </c>
      <c r="AG574">
        <f t="shared" ca="1" si="24"/>
        <v>3</v>
      </c>
      <c r="AH574" s="23" t="str" cm="1">
        <f t="array" ref="AH574">_xlfn.IFS(E574&gt;49,"50+",E574&gt;39,"40-49",E574&gt;29,"30-39",E574&gt;19,"20-29")</f>
        <v>20-29</v>
      </c>
      <c r="AI574" s="24" t="str" cm="1">
        <f t="array" aca="1" ref="AI574" ca="1">_xlfn.IFS(AG574&gt;10,"10+",AG574&gt;4,"5-10 YIL",AG574&gt;2,"3-5 YIL",AG574&gt;0.9,"1-3 YIL",AG574&lt;1,"0-1 YIL")</f>
        <v>3-5 YIL</v>
      </c>
      <c r="AJ574">
        <f t="shared" si="25"/>
        <v>2023</v>
      </c>
      <c r="AK574" t="e">
        <f t="shared" si="26"/>
        <v>#VALUE!</v>
      </c>
    </row>
    <row r="575" spans="1:37" x14ac:dyDescent="0.3">
      <c r="A575" s="6" t="s">
        <v>986</v>
      </c>
      <c r="B575" s="7" t="s">
        <v>877</v>
      </c>
      <c r="C575" s="6" t="s">
        <v>33</v>
      </c>
      <c r="D575" s="14">
        <v>38334</v>
      </c>
      <c r="E575" s="8">
        <v>22</v>
      </c>
      <c r="F575" s="6" t="s">
        <v>49</v>
      </c>
      <c r="G575" s="8">
        <v>1</v>
      </c>
      <c r="H575" s="6" t="s">
        <v>35</v>
      </c>
      <c r="I575" s="7" t="s">
        <v>36</v>
      </c>
      <c r="J575" s="7" t="s">
        <v>37</v>
      </c>
      <c r="K575" s="6" t="s">
        <v>38</v>
      </c>
      <c r="L575" s="6" t="s">
        <v>39</v>
      </c>
      <c r="M575" s="7" t="s">
        <v>40</v>
      </c>
      <c r="N575" s="6" t="s">
        <v>41</v>
      </c>
      <c r="O575" s="14">
        <v>46043</v>
      </c>
      <c r="P575" s="6" t="s">
        <v>44</v>
      </c>
      <c r="Q575" s="7" t="s">
        <v>44</v>
      </c>
      <c r="R575" s="6" t="s">
        <v>44</v>
      </c>
      <c r="S575" s="6" t="s">
        <v>56</v>
      </c>
      <c r="T575" s="9">
        <v>27800</v>
      </c>
      <c r="U575" s="9">
        <v>0</v>
      </c>
      <c r="V575" s="8">
        <v>20</v>
      </c>
      <c r="W575" s="8">
        <v>29</v>
      </c>
      <c r="X575" s="6" t="s">
        <v>81</v>
      </c>
      <c r="Y575" s="8">
        <v>0</v>
      </c>
      <c r="Z575" s="8">
        <v>0</v>
      </c>
      <c r="AA575" s="8">
        <v>1</v>
      </c>
      <c r="AB575" s="8">
        <v>0</v>
      </c>
      <c r="AC575" s="8">
        <v>3</v>
      </c>
      <c r="AD575" s="8">
        <v>8</v>
      </c>
      <c r="AE575" s="7" t="s">
        <v>96</v>
      </c>
      <c r="AG575">
        <f t="shared" ca="1" si="24"/>
        <v>0</v>
      </c>
      <c r="AH575" s="23" t="str" cm="1">
        <f t="array" ref="AH575">_xlfn.IFS(E575&gt;49,"50+",E575&gt;39,"40-49",E575&gt;29,"30-39",E575&gt;19,"20-29")</f>
        <v>20-29</v>
      </c>
      <c r="AI575" s="24" t="str" cm="1">
        <f t="array" aca="1" ref="AI575" ca="1">_xlfn.IFS(AG575&gt;10,"10+",AG575&gt;4,"5-10 YIL",AG575&gt;2,"3-5 YIL",AG575&gt;0.9,"1-3 YIL",AG575&lt;1,"0-1 YIL")</f>
        <v>0-1 YIL</v>
      </c>
      <c r="AJ575">
        <f t="shared" si="25"/>
        <v>2026</v>
      </c>
      <c r="AK575" t="e">
        <f t="shared" si="26"/>
        <v>#VALUE!</v>
      </c>
    </row>
    <row r="576" spans="1:37" x14ac:dyDescent="0.3">
      <c r="A576" s="2" t="s">
        <v>987</v>
      </c>
      <c r="B576" s="3" t="s">
        <v>845</v>
      </c>
      <c r="C576" s="2" t="s">
        <v>48</v>
      </c>
      <c r="D576" s="13">
        <v>27360</v>
      </c>
      <c r="E576" s="4">
        <v>52</v>
      </c>
      <c r="F576" s="2" t="s">
        <v>49</v>
      </c>
      <c r="G576" s="4">
        <v>0</v>
      </c>
      <c r="H576" s="2" t="s">
        <v>35</v>
      </c>
      <c r="I576" s="3" t="s">
        <v>61</v>
      </c>
      <c r="J576" s="3" t="s">
        <v>124</v>
      </c>
      <c r="K576" s="2" t="s">
        <v>79</v>
      </c>
      <c r="L576" s="2" t="s">
        <v>63</v>
      </c>
      <c r="M576" s="3" t="s">
        <v>80</v>
      </c>
      <c r="N576" s="2" t="s">
        <v>89</v>
      </c>
      <c r="O576" s="13">
        <v>40101</v>
      </c>
      <c r="P576" s="13">
        <v>40398</v>
      </c>
      <c r="Q576" s="3" t="s">
        <v>566</v>
      </c>
      <c r="R576" s="2">
        <v>8</v>
      </c>
      <c r="S576" s="2" t="s">
        <v>43</v>
      </c>
      <c r="T576" s="5">
        <v>104900</v>
      </c>
      <c r="U576" s="5">
        <v>29700</v>
      </c>
      <c r="V576" s="4">
        <v>4</v>
      </c>
      <c r="W576" s="4">
        <v>29</v>
      </c>
      <c r="X576" s="2" t="s">
        <v>81</v>
      </c>
      <c r="Y576" s="4">
        <v>0</v>
      </c>
      <c r="Z576" s="4">
        <v>13</v>
      </c>
      <c r="AA576" s="4">
        <v>1</v>
      </c>
      <c r="AB576" s="4">
        <v>0</v>
      </c>
      <c r="AC576" s="4">
        <v>3</v>
      </c>
      <c r="AD576" s="4">
        <v>18</v>
      </c>
      <c r="AE576" s="3" t="s">
        <v>45</v>
      </c>
      <c r="AG576">
        <f t="shared" ca="1" si="24"/>
        <v>16</v>
      </c>
      <c r="AH576" s="23" t="str" cm="1">
        <f t="array" ref="AH576">_xlfn.IFS(E576&gt;49,"50+",E576&gt;39,"40-49",E576&gt;29,"30-39",E576&gt;19,"20-29")</f>
        <v>50+</v>
      </c>
      <c r="AI576" s="24" t="str" cm="1">
        <f t="array" aca="1" ref="AI576" ca="1">_xlfn.IFS(AG576&gt;10,"10+",AG576&gt;4,"5-10 YIL",AG576&gt;2,"3-5 YIL",AG576&gt;0.9,"1-3 YIL",AG576&lt;1,"0-1 YIL")</f>
        <v>10+</v>
      </c>
      <c r="AJ576">
        <f t="shared" si="25"/>
        <v>2009</v>
      </c>
      <c r="AK576">
        <f t="shared" si="26"/>
        <v>2010</v>
      </c>
    </row>
    <row r="577" spans="1:37" x14ac:dyDescent="0.3">
      <c r="A577" s="6" t="s">
        <v>988</v>
      </c>
      <c r="B577" s="7" t="s">
        <v>989</v>
      </c>
      <c r="C577" s="6" t="s">
        <v>48</v>
      </c>
      <c r="D577" s="14">
        <v>36809</v>
      </c>
      <c r="E577" s="8">
        <v>26</v>
      </c>
      <c r="F577" s="6" t="s">
        <v>49</v>
      </c>
      <c r="G577" s="8">
        <v>2</v>
      </c>
      <c r="H577" s="6" t="s">
        <v>85</v>
      </c>
      <c r="I577" s="7" t="s">
        <v>36</v>
      </c>
      <c r="J577" s="7" t="s">
        <v>37</v>
      </c>
      <c r="K577" s="6" t="s">
        <v>38</v>
      </c>
      <c r="L577" s="6" t="s">
        <v>39</v>
      </c>
      <c r="M577" s="7" t="s">
        <v>40</v>
      </c>
      <c r="N577" s="6" t="s">
        <v>67</v>
      </c>
      <c r="O577" s="14">
        <v>44920</v>
      </c>
      <c r="P577" s="14">
        <v>45931</v>
      </c>
      <c r="Q577" s="7" t="s">
        <v>53</v>
      </c>
      <c r="R577" s="6">
        <v>4</v>
      </c>
      <c r="S577" s="6" t="s">
        <v>43</v>
      </c>
      <c r="T577" s="9">
        <v>24700</v>
      </c>
      <c r="U577" s="9">
        <v>0</v>
      </c>
      <c r="V577" s="8">
        <v>29</v>
      </c>
      <c r="W577" s="8">
        <v>28</v>
      </c>
      <c r="X577" s="6" t="s">
        <v>57</v>
      </c>
      <c r="Y577" s="8">
        <v>2</v>
      </c>
      <c r="Z577" s="8">
        <v>12</v>
      </c>
      <c r="AA577" s="8">
        <v>0</v>
      </c>
      <c r="AB577" s="8">
        <v>0</v>
      </c>
      <c r="AC577" s="8">
        <v>2</v>
      </c>
      <c r="AD577" s="8">
        <v>19</v>
      </c>
      <c r="AE577" s="7" t="s">
        <v>58</v>
      </c>
      <c r="AG577">
        <f t="shared" ca="1" si="24"/>
        <v>3</v>
      </c>
      <c r="AH577" s="23" t="str" cm="1">
        <f t="array" ref="AH577">_xlfn.IFS(E577&gt;49,"50+",E577&gt;39,"40-49",E577&gt;29,"30-39",E577&gt;19,"20-29")</f>
        <v>20-29</v>
      </c>
      <c r="AI577" s="24" t="str" cm="1">
        <f t="array" aca="1" ref="AI577" ca="1">_xlfn.IFS(AG577&gt;10,"10+",AG577&gt;4,"5-10 YIL",AG577&gt;2,"3-5 YIL",AG577&gt;0.9,"1-3 YIL",AG577&lt;1,"0-1 YIL")</f>
        <v>3-5 YIL</v>
      </c>
      <c r="AJ577">
        <f t="shared" si="25"/>
        <v>2022</v>
      </c>
      <c r="AK577">
        <f t="shared" si="26"/>
        <v>2025</v>
      </c>
    </row>
    <row r="578" spans="1:37" x14ac:dyDescent="0.3">
      <c r="A578" s="2" t="s">
        <v>990</v>
      </c>
      <c r="B578" s="3" t="s">
        <v>991</v>
      </c>
      <c r="C578" s="2" t="s">
        <v>33</v>
      </c>
      <c r="D578" s="13">
        <v>35577</v>
      </c>
      <c r="E578" s="4">
        <v>29</v>
      </c>
      <c r="F578" s="2" t="s">
        <v>34</v>
      </c>
      <c r="G578" s="4">
        <v>0</v>
      </c>
      <c r="H578" s="2" t="s">
        <v>85</v>
      </c>
      <c r="I578" s="3" t="s">
        <v>139</v>
      </c>
      <c r="J578" s="3" t="s">
        <v>161</v>
      </c>
      <c r="K578" s="2" t="s">
        <v>51</v>
      </c>
      <c r="L578" s="2" t="s">
        <v>63</v>
      </c>
      <c r="M578" s="3" t="s">
        <v>162</v>
      </c>
      <c r="N578" s="2" t="s">
        <v>41</v>
      </c>
      <c r="O578" s="13">
        <v>43531</v>
      </c>
      <c r="P578" s="2" t="s">
        <v>44</v>
      </c>
      <c r="Q578" s="3" t="s">
        <v>44</v>
      </c>
      <c r="R578" s="2" t="s">
        <v>44</v>
      </c>
      <c r="S578" s="2" t="s">
        <v>56</v>
      </c>
      <c r="T578" s="5">
        <v>84700</v>
      </c>
      <c r="U578" s="5">
        <v>0</v>
      </c>
      <c r="V578" s="4">
        <v>7</v>
      </c>
      <c r="W578" s="4">
        <v>30</v>
      </c>
      <c r="X578" s="2" t="s">
        <v>44</v>
      </c>
      <c r="Y578" s="4">
        <v>0</v>
      </c>
      <c r="Z578" s="4">
        <v>0</v>
      </c>
      <c r="AA578" s="4">
        <v>0</v>
      </c>
      <c r="AB578" s="4">
        <v>0</v>
      </c>
      <c r="AC578" s="4">
        <v>3</v>
      </c>
      <c r="AD578" s="4">
        <v>5</v>
      </c>
      <c r="AE578" s="3" t="s">
        <v>82</v>
      </c>
      <c r="AG578">
        <f t="shared" ca="1" si="24"/>
        <v>7</v>
      </c>
      <c r="AH578" s="23" t="str" cm="1">
        <f t="array" ref="AH578">_xlfn.IFS(E578&gt;49,"50+",E578&gt;39,"40-49",E578&gt;29,"30-39",E578&gt;19,"20-29")</f>
        <v>20-29</v>
      </c>
      <c r="AI578" s="24" t="str" cm="1">
        <f t="array" aca="1" ref="AI578" ca="1">_xlfn.IFS(AG578&gt;10,"10+",AG578&gt;4,"5-10 YIL",AG578&gt;2,"3-5 YIL",AG578&gt;0.9,"1-3 YIL",AG578&lt;1,"0-1 YIL")</f>
        <v>5-10 YIL</v>
      </c>
      <c r="AJ578">
        <f t="shared" si="25"/>
        <v>2019</v>
      </c>
      <c r="AK578" t="e">
        <f t="shared" si="26"/>
        <v>#VALUE!</v>
      </c>
    </row>
    <row r="579" spans="1:37" x14ac:dyDescent="0.3">
      <c r="A579" s="6" t="s">
        <v>992</v>
      </c>
      <c r="B579" s="7" t="s">
        <v>637</v>
      </c>
      <c r="C579" s="6" t="s">
        <v>48</v>
      </c>
      <c r="D579" s="14">
        <v>37428</v>
      </c>
      <c r="E579" s="8">
        <v>24</v>
      </c>
      <c r="F579" s="6" t="s">
        <v>49</v>
      </c>
      <c r="G579" s="8">
        <v>1</v>
      </c>
      <c r="H579" s="6" t="s">
        <v>85</v>
      </c>
      <c r="I579" s="7" t="s">
        <v>36</v>
      </c>
      <c r="J579" s="7" t="s">
        <v>37</v>
      </c>
      <c r="K579" s="6" t="s">
        <v>38</v>
      </c>
      <c r="L579" s="6" t="s">
        <v>39</v>
      </c>
      <c r="M579" s="7" t="s">
        <v>40</v>
      </c>
      <c r="N579" s="6" t="s">
        <v>67</v>
      </c>
      <c r="O579" s="14">
        <v>45018</v>
      </c>
      <c r="P579" s="6" t="s">
        <v>44</v>
      </c>
      <c r="Q579" s="7" t="s">
        <v>44</v>
      </c>
      <c r="R579" s="6" t="s">
        <v>44</v>
      </c>
      <c r="S579" s="6" t="s">
        <v>56</v>
      </c>
      <c r="T579" s="9">
        <v>25100</v>
      </c>
      <c r="U579" s="9">
        <v>0</v>
      </c>
      <c r="V579" s="8">
        <v>14</v>
      </c>
      <c r="W579" s="8">
        <v>30</v>
      </c>
      <c r="X579" s="6" t="s">
        <v>44</v>
      </c>
      <c r="Y579" s="8">
        <v>0</v>
      </c>
      <c r="Z579" s="8">
        <v>6</v>
      </c>
      <c r="AA579" s="8">
        <v>0</v>
      </c>
      <c r="AB579" s="8">
        <v>0</v>
      </c>
      <c r="AC579" s="8">
        <v>2</v>
      </c>
      <c r="AD579" s="8">
        <v>3</v>
      </c>
      <c r="AE579" s="7" t="s">
        <v>45</v>
      </c>
      <c r="AG579">
        <f t="shared" ref="AG579:AG642" ca="1" si="27">DATEDIF(O579,TODAY(),"Y")</f>
        <v>3</v>
      </c>
      <c r="AH579" s="23" t="str" cm="1">
        <f t="array" ref="AH579">_xlfn.IFS(E579&gt;49,"50+",E579&gt;39,"40-49",E579&gt;29,"30-39",E579&gt;19,"20-29")</f>
        <v>20-29</v>
      </c>
      <c r="AI579" s="24" t="str" cm="1">
        <f t="array" aca="1" ref="AI579" ca="1">_xlfn.IFS(AG579&gt;10,"10+",AG579&gt;4,"5-10 YIL",AG579&gt;2,"3-5 YIL",AG579&gt;0.9,"1-3 YIL",AG579&lt;1,"0-1 YIL")</f>
        <v>3-5 YIL</v>
      </c>
      <c r="AJ579">
        <f t="shared" ref="AJ579:AJ642" si="28">YEAR(O579)</f>
        <v>2023</v>
      </c>
      <c r="AK579" t="e">
        <f t="shared" ref="AK579:AK642" si="29">YEAR(P579)</f>
        <v>#VALUE!</v>
      </c>
    </row>
    <row r="580" spans="1:37" x14ac:dyDescent="0.3">
      <c r="A580" s="2" t="s">
        <v>993</v>
      </c>
      <c r="B580" s="3" t="s">
        <v>457</v>
      </c>
      <c r="C580" s="2" t="s">
        <v>48</v>
      </c>
      <c r="D580" s="13">
        <v>35916</v>
      </c>
      <c r="E580" s="4">
        <v>28</v>
      </c>
      <c r="F580" s="2" t="s">
        <v>34</v>
      </c>
      <c r="G580" s="4">
        <v>0</v>
      </c>
      <c r="H580" s="2" t="s">
        <v>35</v>
      </c>
      <c r="I580" s="3" t="s">
        <v>36</v>
      </c>
      <c r="J580" s="3" t="s">
        <v>37</v>
      </c>
      <c r="K580" s="2" t="s">
        <v>38</v>
      </c>
      <c r="L580" s="2" t="s">
        <v>39</v>
      </c>
      <c r="M580" s="3" t="s">
        <v>40</v>
      </c>
      <c r="N580" s="2" t="s">
        <v>52</v>
      </c>
      <c r="O580" s="13">
        <v>45098</v>
      </c>
      <c r="P580" s="2" t="s">
        <v>44</v>
      </c>
      <c r="Q580" s="3" t="s">
        <v>44</v>
      </c>
      <c r="R580" s="2" t="s">
        <v>44</v>
      </c>
      <c r="S580" s="2" t="s">
        <v>56</v>
      </c>
      <c r="T580" s="5">
        <v>28400</v>
      </c>
      <c r="U580" s="5">
        <v>0</v>
      </c>
      <c r="V580" s="4">
        <v>43</v>
      </c>
      <c r="W580" s="4">
        <v>29</v>
      </c>
      <c r="X580" s="2" t="s">
        <v>112</v>
      </c>
      <c r="Y580" s="4">
        <v>0</v>
      </c>
      <c r="Z580" s="4">
        <v>12</v>
      </c>
      <c r="AA580" s="4">
        <v>0</v>
      </c>
      <c r="AB580" s="4">
        <v>1</v>
      </c>
      <c r="AC580" s="4">
        <v>3</v>
      </c>
      <c r="AD580" s="4">
        <v>16</v>
      </c>
      <c r="AE580" s="3" t="s">
        <v>45</v>
      </c>
      <c r="AG580">
        <f t="shared" ca="1" si="27"/>
        <v>3</v>
      </c>
      <c r="AH580" s="23" t="str" cm="1">
        <f t="array" ref="AH580">_xlfn.IFS(E580&gt;49,"50+",E580&gt;39,"40-49",E580&gt;29,"30-39",E580&gt;19,"20-29")</f>
        <v>20-29</v>
      </c>
      <c r="AI580" s="24" t="str" cm="1">
        <f t="array" aca="1" ref="AI580" ca="1">_xlfn.IFS(AG580&gt;10,"10+",AG580&gt;4,"5-10 YIL",AG580&gt;2,"3-5 YIL",AG580&gt;0.9,"1-3 YIL",AG580&lt;1,"0-1 YIL")</f>
        <v>3-5 YIL</v>
      </c>
      <c r="AJ580">
        <f t="shared" si="28"/>
        <v>2023</v>
      </c>
      <c r="AK580" t="e">
        <f t="shared" si="29"/>
        <v>#VALUE!</v>
      </c>
    </row>
    <row r="581" spans="1:37" x14ac:dyDescent="0.3">
      <c r="A581" s="6" t="s">
        <v>994</v>
      </c>
      <c r="B581" s="7" t="s">
        <v>337</v>
      </c>
      <c r="C581" s="6" t="s">
        <v>48</v>
      </c>
      <c r="D581" s="14">
        <v>30661</v>
      </c>
      <c r="E581" s="8">
        <v>43</v>
      </c>
      <c r="F581" s="6" t="s">
        <v>49</v>
      </c>
      <c r="G581" s="8">
        <v>0</v>
      </c>
      <c r="H581" s="6" t="s">
        <v>85</v>
      </c>
      <c r="I581" s="7" t="s">
        <v>36</v>
      </c>
      <c r="J581" s="7" t="s">
        <v>50</v>
      </c>
      <c r="K581" s="6" t="s">
        <v>51</v>
      </c>
      <c r="L581" s="6" t="s">
        <v>39</v>
      </c>
      <c r="M581" s="7" t="s">
        <v>40</v>
      </c>
      <c r="N581" s="6" t="s">
        <v>89</v>
      </c>
      <c r="O581" s="14">
        <v>43484</v>
      </c>
      <c r="P581" s="6" t="s">
        <v>44</v>
      </c>
      <c r="Q581" s="7" t="s">
        <v>44</v>
      </c>
      <c r="R581" s="6" t="s">
        <v>44</v>
      </c>
      <c r="S581" s="6" t="s">
        <v>56</v>
      </c>
      <c r="T581" s="9">
        <v>44000</v>
      </c>
      <c r="U581" s="9">
        <v>0</v>
      </c>
      <c r="V581" s="8">
        <v>41</v>
      </c>
      <c r="W581" s="8">
        <v>30</v>
      </c>
      <c r="X581" s="6" t="s">
        <v>44</v>
      </c>
      <c r="Y581" s="8">
        <v>0</v>
      </c>
      <c r="Z581" s="8">
        <v>1</v>
      </c>
      <c r="AA581" s="8">
        <v>0</v>
      </c>
      <c r="AB581" s="8">
        <v>0</v>
      </c>
      <c r="AC581" s="8">
        <v>3</v>
      </c>
      <c r="AD581" s="8">
        <v>2</v>
      </c>
      <c r="AE581" s="7" t="s">
        <v>96</v>
      </c>
      <c r="AG581">
        <f t="shared" ca="1" si="27"/>
        <v>7</v>
      </c>
      <c r="AH581" s="23" t="str" cm="1">
        <f t="array" ref="AH581">_xlfn.IFS(E581&gt;49,"50+",E581&gt;39,"40-49",E581&gt;29,"30-39",E581&gt;19,"20-29")</f>
        <v>40-49</v>
      </c>
      <c r="AI581" s="24" t="str" cm="1">
        <f t="array" aca="1" ref="AI581" ca="1">_xlfn.IFS(AG581&gt;10,"10+",AG581&gt;4,"5-10 YIL",AG581&gt;2,"3-5 YIL",AG581&gt;0.9,"1-3 YIL",AG581&lt;1,"0-1 YIL")</f>
        <v>5-10 YIL</v>
      </c>
      <c r="AJ581">
        <f t="shared" si="28"/>
        <v>2019</v>
      </c>
      <c r="AK581" t="e">
        <f t="shared" si="29"/>
        <v>#VALUE!</v>
      </c>
    </row>
    <row r="582" spans="1:37" x14ac:dyDescent="0.3">
      <c r="A582" s="2" t="s">
        <v>995</v>
      </c>
      <c r="B582" s="3" t="s">
        <v>996</v>
      </c>
      <c r="C582" s="2" t="s">
        <v>33</v>
      </c>
      <c r="D582" s="13">
        <v>35748</v>
      </c>
      <c r="E582" s="4">
        <v>29</v>
      </c>
      <c r="F582" s="2" t="s">
        <v>49</v>
      </c>
      <c r="G582" s="4">
        <v>2</v>
      </c>
      <c r="H582" s="2" t="s">
        <v>35</v>
      </c>
      <c r="I582" s="3" t="s">
        <v>61</v>
      </c>
      <c r="J582" s="3" t="s">
        <v>62</v>
      </c>
      <c r="K582" s="2" t="s">
        <v>38</v>
      </c>
      <c r="L582" s="2" t="s">
        <v>63</v>
      </c>
      <c r="M582" s="3" t="s">
        <v>64</v>
      </c>
      <c r="N582" s="2" t="s">
        <v>41</v>
      </c>
      <c r="O582" s="13">
        <v>45401</v>
      </c>
      <c r="P582" s="2" t="s">
        <v>44</v>
      </c>
      <c r="Q582" s="3" t="s">
        <v>44</v>
      </c>
      <c r="R582" s="2" t="s">
        <v>44</v>
      </c>
      <c r="S582" s="2" t="s">
        <v>56</v>
      </c>
      <c r="T582" s="5">
        <v>36700</v>
      </c>
      <c r="U582" s="5">
        <v>0</v>
      </c>
      <c r="V582" s="4">
        <v>1</v>
      </c>
      <c r="W582" s="4">
        <v>30</v>
      </c>
      <c r="X582" s="2" t="s">
        <v>44</v>
      </c>
      <c r="Y582" s="4">
        <v>0</v>
      </c>
      <c r="Z582" s="4">
        <v>3</v>
      </c>
      <c r="AA582" s="4">
        <v>0</v>
      </c>
      <c r="AB582" s="4">
        <v>0</v>
      </c>
      <c r="AC582" s="4">
        <v>3</v>
      </c>
      <c r="AD582" s="4">
        <v>15</v>
      </c>
      <c r="AE582" s="3" t="s">
        <v>82</v>
      </c>
      <c r="AG582">
        <f t="shared" ca="1" si="27"/>
        <v>2</v>
      </c>
      <c r="AH582" s="23" t="str" cm="1">
        <f t="array" ref="AH582">_xlfn.IFS(E582&gt;49,"50+",E582&gt;39,"40-49",E582&gt;29,"30-39",E582&gt;19,"20-29")</f>
        <v>20-29</v>
      </c>
      <c r="AI582" s="24" t="str" cm="1">
        <f t="array" aca="1" ref="AI582" ca="1">_xlfn.IFS(AG582&gt;10,"10+",AG582&gt;4,"5-10 YIL",AG582&gt;2,"3-5 YIL",AG582&gt;0.9,"1-3 YIL",AG582&lt;1,"0-1 YIL")</f>
        <v>1-3 YIL</v>
      </c>
      <c r="AJ582">
        <f t="shared" si="28"/>
        <v>2024</v>
      </c>
      <c r="AK582" t="e">
        <f t="shared" si="29"/>
        <v>#VALUE!</v>
      </c>
    </row>
    <row r="583" spans="1:37" x14ac:dyDescent="0.3">
      <c r="A583" s="6" t="s">
        <v>997</v>
      </c>
      <c r="B583" s="7" t="s">
        <v>759</v>
      </c>
      <c r="C583" s="6" t="s">
        <v>48</v>
      </c>
      <c r="D583" s="14">
        <v>27366</v>
      </c>
      <c r="E583" s="8">
        <v>52</v>
      </c>
      <c r="F583" s="6" t="s">
        <v>49</v>
      </c>
      <c r="G583" s="8">
        <v>3</v>
      </c>
      <c r="H583" s="6" t="s">
        <v>35</v>
      </c>
      <c r="I583" s="7" t="s">
        <v>61</v>
      </c>
      <c r="J583" s="7" t="s">
        <v>124</v>
      </c>
      <c r="K583" s="6" t="s">
        <v>79</v>
      </c>
      <c r="L583" s="6" t="s">
        <v>63</v>
      </c>
      <c r="M583" s="7" t="s">
        <v>80</v>
      </c>
      <c r="N583" s="6" t="s">
        <v>67</v>
      </c>
      <c r="O583" s="14">
        <v>40486</v>
      </c>
      <c r="P583" s="6" t="s">
        <v>44</v>
      </c>
      <c r="Q583" s="7" t="s">
        <v>44</v>
      </c>
      <c r="R583" s="6" t="s">
        <v>44</v>
      </c>
      <c r="S583" s="6" t="s">
        <v>56</v>
      </c>
      <c r="T583" s="9">
        <v>113100</v>
      </c>
      <c r="U583" s="9">
        <v>0</v>
      </c>
      <c r="V583" s="8">
        <v>5</v>
      </c>
      <c r="W583" s="8">
        <v>29</v>
      </c>
      <c r="X583" s="6" t="s">
        <v>81</v>
      </c>
      <c r="Y583" s="8">
        <v>0</v>
      </c>
      <c r="Z583" s="8">
        <v>2</v>
      </c>
      <c r="AA583" s="8">
        <v>1</v>
      </c>
      <c r="AB583" s="8">
        <v>0</v>
      </c>
      <c r="AC583" s="8">
        <v>4</v>
      </c>
      <c r="AD583" s="8">
        <v>31</v>
      </c>
      <c r="AE583" s="7" t="s">
        <v>45</v>
      </c>
      <c r="AG583">
        <f t="shared" ca="1" si="27"/>
        <v>15</v>
      </c>
      <c r="AH583" s="23" t="str" cm="1">
        <f t="array" ref="AH583">_xlfn.IFS(E583&gt;49,"50+",E583&gt;39,"40-49",E583&gt;29,"30-39",E583&gt;19,"20-29")</f>
        <v>50+</v>
      </c>
      <c r="AI583" s="24" t="str" cm="1">
        <f t="array" aca="1" ref="AI583" ca="1">_xlfn.IFS(AG583&gt;10,"10+",AG583&gt;4,"5-10 YIL",AG583&gt;2,"3-5 YIL",AG583&gt;0.9,"1-3 YIL",AG583&lt;1,"0-1 YIL")</f>
        <v>10+</v>
      </c>
      <c r="AJ583">
        <f t="shared" si="28"/>
        <v>2010</v>
      </c>
      <c r="AK583" t="e">
        <f t="shared" si="29"/>
        <v>#VALUE!</v>
      </c>
    </row>
    <row r="584" spans="1:37" x14ac:dyDescent="0.3">
      <c r="A584" s="2" t="s">
        <v>998</v>
      </c>
      <c r="B584" s="3" t="s">
        <v>91</v>
      </c>
      <c r="C584" s="2" t="s">
        <v>48</v>
      </c>
      <c r="D584" s="13">
        <v>37974</v>
      </c>
      <c r="E584" s="4">
        <v>23</v>
      </c>
      <c r="F584" s="2" t="s">
        <v>34</v>
      </c>
      <c r="G584" s="4">
        <v>0</v>
      </c>
      <c r="H584" s="2" t="s">
        <v>35</v>
      </c>
      <c r="I584" s="3" t="s">
        <v>139</v>
      </c>
      <c r="J584" s="3" t="s">
        <v>235</v>
      </c>
      <c r="K584" s="2" t="s">
        <v>38</v>
      </c>
      <c r="L584" s="2" t="s">
        <v>63</v>
      </c>
      <c r="M584" s="3" t="s">
        <v>162</v>
      </c>
      <c r="N584" s="2" t="s">
        <v>67</v>
      </c>
      <c r="O584" s="13">
        <v>45283</v>
      </c>
      <c r="P584" s="2" t="s">
        <v>44</v>
      </c>
      <c r="Q584" s="3" t="s">
        <v>44</v>
      </c>
      <c r="R584" s="2" t="s">
        <v>44</v>
      </c>
      <c r="S584" s="2" t="s">
        <v>56</v>
      </c>
      <c r="T584" s="5">
        <v>48300</v>
      </c>
      <c r="U584" s="5">
        <v>0</v>
      </c>
      <c r="V584" s="4">
        <v>5</v>
      </c>
      <c r="W584" s="4">
        <v>29</v>
      </c>
      <c r="X584" s="2" t="s">
        <v>57</v>
      </c>
      <c r="Y584" s="4">
        <v>1</v>
      </c>
      <c r="Z584" s="4">
        <v>2</v>
      </c>
      <c r="AA584" s="4">
        <v>0</v>
      </c>
      <c r="AB584" s="4">
        <v>0</v>
      </c>
      <c r="AC584" s="4">
        <v>3</v>
      </c>
      <c r="AD584" s="4">
        <v>6</v>
      </c>
      <c r="AE584" s="3" t="s">
        <v>45</v>
      </c>
      <c r="AG584">
        <f t="shared" ca="1" si="27"/>
        <v>2</v>
      </c>
      <c r="AH584" s="23" t="str" cm="1">
        <f t="array" ref="AH584">_xlfn.IFS(E584&gt;49,"50+",E584&gt;39,"40-49",E584&gt;29,"30-39",E584&gt;19,"20-29")</f>
        <v>20-29</v>
      </c>
      <c r="AI584" s="24" t="str" cm="1">
        <f t="array" aca="1" ref="AI584" ca="1">_xlfn.IFS(AG584&gt;10,"10+",AG584&gt;4,"5-10 YIL",AG584&gt;2,"3-5 YIL",AG584&gt;0.9,"1-3 YIL",AG584&lt;1,"0-1 YIL")</f>
        <v>1-3 YIL</v>
      </c>
      <c r="AJ584">
        <f t="shared" si="28"/>
        <v>2023</v>
      </c>
      <c r="AK584" t="e">
        <f t="shared" si="29"/>
        <v>#VALUE!</v>
      </c>
    </row>
    <row r="585" spans="1:37" x14ac:dyDescent="0.3">
      <c r="A585" s="6" t="s">
        <v>999</v>
      </c>
      <c r="B585" s="7" t="s">
        <v>216</v>
      </c>
      <c r="C585" s="6" t="s">
        <v>48</v>
      </c>
      <c r="D585" s="14">
        <v>29312</v>
      </c>
      <c r="E585" s="8">
        <v>46</v>
      </c>
      <c r="F585" s="6" t="s">
        <v>34</v>
      </c>
      <c r="G585" s="8">
        <v>0</v>
      </c>
      <c r="H585" s="6" t="s">
        <v>35</v>
      </c>
      <c r="I585" s="7" t="s">
        <v>70</v>
      </c>
      <c r="J585" s="7" t="s">
        <v>71</v>
      </c>
      <c r="K585" s="6" t="s">
        <v>51</v>
      </c>
      <c r="L585" s="6" t="s">
        <v>63</v>
      </c>
      <c r="M585" s="7" t="s">
        <v>72</v>
      </c>
      <c r="N585" s="6" t="s">
        <v>41</v>
      </c>
      <c r="O585" s="14">
        <v>44372</v>
      </c>
      <c r="P585" s="14">
        <v>45393</v>
      </c>
      <c r="Q585" s="7" t="s">
        <v>53</v>
      </c>
      <c r="R585" s="6">
        <v>4</v>
      </c>
      <c r="S585" s="6" t="s">
        <v>43</v>
      </c>
      <c r="T585" s="9">
        <v>63500</v>
      </c>
      <c r="U585" s="9">
        <v>4900</v>
      </c>
      <c r="V585" s="8">
        <v>8</v>
      </c>
      <c r="W585" s="8">
        <v>30</v>
      </c>
      <c r="X585" s="6" t="s">
        <v>44</v>
      </c>
      <c r="Y585" s="8">
        <v>0</v>
      </c>
      <c r="Z585" s="8">
        <v>7</v>
      </c>
      <c r="AA585" s="8">
        <v>0</v>
      </c>
      <c r="AB585" s="8">
        <v>0</v>
      </c>
      <c r="AC585" s="8">
        <v>4</v>
      </c>
      <c r="AD585" s="8">
        <v>25</v>
      </c>
      <c r="AE585" s="7" t="s">
        <v>82</v>
      </c>
      <c r="AG585">
        <f t="shared" ca="1" si="27"/>
        <v>5</v>
      </c>
      <c r="AH585" s="23" t="str" cm="1">
        <f t="array" ref="AH585">_xlfn.IFS(E585&gt;49,"50+",E585&gt;39,"40-49",E585&gt;29,"30-39",E585&gt;19,"20-29")</f>
        <v>40-49</v>
      </c>
      <c r="AI585" s="24" t="str" cm="1">
        <f t="array" aca="1" ref="AI585" ca="1">_xlfn.IFS(AG585&gt;10,"10+",AG585&gt;4,"5-10 YIL",AG585&gt;2,"3-5 YIL",AG585&gt;0.9,"1-3 YIL",AG585&lt;1,"0-1 YIL")</f>
        <v>5-10 YIL</v>
      </c>
      <c r="AJ585">
        <f t="shared" si="28"/>
        <v>2021</v>
      </c>
      <c r="AK585">
        <f t="shared" si="29"/>
        <v>2024</v>
      </c>
    </row>
    <row r="586" spans="1:37" x14ac:dyDescent="0.3">
      <c r="A586" s="2" t="s">
        <v>1000</v>
      </c>
      <c r="B586" s="3" t="s">
        <v>549</v>
      </c>
      <c r="C586" s="2" t="s">
        <v>48</v>
      </c>
      <c r="D586" s="13">
        <v>37336</v>
      </c>
      <c r="E586" s="4">
        <v>24</v>
      </c>
      <c r="F586" s="2" t="s">
        <v>34</v>
      </c>
      <c r="G586" s="4">
        <v>0</v>
      </c>
      <c r="H586" s="2" t="s">
        <v>35</v>
      </c>
      <c r="I586" s="3" t="s">
        <v>36</v>
      </c>
      <c r="J586" s="3" t="s">
        <v>37</v>
      </c>
      <c r="K586" s="2" t="s">
        <v>38</v>
      </c>
      <c r="L586" s="2" t="s">
        <v>39</v>
      </c>
      <c r="M586" s="3" t="s">
        <v>40</v>
      </c>
      <c r="N586" s="2" t="s">
        <v>41</v>
      </c>
      <c r="O586" s="13">
        <v>46022</v>
      </c>
      <c r="P586" s="2" t="s">
        <v>44</v>
      </c>
      <c r="Q586" s="3" t="s">
        <v>44</v>
      </c>
      <c r="R586" s="2" t="s">
        <v>44</v>
      </c>
      <c r="S586" s="2" t="s">
        <v>56</v>
      </c>
      <c r="T586" s="5">
        <v>25100</v>
      </c>
      <c r="U586" s="5">
        <v>0</v>
      </c>
      <c r="V586" s="4">
        <v>19</v>
      </c>
      <c r="W586" s="4">
        <v>30</v>
      </c>
      <c r="X586" s="2" t="s">
        <v>44</v>
      </c>
      <c r="Y586" s="4">
        <v>0</v>
      </c>
      <c r="Z586" s="4">
        <v>0</v>
      </c>
      <c r="AA586" s="4">
        <v>0</v>
      </c>
      <c r="AB586" s="4">
        <v>0</v>
      </c>
      <c r="AC586" s="4">
        <v>3</v>
      </c>
      <c r="AD586" s="4">
        <v>11</v>
      </c>
      <c r="AE586" s="3" t="s">
        <v>82</v>
      </c>
      <c r="AG586">
        <f t="shared" ca="1" si="27"/>
        <v>0</v>
      </c>
      <c r="AH586" s="23" t="str" cm="1">
        <f t="array" ref="AH586">_xlfn.IFS(E586&gt;49,"50+",E586&gt;39,"40-49",E586&gt;29,"30-39",E586&gt;19,"20-29")</f>
        <v>20-29</v>
      </c>
      <c r="AI586" s="24" t="str" cm="1">
        <f t="array" aca="1" ref="AI586" ca="1">_xlfn.IFS(AG586&gt;10,"10+",AG586&gt;4,"5-10 YIL",AG586&gt;2,"3-5 YIL",AG586&gt;0.9,"1-3 YIL",AG586&lt;1,"0-1 YIL")</f>
        <v>0-1 YIL</v>
      </c>
      <c r="AJ586">
        <f t="shared" si="28"/>
        <v>2025</v>
      </c>
      <c r="AK586" t="e">
        <f t="shared" si="29"/>
        <v>#VALUE!</v>
      </c>
    </row>
    <row r="587" spans="1:37" x14ac:dyDescent="0.3">
      <c r="A587" s="6" t="s">
        <v>1001</v>
      </c>
      <c r="B587" s="7" t="s">
        <v>520</v>
      </c>
      <c r="C587" s="6" t="s">
        <v>48</v>
      </c>
      <c r="D587" s="14">
        <v>35659</v>
      </c>
      <c r="E587" s="8">
        <v>29</v>
      </c>
      <c r="F587" s="6" t="s">
        <v>49</v>
      </c>
      <c r="G587" s="8">
        <v>1</v>
      </c>
      <c r="H587" s="6" t="s">
        <v>35</v>
      </c>
      <c r="I587" s="7" t="s">
        <v>36</v>
      </c>
      <c r="J587" s="7" t="s">
        <v>37</v>
      </c>
      <c r="K587" s="6" t="s">
        <v>38</v>
      </c>
      <c r="L587" s="6" t="s">
        <v>39</v>
      </c>
      <c r="M587" s="7" t="s">
        <v>40</v>
      </c>
      <c r="N587" s="6" t="s">
        <v>41</v>
      </c>
      <c r="O587" s="14">
        <v>45845</v>
      </c>
      <c r="P587" s="6" t="s">
        <v>44</v>
      </c>
      <c r="Q587" s="7" t="s">
        <v>44</v>
      </c>
      <c r="R587" s="6" t="s">
        <v>44</v>
      </c>
      <c r="S587" s="6" t="s">
        <v>56</v>
      </c>
      <c r="T587" s="9">
        <v>26200</v>
      </c>
      <c r="U587" s="9">
        <v>0</v>
      </c>
      <c r="V587" s="8">
        <v>16</v>
      </c>
      <c r="W587" s="8">
        <v>30</v>
      </c>
      <c r="X587" s="6" t="s">
        <v>44</v>
      </c>
      <c r="Y587" s="8">
        <v>0</v>
      </c>
      <c r="Z587" s="8">
        <v>0</v>
      </c>
      <c r="AA587" s="8">
        <v>0</v>
      </c>
      <c r="AB587" s="8">
        <v>0</v>
      </c>
      <c r="AC587" s="8">
        <v>3</v>
      </c>
      <c r="AD587" s="8">
        <v>3</v>
      </c>
      <c r="AE587" s="7" t="s">
        <v>45</v>
      </c>
      <c r="AG587">
        <f t="shared" ca="1" si="27"/>
        <v>0</v>
      </c>
      <c r="AH587" s="23" t="str" cm="1">
        <f t="array" ref="AH587">_xlfn.IFS(E587&gt;49,"50+",E587&gt;39,"40-49",E587&gt;29,"30-39",E587&gt;19,"20-29")</f>
        <v>20-29</v>
      </c>
      <c r="AI587" s="24" t="str" cm="1">
        <f t="array" aca="1" ref="AI587" ca="1">_xlfn.IFS(AG587&gt;10,"10+",AG587&gt;4,"5-10 YIL",AG587&gt;2,"3-5 YIL",AG587&gt;0.9,"1-3 YIL",AG587&lt;1,"0-1 YIL")</f>
        <v>0-1 YIL</v>
      </c>
      <c r="AJ587">
        <f t="shared" si="28"/>
        <v>2025</v>
      </c>
      <c r="AK587" t="e">
        <f t="shared" si="29"/>
        <v>#VALUE!</v>
      </c>
    </row>
    <row r="588" spans="1:37" x14ac:dyDescent="0.3">
      <c r="A588" s="2" t="s">
        <v>1002</v>
      </c>
      <c r="B588" s="3" t="s">
        <v>317</v>
      </c>
      <c r="C588" s="2" t="s">
        <v>33</v>
      </c>
      <c r="D588" s="13">
        <v>35570</v>
      </c>
      <c r="E588" s="4">
        <v>29</v>
      </c>
      <c r="F588" s="2" t="s">
        <v>49</v>
      </c>
      <c r="G588" s="4">
        <v>1</v>
      </c>
      <c r="H588" s="2" t="s">
        <v>35</v>
      </c>
      <c r="I588" s="3" t="s">
        <v>36</v>
      </c>
      <c r="J588" s="3" t="s">
        <v>37</v>
      </c>
      <c r="K588" s="2" t="s">
        <v>38</v>
      </c>
      <c r="L588" s="2" t="s">
        <v>39</v>
      </c>
      <c r="M588" s="3" t="s">
        <v>40</v>
      </c>
      <c r="N588" s="2" t="s">
        <v>41</v>
      </c>
      <c r="O588" s="13">
        <v>45515</v>
      </c>
      <c r="P588" s="2" t="s">
        <v>44</v>
      </c>
      <c r="Q588" s="3" t="s">
        <v>44</v>
      </c>
      <c r="R588" s="2" t="s">
        <v>44</v>
      </c>
      <c r="S588" s="2" t="s">
        <v>56</v>
      </c>
      <c r="T588" s="5">
        <v>25600</v>
      </c>
      <c r="U588" s="5">
        <v>0</v>
      </c>
      <c r="V588" s="4">
        <v>35</v>
      </c>
      <c r="W588" s="4">
        <v>30</v>
      </c>
      <c r="X588" s="2" t="s">
        <v>44</v>
      </c>
      <c r="Y588" s="4">
        <v>0</v>
      </c>
      <c r="Z588" s="4">
        <v>9</v>
      </c>
      <c r="AA588" s="4">
        <v>0</v>
      </c>
      <c r="AB588" s="4">
        <v>0</v>
      </c>
      <c r="AC588" s="4">
        <v>3</v>
      </c>
      <c r="AD588" s="4">
        <v>9</v>
      </c>
      <c r="AE588" s="3" t="s">
        <v>58</v>
      </c>
      <c r="AG588">
        <f t="shared" ca="1" si="27"/>
        <v>1</v>
      </c>
      <c r="AH588" s="23" t="str" cm="1">
        <f t="array" ref="AH588">_xlfn.IFS(E588&gt;49,"50+",E588&gt;39,"40-49",E588&gt;29,"30-39",E588&gt;19,"20-29")</f>
        <v>20-29</v>
      </c>
      <c r="AI588" s="24" t="str" cm="1">
        <f t="array" aca="1" ref="AI588" ca="1">_xlfn.IFS(AG588&gt;10,"10+",AG588&gt;4,"5-10 YIL",AG588&gt;2,"3-5 YIL",AG588&gt;0.9,"1-3 YIL",AG588&lt;1,"0-1 YIL")</f>
        <v>1-3 YIL</v>
      </c>
      <c r="AJ588">
        <f t="shared" si="28"/>
        <v>2024</v>
      </c>
      <c r="AK588" t="e">
        <f t="shared" si="29"/>
        <v>#VALUE!</v>
      </c>
    </row>
    <row r="589" spans="1:37" x14ac:dyDescent="0.3">
      <c r="A589" s="6" t="s">
        <v>1003</v>
      </c>
      <c r="B589" s="7" t="s">
        <v>205</v>
      </c>
      <c r="C589" s="6" t="s">
        <v>48</v>
      </c>
      <c r="D589" s="14">
        <v>29041</v>
      </c>
      <c r="E589" s="8">
        <v>47</v>
      </c>
      <c r="F589" s="6" t="s">
        <v>34</v>
      </c>
      <c r="G589" s="8">
        <v>0</v>
      </c>
      <c r="H589" s="6" t="s">
        <v>35</v>
      </c>
      <c r="I589" s="7" t="s">
        <v>70</v>
      </c>
      <c r="J589" s="7" t="s">
        <v>71</v>
      </c>
      <c r="K589" s="6" t="s">
        <v>51</v>
      </c>
      <c r="L589" s="6" t="s">
        <v>63</v>
      </c>
      <c r="M589" s="7" t="s">
        <v>72</v>
      </c>
      <c r="N589" s="6" t="s">
        <v>89</v>
      </c>
      <c r="O589" s="14">
        <v>41830</v>
      </c>
      <c r="P589" s="6" t="s">
        <v>44</v>
      </c>
      <c r="Q589" s="7" t="s">
        <v>44</v>
      </c>
      <c r="R589" s="6" t="s">
        <v>44</v>
      </c>
      <c r="S589" s="6" t="s">
        <v>56</v>
      </c>
      <c r="T589" s="9">
        <v>58100</v>
      </c>
      <c r="U589" s="9">
        <v>3200</v>
      </c>
      <c r="V589" s="8">
        <v>3</v>
      </c>
      <c r="W589" s="8">
        <v>30</v>
      </c>
      <c r="X589" s="6" t="s">
        <v>44</v>
      </c>
      <c r="Y589" s="8">
        <v>0</v>
      </c>
      <c r="Z589" s="8">
        <v>14</v>
      </c>
      <c r="AA589" s="8">
        <v>0</v>
      </c>
      <c r="AB589" s="8">
        <v>0</v>
      </c>
      <c r="AC589" s="8">
        <v>3</v>
      </c>
      <c r="AD589" s="8">
        <v>14</v>
      </c>
      <c r="AE589" s="7" t="s">
        <v>58</v>
      </c>
      <c r="AG589">
        <f t="shared" ca="1" si="27"/>
        <v>11</v>
      </c>
      <c r="AH589" s="23" t="str" cm="1">
        <f t="array" ref="AH589">_xlfn.IFS(E589&gt;49,"50+",E589&gt;39,"40-49",E589&gt;29,"30-39",E589&gt;19,"20-29")</f>
        <v>40-49</v>
      </c>
      <c r="AI589" s="24" t="str" cm="1">
        <f t="array" aca="1" ref="AI589" ca="1">_xlfn.IFS(AG589&gt;10,"10+",AG589&gt;4,"5-10 YIL",AG589&gt;2,"3-5 YIL",AG589&gt;0.9,"1-3 YIL",AG589&lt;1,"0-1 YIL")</f>
        <v>10+</v>
      </c>
      <c r="AJ589">
        <f t="shared" si="28"/>
        <v>2014</v>
      </c>
      <c r="AK589" t="e">
        <f t="shared" si="29"/>
        <v>#VALUE!</v>
      </c>
    </row>
    <row r="590" spans="1:37" x14ac:dyDescent="0.3">
      <c r="A590" s="2" t="s">
        <v>1004</v>
      </c>
      <c r="B590" s="3" t="s">
        <v>1005</v>
      </c>
      <c r="C590" s="2" t="s">
        <v>33</v>
      </c>
      <c r="D590" s="13">
        <v>29227</v>
      </c>
      <c r="E590" s="4">
        <v>46</v>
      </c>
      <c r="F590" s="2" t="s">
        <v>49</v>
      </c>
      <c r="G590" s="4">
        <v>2</v>
      </c>
      <c r="H590" s="2" t="s">
        <v>88</v>
      </c>
      <c r="I590" s="3" t="s">
        <v>70</v>
      </c>
      <c r="J590" s="3" t="s">
        <v>71</v>
      </c>
      <c r="K590" s="2" t="s">
        <v>51</v>
      </c>
      <c r="L590" s="2" t="s">
        <v>63</v>
      </c>
      <c r="M590" s="3" t="s">
        <v>72</v>
      </c>
      <c r="N590" s="2" t="s">
        <v>41</v>
      </c>
      <c r="O590" s="13">
        <v>43980</v>
      </c>
      <c r="P590" s="2" t="s">
        <v>44</v>
      </c>
      <c r="Q590" s="3" t="s">
        <v>44</v>
      </c>
      <c r="R590" s="2" t="s">
        <v>44</v>
      </c>
      <c r="S590" s="2" t="s">
        <v>56</v>
      </c>
      <c r="T590" s="5">
        <v>65100</v>
      </c>
      <c r="U590" s="5">
        <v>0</v>
      </c>
      <c r="V590" s="4">
        <v>9</v>
      </c>
      <c r="W590" s="4">
        <v>29</v>
      </c>
      <c r="X590" s="2" t="s">
        <v>57</v>
      </c>
      <c r="Y590" s="4">
        <v>1</v>
      </c>
      <c r="Z590" s="4">
        <v>8</v>
      </c>
      <c r="AA590" s="4">
        <v>0</v>
      </c>
      <c r="AB590" s="4">
        <v>0</v>
      </c>
      <c r="AC590" s="4">
        <v>3</v>
      </c>
      <c r="AD590" s="4">
        <v>16</v>
      </c>
      <c r="AE590" s="3" t="s">
        <v>45</v>
      </c>
      <c r="AG590">
        <f t="shared" ca="1" si="27"/>
        <v>6</v>
      </c>
      <c r="AH590" s="23" t="str" cm="1">
        <f t="array" ref="AH590">_xlfn.IFS(E590&gt;49,"50+",E590&gt;39,"40-49",E590&gt;29,"30-39",E590&gt;19,"20-29")</f>
        <v>40-49</v>
      </c>
      <c r="AI590" s="24" t="str" cm="1">
        <f t="array" aca="1" ref="AI590" ca="1">_xlfn.IFS(AG590&gt;10,"10+",AG590&gt;4,"5-10 YIL",AG590&gt;2,"3-5 YIL",AG590&gt;0.9,"1-3 YIL",AG590&lt;1,"0-1 YIL")</f>
        <v>5-10 YIL</v>
      </c>
      <c r="AJ590">
        <f t="shared" si="28"/>
        <v>2020</v>
      </c>
      <c r="AK590" t="e">
        <f t="shared" si="29"/>
        <v>#VALUE!</v>
      </c>
    </row>
    <row r="591" spans="1:37" x14ac:dyDescent="0.3">
      <c r="A591" s="6" t="s">
        <v>1006</v>
      </c>
      <c r="B591" s="7" t="s">
        <v>610</v>
      </c>
      <c r="C591" s="6" t="s">
        <v>33</v>
      </c>
      <c r="D591" s="14">
        <v>32936</v>
      </c>
      <c r="E591" s="8">
        <v>36</v>
      </c>
      <c r="F591" s="6" t="s">
        <v>34</v>
      </c>
      <c r="G591" s="8">
        <v>0</v>
      </c>
      <c r="H591" s="6" t="s">
        <v>35</v>
      </c>
      <c r="I591" s="7" t="s">
        <v>139</v>
      </c>
      <c r="J591" s="7" t="s">
        <v>161</v>
      </c>
      <c r="K591" s="6" t="s">
        <v>51</v>
      </c>
      <c r="L591" s="6" t="s">
        <v>63</v>
      </c>
      <c r="M591" s="7" t="s">
        <v>162</v>
      </c>
      <c r="N591" s="6" t="s">
        <v>41</v>
      </c>
      <c r="O591" s="14">
        <v>41812</v>
      </c>
      <c r="P591" s="6" t="s">
        <v>44</v>
      </c>
      <c r="Q591" s="7" t="s">
        <v>44</v>
      </c>
      <c r="R591" s="6" t="s">
        <v>44</v>
      </c>
      <c r="S591" s="6" t="s">
        <v>56</v>
      </c>
      <c r="T591" s="9">
        <v>85800</v>
      </c>
      <c r="U591" s="9">
        <v>10900</v>
      </c>
      <c r="V591" s="8">
        <v>0</v>
      </c>
      <c r="W591" s="8">
        <v>29</v>
      </c>
      <c r="X591" s="6" t="s">
        <v>57</v>
      </c>
      <c r="Y591" s="8">
        <v>1</v>
      </c>
      <c r="Z591" s="8">
        <v>6</v>
      </c>
      <c r="AA591" s="8">
        <v>0</v>
      </c>
      <c r="AB591" s="8">
        <v>0</v>
      </c>
      <c r="AC591" s="8">
        <v>2</v>
      </c>
      <c r="AD591" s="8">
        <v>15</v>
      </c>
      <c r="AE591" s="7" t="s">
        <v>58</v>
      </c>
      <c r="AG591">
        <f t="shared" ca="1" si="27"/>
        <v>12</v>
      </c>
      <c r="AH591" s="23" t="str" cm="1">
        <f t="array" ref="AH591">_xlfn.IFS(E591&gt;49,"50+",E591&gt;39,"40-49",E591&gt;29,"30-39",E591&gt;19,"20-29")</f>
        <v>30-39</v>
      </c>
      <c r="AI591" s="24" t="str" cm="1">
        <f t="array" aca="1" ref="AI591" ca="1">_xlfn.IFS(AG591&gt;10,"10+",AG591&gt;4,"5-10 YIL",AG591&gt;2,"3-5 YIL",AG591&gt;0.9,"1-3 YIL",AG591&lt;1,"0-1 YIL")</f>
        <v>10+</v>
      </c>
      <c r="AJ591">
        <f t="shared" si="28"/>
        <v>2014</v>
      </c>
      <c r="AK591" t="e">
        <f t="shared" si="29"/>
        <v>#VALUE!</v>
      </c>
    </row>
    <row r="592" spans="1:37" x14ac:dyDescent="0.3">
      <c r="A592" s="2" t="s">
        <v>1007</v>
      </c>
      <c r="B592" s="3" t="s">
        <v>32</v>
      </c>
      <c r="C592" s="2" t="s">
        <v>33</v>
      </c>
      <c r="D592" s="13">
        <v>35928</v>
      </c>
      <c r="E592" s="4">
        <v>28</v>
      </c>
      <c r="F592" s="2" t="s">
        <v>49</v>
      </c>
      <c r="G592" s="4">
        <v>0</v>
      </c>
      <c r="H592" s="2" t="s">
        <v>35</v>
      </c>
      <c r="I592" s="3" t="s">
        <v>61</v>
      </c>
      <c r="J592" s="3" t="s">
        <v>107</v>
      </c>
      <c r="K592" s="2" t="s">
        <v>51</v>
      </c>
      <c r="L592" s="2" t="s">
        <v>63</v>
      </c>
      <c r="M592" s="3" t="s">
        <v>64</v>
      </c>
      <c r="N592" s="2" t="s">
        <v>41</v>
      </c>
      <c r="O592" s="13">
        <v>42729</v>
      </c>
      <c r="P592" s="2" t="s">
        <v>44</v>
      </c>
      <c r="Q592" s="3" t="s">
        <v>44</v>
      </c>
      <c r="R592" s="2" t="s">
        <v>44</v>
      </c>
      <c r="S592" s="2" t="s">
        <v>56</v>
      </c>
      <c r="T592" s="5">
        <v>58800</v>
      </c>
      <c r="U592" s="5">
        <v>10500</v>
      </c>
      <c r="V592" s="4">
        <v>3</v>
      </c>
      <c r="W592" s="4">
        <v>20</v>
      </c>
      <c r="X592" s="2" t="s">
        <v>57</v>
      </c>
      <c r="Y592" s="4">
        <v>10</v>
      </c>
      <c r="Z592" s="4">
        <v>14</v>
      </c>
      <c r="AA592" s="4">
        <v>0</v>
      </c>
      <c r="AB592" s="4">
        <v>0</v>
      </c>
      <c r="AC592" s="4">
        <v>4</v>
      </c>
      <c r="AD592" s="4">
        <v>34</v>
      </c>
      <c r="AE592" s="3" t="s">
        <v>58</v>
      </c>
      <c r="AG592">
        <f t="shared" ca="1" si="27"/>
        <v>9</v>
      </c>
      <c r="AH592" s="23" t="str" cm="1">
        <f t="array" ref="AH592">_xlfn.IFS(E592&gt;49,"50+",E592&gt;39,"40-49",E592&gt;29,"30-39",E592&gt;19,"20-29")</f>
        <v>20-29</v>
      </c>
      <c r="AI592" s="24" t="str" cm="1">
        <f t="array" aca="1" ref="AI592" ca="1">_xlfn.IFS(AG592&gt;10,"10+",AG592&gt;4,"5-10 YIL",AG592&gt;2,"3-5 YIL",AG592&gt;0.9,"1-3 YIL",AG592&lt;1,"0-1 YIL")</f>
        <v>5-10 YIL</v>
      </c>
      <c r="AJ592">
        <f t="shared" si="28"/>
        <v>2016</v>
      </c>
      <c r="AK592" t="e">
        <f t="shared" si="29"/>
        <v>#VALUE!</v>
      </c>
    </row>
    <row r="593" spans="1:37" x14ac:dyDescent="0.3">
      <c r="A593" s="6" t="s">
        <v>1008</v>
      </c>
      <c r="B593" s="7" t="s">
        <v>810</v>
      </c>
      <c r="C593" s="6" t="s">
        <v>48</v>
      </c>
      <c r="D593" s="14">
        <v>29081</v>
      </c>
      <c r="E593" s="8">
        <v>47</v>
      </c>
      <c r="F593" s="6" t="s">
        <v>49</v>
      </c>
      <c r="G593" s="8">
        <v>2</v>
      </c>
      <c r="H593" s="6" t="s">
        <v>35</v>
      </c>
      <c r="I593" s="7" t="s">
        <v>36</v>
      </c>
      <c r="J593" s="7" t="s">
        <v>50</v>
      </c>
      <c r="K593" s="6" t="s">
        <v>51</v>
      </c>
      <c r="L593" s="6" t="s">
        <v>39</v>
      </c>
      <c r="M593" s="7" t="s">
        <v>40</v>
      </c>
      <c r="N593" s="6" t="s">
        <v>67</v>
      </c>
      <c r="O593" s="14">
        <v>43091</v>
      </c>
      <c r="P593" s="6" t="s">
        <v>44</v>
      </c>
      <c r="Q593" s="7" t="s">
        <v>44</v>
      </c>
      <c r="R593" s="6" t="s">
        <v>44</v>
      </c>
      <c r="S593" s="6" t="s">
        <v>56</v>
      </c>
      <c r="T593" s="9">
        <v>42900</v>
      </c>
      <c r="U593" s="9">
        <v>0</v>
      </c>
      <c r="V593" s="8">
        <v>32</v>
      </c>
      <c r="W593" s="8">
        <v>30</v>
      </c>
      <c r="X593" s="6" t="s">
        <v>44</v>
      </c>
      <c r="Y593" s="8">
        <v>0</v>
      </c>
      <c r="Z593" s="8">
        <v>2</v>
      </c>
      <c r="AA593" s="8">
        <v>0</v>
      </c>
      <c r="AB593" s="8">
        <v>0</v>
      </c>
      <c r="AC593" s="8">
        <v>3</v>
      </c>
      <c r="AD593" s="8">
        <v>8</v>
      </c>
      <c r="AE593" s="7" t="s">
        <v>45</v>
      </c>
      <c r="AG593">
        <f t="shared" ca="1" si="27"/>
        <v>8</v>
      </c>
      <c r="AH593" s="23" t="str" cm="1">
        <f t="array" ref="AH593">_xlfn.IFS(E593&gt;49,"50+",E593&gt;39,"40-49",E593&gt;29,"30-39",E593&gt;19,"20-29")</f>
        <v>40-49</v>
      </c>
      <c r="AI593" s="24" t="str" cm="1">
        <f t="array" aca="1" ref="AI593" ca="1">_xlfn.IFS(AG593&gt;10,"10+",AG593&gt;4,"5-10 YIL",AG593&gt;2,"3-5 YIL",AG593&gt;0.9,"1-3 YIL",AG593&lt;1,"0-1 YIL")</f>
        <v>5-10 YIL</v>
      </c>
      <c r="AJ593">
        <f t="shared" si="28"/>
        <v>2017</v>
      </c>
      <c r="AK593" t="e">
        <f t="shared" si="29"/>
        <v>#VALUE!</v>
      </c>
    </row>
    <row r="594" spans="1:37" x14ac:dyDescent="0.3">
      <c r="A594" s="2" t="s">
        <v>1009</v>
      </c>
      <c r="B594" s="3" t="s">
        <v>1010</v>
      </c>
      <c r="C594" s="2" t="s">
        <v>48</v>
      </c>
      <c r="D594" s="13">
        <v>30189</v>
      </c>
      <c r="E594" s="4">
        <v>44</v>
      </c>
      <c r="F594" s="2" t="s">
        <v>49</v>
      </c>
      <c r="G594" s="4">
        <v>1</v>
      </c>
      <c r="H594" s="2" t="s">
        <v>85</v>
      </c>
      <c r="I594" s="3" t="s">
        <v>61</v>
      </c>
      <c r="J594" s="3" t="s">
        <v>124</v>
      </c>
      <c r="K594" s="2" t="s">
        <v>79</v>
      </c>
      <c r="L594" s="2" t="s">
        <v>63</v>
      </c>
      <c r="M594" s="3" t="s">
        <v>80</v>
      </c>
      <c r="N594" s="2" t="s">
        <v>41</v>
      </c>
      <c r="O594" s="13">
        <v>43603</v>
      </c>
      <c r="P594" s="2" t="s">
        <v>44</v>
      </c>
      <c r="Q594" s="3" t="s">
        <v>44</v>
      </c>
      <c r="R594" s="2" t="s">
        <v>44</v>
      </c>
      <c r="S594" s="2" t="s">
        <v>56</v>
      </c>
      <c r="T594" s="5">
        <v>112300</v>
      </c>
      <c r="U594" s="5">
        <v>13900</v>
      </c>
      <c r="V594" s="4">
        <v>2</v>
      </c>
      <c r="W594" s="4">
        <v>30</v>
      </c>
      <c r="X594" s="2" t="s">
        <v>44</v>
      </c>
      <c r="Y594" s="4">
        <v>0</v>
      </c>
      <c r="Z594" s="4">
        <v>10</v>
      </c>
      <c r="AA594" s="4">
        <v>0</v>
      </c>
      <c r="AB594" s="4">
        <v>0</v>
      </c>
      <c r="AC594" s="4">
        <v>3</v>
      </c>
      <c r="AD594" s="4">
        <v>13</v>
      </c>
      <c r="AE594" s="3" t="s">
        <v>45</v>
      </c>
      <c r="AG594">
        <f t="shared" ca="1" si="27"/>
        <v>7</v>
      </c>
      <c r="AH594" s="23" t="str" cm="1">
        <f t="array" ref="AH594">_xlfn.IFS(E594&gt;49,"50+",E594&gt;39,"40-49",E594&gt;29,"30-39",E594&gt;19,"20-29")</f>
        <v>40-49</v>
      </c>
      <c r="AI594" s="24" t="str" cm="1">
        <f t="array" aca="1" ref="AI594" ca="1">_xlfn.IFS(AG594&gt;10,"10+",AG594&gt;4,"5-10 YIL",AG594&gt;2,"3-5 YIL",AG594&gt;0.9,"1-3 YIL",AG594&lt;1,"0-1 YIL")</f>
        <v>5-10 YIL</v>
      </c>
      <c r="AJ594">
        <f t="shared" si="28"/>
        <v>2019</v>
      </c>
      <c r="AK594" t="e">
        <f t="shared" si="29"/>
        <v>#VALUE!</v>
      </c>
    </row>
    <row r="595" spans="1:37" x14ac:dyDescent="0.3">
      <c r="A595" s="6" t="s">
        <v>1011</v>
      </c>
      <c r="B595" s="7" t="s">
        <v>87</v>
      </c>
      <c r="C595" s="6" t="s">
        <v>48</v>
      </c>
      <c r="D595" s="14">
        <v>31859</v>
      </c>
      <c r="E595" s="8">
        <v>39</v>
      </c>
      <c r="F595" s="6" t="s">
        <v>34</v>
      </c>
      <c r="G595" s="8">
        <v>0</v>
      </c>
      <c r="H595" s="6" t="s">
        <v>88</v>
      </c>
      <c r="I595" s="7" t="s">
        <v>148</v>
      </c>
      <c r="J595" s="7" t="s">
        <v>197</v>
      </c>
      <c r="K595" s="6" t="s">
        <v>79</v>
      </c>
      <c r="L595" s="6" t="s">
        <v>63</v>
      </c>
      <c r="M595" s="7" t="s">
        <v>80</v>
      </c>
      <c r="N595" s="6" t="s">
        <v>89</v>
      </c>
      <c r="O595" s="14">
        <v>42698</v>
      </c>
      <c r="P595" s="6" t="s">
        <v>44</v>
      </c>
      <c r="Q595" s="7" t="s">
        <v>44</v>
      </c>
      <c r="R595" s="6" t="s">
        <v>44</v>
      </c>
      <c r="S595" s="6" t="s">
        <v>56</v>
      </c>
      <c r="T595" s="9">
        <v>113100</v>
      </c>
      <c r="U595" s="9">
        <v>15800</v>
      </c>
      <c r="V595" s="8">
        <v>4</v>
      </c>
      <c r="W595" s="8">
        <v>30</v>
      </c>
      <c r="X595" s="6" t="s">
        <v>44</v>
      </c>
      <c r="Y595" s="8">
        <v>0</v>
      </c>
      <c r="Z595" s="8">
        <v>7</v>
      </c>
      <c r="AA595" s="8">
        <v>0</v>
      </c>
      <c r="AB595" s="8">
        <v>0</v>
      </c>
      <c r="AC595" s="8">
        <v>4</v>
      </c>
      <c r="AD595" s="8">
        <v>30</v>
      </c>
      <c r="AE595" s="7" t="s">
        <v>45</v>
      </c>
      <c r="AG595">
        <f t="shared" ca="1" si="27"/>
        <v>9</v>
      </c>
      <c r="AH595" s="23" t="str" cm="1">
        <f t="array" ref="AH595">_xlfn.IFS(E595&gt;49,"50+",E595&gt;39,"40-49",E595&gt;29,"30-39",E595&gt;19,"20-29")</f>
        <v>30-39</v>
      </c>
      <c r="AI595" s="24" t="str" cm="1">
        <f t="array" aca="1" ref="AI595" ca="1">_xlfn.IFS(AG595&gt;10,"10+",AG595&gt;4,"5-10 YIL",AG595&gt;2,"3-5 YIL",AG595&gt;0.9,"1-3 YIL",AG595&lt;1,"0-1 YIL")</f>
        <v>5-10 YIL</v>
      </c>
      <c r="AJ595">
        <f t="shared" si="28"/>
        <v>2016</v>
      </c>
      <c r="AK595" t="e">
        <f t="shared" si="29"/>
        <v>#VALUE!</v>
      </c>
    </row>
    <row r="596" spans="1:37" x14ac:dyDescent="0.3">
      <c r="A596" s="2" t="s">
        <v>1012</v>
      </c>
      <c r="B596" s="3" t="s">
        <v>871</v>
      </c>
      <c r="C596" s="2" t="s">
        <v>48</v>
      </c>
      <c r="D596" s="13">
        <v>35978</v>
      </c>
      <c r="E596" s="4">
        <v>28</v>
      </c>
      <c r="F596" s="2" t="s">
        <v>34</v>
      </c>
      <c r="G596" s="4">
        <v>0</v>
      </c>
      <c r="H596" s="2" t="s">
        <v>184</v>
      </c>
      <c r="I596" s="3" t="s">
        <v>70</v>
      </c>
      <c r="J596" s="3" t="s">
        <v>71</v>
      </c>
      <c r="K596" s="2" t="s">
        <v>51</v>
      </c>
      <c r="L596" s="2" t="s">
        <v>63</v>
      </c>
      <c r="M596" s="3" t="s">
        <v>72</v>
      </c>
      <c r="N596" s="2" t="s">
        <v>89</v>
      </c>
      <c r="O596" s="13">
        <v>42503</v>
      </c>
      <c r="P596" s="2" t="s">
        <v>44</v>
      </c>
      <c r="Q596" s="3" t="s">
        <v>44</v>
      </c>
      <c r="R596" s="2" t="s">
        <v>44</v>
      </c>
      <c r="S596" s="2" t="s">
        <v>56</v>
      </c>
      <c r="T596" s="5">
        <v>62800</v>
      </c>
      <c r="U596" s="5">
        <v>0</v>
      </c>
      <c r="V596" s="4">
        <v>0</v>
      </c>
      <c r="W596" s="4">
        <v>28</v>
      </c>
      <c r="X596" s="2" t="s">
        <v>57</v>
      </c>
      <c r="Y596" s="4">
        <v>2</v>
      </c>
      <c r="Z596" s="4">
        <v>0</v>
      </c>
      <c r="AA596" s="4">
        <v>0</v>
      </c>
      <c r="AB596" s="4">
        <v>0</v>
      </c>
      <c r="AC596" s="4">
        <v>2</v>
      </c>
      <c r="AD596" s="4">
        <v>6</v>
      </c>
      <c r="AE596" s="3" t="s">
        <v>45</v>
      </c>
      <c r="AG596">
        <f t="shared" ca="1" si="27"/>
        <v>10</v>
      </c>
      <c r="AH596" s="23" t="str" cm="1">
        <f t="array" ref="AH596">_xlfn.IFS(E596&gt;49,"50+",E596&gt;39,"40-49",E596&gt;29,"30-39",E596&gt;19,"20-29")</f>
        <v>20-29</v>
      </c>
      <c r="AI596" s="24" t="str" cm="1">
        <f t="array" aca="1" ref="AI596" ca="1">_xlfn.IFS(AG596&gt;10,"10+",AG596&gt;4,"5-10 YIL",AG596&gt;2,"3-5 YIL",AG596&gt;0.9,"1-3 YIL",AG596&lt;1,"0-1 YIL")</f>
        <v>5-10 YIL</v>
      </c>
      <c r="AJ596">
        <f t="shared" si="28"/>
        <v>2016</v>
      </c>
      <c r="AK596" t="e">
        <f t="shared" si="29"/>
        <v>#VALUE!</v>
      </c>
    </row>
    <row r="597" spans="1:37" x14ac:dyDescent="0.3">
      <c r="A597" s="6" t="s">
        <v>1013</v>
      </c>
      <c r="B597" s="7" t="s">
        <v>929</v>
      </c>
      <c r="C597" s="6" t="s">
        <v>33</v>
      </c>
      <c r="D597" s="14">
        <v>37538</v>
      </c>
      <c r="E597" s="8">
        <v>24</v>
      </c>
      <c r="F597" s="6" t="s">
        <v>34</v>
      </c>
      <c r="G597" s="8">
        <v>0</v>
      </c>
      <c r="H597" s="6" t="s">
        <v>35</v>
      </c>
      <c r="I597" s="7" t="s">
        <v>36</v>
      </c>
      <c r="J597" s="7" t="s">
        <v>37</v>
      </c>
      <c r="K597" s="6" t="s">
        <v>38</v>
      </c>
      <c r="L597" s="6" t="s">
        <v>39</v>
      </c>
      <c r="M597" s="7" t="s">
        <v>40</v>
      </c>
      <c r="N597" s="6" t="s">
        <v>41</v>
      </c>
      <c r="O597" s="14">
        <v>45591</v>
      </c>
      <c r="P597" s="6" t="s">
        <v>44</v>
      </c>
      <c r="Q597" s="7" t="s">
        <v>44</v>
      </c>
      <c r="R597" s="6" t="s">
        <v>44</v>
      </c>
      <c r="S597" s="6" t="s">
        <v>56</v>
      </c>
      <c r="T597" s="9">
        <v>25400</v>
      </c>
      <c r="U597" s="9">
        <v>0</v>
      </c>
      <c r="V597" s="8">
        <v>29</v>
      </c>
      <c r="W597" s="8">
        <v>30</v>
      </c>
      <c r="X597" s="6" t="s">
        <v>44</v>
      </c>
      <c r="Y597" s="8">
        <v>0</v>
      </c>
      <c r="Z597" s="8">
        <v>14</v>
      </c>
      <c r="AA597" s="8">
        <v>0</v>
      </c>
      <c r="AB597" s="8">
        <v>0</v>
      </c>
      <c r="AC597" s="8">
        <v>4</v>
      </c>
      <c r="AD597" s="8">
        <v>20</v>
      </c>
      <c r="AE597" s="7" t="s">
        <v>45</v>
      </c>
      <c r="AG597">
        <f t="shared" ca="1" si="27"/>
        <v>1</v>
      </c>
      <c r="AH597" s="23" t="str" cm="1">
        <f t="array" ref="AH597">_xlfn.IFS(E597&gt;49,"50+",E597&gt;39,"40-49",E597&gt;29,"30-39",E597&gt;19,"20-29")</f>
        <v>20-29</v>
      </c>
      <c r="AI597" s="24" t="str" cm="1">
        <f t="array" aca="1" ref="AI597" ca="1">_xlfn.IFS(AG597&gt;10,"10+",AG597&gt;4,"5-10 YIL",AG597&gt;2,"3-5 YIL",AG597&gt;0.9,"1-3 YIL",AG597&lt;1,"0-1 YIL")</f>
        <v>1-3 YIL</v>
      </c>
      <c r="AJ597">
        <f t="shared" si="28"/>
        <v>2024</v>
      </c>
      <c r="AK597" t="e">
        <f t="shared" si="29"/>
        <v>#VALUE!</v>
      </c>
    </row>
    <row r="598" spans="1:37" x14ac:dyDescent="0.3">
      <c r="A598" s="2" t="s">
        <v>1014</v>
      </c>
      <c r="B598" s="3" t="s">
        <v>116</v>
      </c>
      <c r="C598" s="2" t="s">
        <v>48</v>
      </c>
      <c r="D598" s="13">
        <v>37277</v>
      </c>
      <c r="E598" s="4">
        <v>24</v>
      </c>
      <c r="F598" s="2" t="s">
        <v>49</v>
      </c>
      <c r="G598" s="4">
        <v>1</v>
      </c>
      <c r="H598" s="2" t="s">
        <v>35</v>
      </c>
      <c r="I598" s="3" t="s">
        <v>61</v>
      </c>
      <c r="J598" s="3" t="s">
        <v>62</v>
      </c>
      <c r="K598" s="2" t="s">
        <v>38</v>
      </c>
      <c r="L598" s="2" t="s">
        <v>63</v>
      </c>
      <c r="M598" s="3" t="s">
        <v>64</v>
      </c>
      <c r="N598" s="2" t="s">
        <v>89</v>
      </c>
      <c r="O598" s="13">
        <v>45473</v>
      </c>
      <c r="P598" s="2" t="s">
        <v>44</v>
      </c>
      <c r="Q598" s="3" t="s">
        <v>44</v>
      </c>
      <c r="R598" s="2" t="s">
        <v>44</v>
      </c>
      <c r="S598" s="2" t="s">
        <v>56</v>
      </c>
      <c r="T598" s="5">
        <v>35200</v>
      </c>
      <c r="U598" s="5">
        <v>4300</v>
      </c>
      <c r="V598" s="4">
        <v>1</v>
      </c>
      <c r="W598" s="4">
        <v>30</v>
      </c>
      <c r="X598" s="2" t="s">
        <v>44</v>
      </c>
      <c r="Y598" s="4">
        <v>0</v>
      </c>
      <c r="Z598" s="4">
        <v>0</v>
      </c>
      <c r="AA598" s="4">
        <v>0</v>
      </c>
      <c r="AB598" s="4">
        <v>0</v>
      </c>
      <c r="AC598" s="4">
        <v>4</v>
      </c>
      <c r="AD598" s="4">
        <v>15</v>
      </c>
      <c r="AE598" s="3" t="s">
        <v>96</v>
      </c>
      <c r="AG598">
        <f t="shared" ca="1" si="27"/>
        <v>2</v>
      </c>
      <c r="AH598" s="23" t="str" cm="1">
        <f t="array" ref="AH598">_xlfn.IFS(E598&gt;49,"50+",E598&gt;39,"40-49",E598&gt;29,"30-39",E598&gt;19,"20-29")</f>
        <v>20-29</v>
      </c>
      <c r="AI598" s="24" t="str" cm="1">
        <f t="array" aca="1" ref="AI598" ca="1">_xlfn.IFS(AG598&gt;10,"10+",AG598&gt;4,"5-10 YIL",AG598&gt;2,"3-5 YIL",AG598&gt;0.9,"1-3 YIL",AG598&lt;1,"0-1 YIL")</f>
        <v>1-3 YIL</v>
      </c>
      <c r="AJ598">
        <f t="shared" si="28"/>
        <v>2024</v>
      </c>
      <c r="AK598" t="e">
        <f t="shared" si="29"/>
        <v>#VALUE!</v>
      </c>
    </row>
    <row r="599" spans="1:37" x14ac:dyDescent="0.3">
      <c r="A599" s="6" t="s">
        <v>1015</v>
      </c>
      <c r="B599" s="7" t="s">
        <v>100</v>
      </c>
      <c r="C599" s="6" t="s">
        <v>33</v>
      </c>
      <c r="D599" s="14">
        <v>35800</v>
      </c>
      <c r="E599" s="8">
        <v>28</v>
      </c>
      <c r="F599" s="6" t="s">
        <v>34</v>
      </c>
      <c r="G599" s="8">
        <v>0</v>
      </c>
      <c r="H599" s="6" t="s">
        <v>35</v>
      </c>
      <c r="I599" s="7" t="s">
        <v>148</v>
      </c>
      <c r="J599" s="7" t="s">
        <v>252</v>
      </c>
      <c r="K599" s="6" t="s">
        <v>38</v>
      </c>
      <c r="L599" s="6" t="s">
        <v>63</v>
      </c>
      <c r="M599" s="7" t="s">
        <v>150</v>
      </c>
      <c r="N599" s="6" t="s">
        <v>89</v>
      </c>
      <c r="O599" s="14">
        <v>44809</v>
      </c>
      <c r="P599" s="6" t="s">
        <v>44</v>
      </c>
      <c r="Q599" s="7" t="s">
        <v>44</v>
      </c>
      <c r="R599" s="6" t="s">
        <v>44</v>
      </c>
      <c r="S599" s="6" t="s">
        <v>56</v>
      </c>
      <c r="T599" s="9">
        <v>36300</v>
      </c>
      <c r="U599" s="9">
        <v>0</v>
      </c>
      <c r="V599" s="8">
        <v>1</v>
      </c>
      <c r="W599" s="8">
        <v>30</v>
      </c>
      <c r="X599" s="6" t="s">
        <v>44</v>
      </c>
      <c r="Y599" s="8">
        <v>0</v>
      </c>
      <c r="Z599" s="8">
        <v>2</v>
      </c>
      <c r="AA599" s="8">
        <v>0</v>
      </c>
      <c r="AB599" s="8">
        <v>0</v>
      </c>
      <c r="AC599" s="8">
        <v>1</v>
      </c>
      <c r="AD599" s="8">
        <v>6</v>
      </c>
      <c r="AE599" s="7" t="s">
        <v>58</v>
      </c>
      <c r="AG599">
        <f t="shared" ca="1" si="27"/>
        <v>3</v>
      </c>
      <c r="AH599" s="23" t="str" cm="1">
        <f t="array" ref="AH599">_xlfn.IFS(E599&gt;49,"50+",E599&gt;39,"40-49",E599&gt;29,"30-39",E599&gt;19,"20-29")</f>
        <v>20-29</v>
      </c>
      <c r="AI599" s="24" t="str" cm="1">
        <f t="array" aca="1" ref="AI599" ca="1">_xlfn.IFS(AG599&gt;10,"10+",AG599&gt;4,"5-10 YIL",AG599&gt;2,"3-5 YIL",AG599&gt;0.9,"1-3 YIL",AG599&lt;1,"0-1 YIL")</f>
        <v>3-5 YIL</v>
      </c>
      <c r="AJ599">
        <f t="shared" si="28"/>
        <v>2022</v>
      </c>
      <c r="AK599" t="e">
        <f t="shared" si="29"/>
        <v>#VALUE!</v>
      </c>
    </row>
    <row r="600" spans="1:37" x14ac:dyDescent="0.3">
      <c r="A600" s="2" t="s">
        <v>1016</v>
      </c>
      <c r="B600" s="3" t="s">
        <v>289</v>
      </c>
      <c r="C600" s="2" t="s">
        <v>33</v>
      </c>
      <c r="D600" s="13">
        <v>37638</v>
      </c>
      <c r="E600" s="4">
        <v>23</v>
      </c>
      <c r="F600" s="2" t="s">
        <v>49</v>
      </c>
      <c r="G600" s="4">
        <v>0</v>
      </c>
      <c r="H600" s="2" t="s">
        <v>35</v>
      </c>
      <c r="I600" s="3" t="s">
        <v>36</v>
      </c>
      <c r="J600" s="3" t="s">
        <v>37</v>
      </c>
      <c r="K600" s="2" t="s">
        <v>38</v>
      </c>
      <c r="L600" s="2" t="s">
        <v>39</v>
      </c>
      <c r="M600" s="3" t="s">
        <v>40</v>
      </c>
      <c r="N600" s="2" t="s">
        <v>41</v>
      </c>
      <c r="O600" s="13">
        <v>44933</v>
      </c>
      <c r="P600" s="2" t="s">
        <v>44</v>
      </c>
      <c r="Q600" s="3" t="s">
        <v>44</v>
      </c>
      <c r="R600" s="2" t="s">
        <v>44</v>
      </c>
      <c r="S600" s="2" t="s">
        <v>56</v>
      </c>
      <c r="T600" s="5">
        <v>28600</v>
      </c>
      <c r="U600" s="5">
        <v>0</v>
      </c>
      <c r="V600" s="4">
        <v>14</v>
      </c>
      <c r="W600" s="4">
        <v>30</v>
      </c>
      <c r="X600" s="2" t="s">
        <v>44</v>
      </c>
      <c r="Y600" s="4">
        <v>0</v>
      </c>
      <c r="Z600" s="4">
        <v>10</v>
      </c>
      <c r="AA600" s="4">
        <v>0</v>
      </c>
      <c r="AB600" s="4">
        <v>0</v>
      </c>
      <c r="AC600" s="4">
        <v>3</v>
      </c>
      <c r="AD600" s="4">
        <v>2</v>
      </c>
      <c r="AE600" s="3" t="s">
        <v>58</v>
      </c>
      <c r="AG600">
        <f t="shared" ca="1" si="27"/>
        <v>3</v>
      </c>
      <c r="AH600" s="23" t="str" cm="1">
        <f t="array" ref="AH600">_xlfn.IFS(E600&gt;49,"50+",E600&gt;39,"40-49",E600&gt;29,"30-39",E600&gt;19,"20-29")</f>
        <v>20-29</v>
      </c>
      <c r="AI600" s="24" t="str" cm="1">
        <f t="array" aca="1" ref="AI600" ca="1">_xlfn.IFS(AG600&gt;10,"10+",AG600&gt;4,"5-10 YIL",AG600&gt;2,"3-5 YIL",AG600&gt;0.9,"1-3 YIL",AG600&lt;1,"0-1 YIL")</f>
        <v>3-5 YIL</v>
      </c>
      <c r="AJ600">
        <f t="shared" si="28"/>
        <v>2023</v>
      </c>
      <c r="AK600" t="e">
        <f t="shared" si="29"/>
        <v>#VALUE!</v>
      </c>
    </row>
    <row r="601" spans="1:37" x14ac:dyDescent="0.3">
      <c r="A601" s="6" t="s">
        <v>1017</v>
      </c>
      <c r="B601" s="7" t="s">
        <v>332</v>
      </c>
      <c r="C601" s="6" t="s">
        <v>48</v>
      </c>
      <c r="D601" s="14">
        <v>37121</v>
      </c>
      <c r="E601" s="8">
        <v>25</v>
      </c>
      <c r="F601" s="6" t="s">
        <v>49</v>
      </c>
      <c r="G601" s="8">
        <v>0</v>
      </c>
      <c r="H601" s="6" t="s">
        <v>35</v>
      </c>
      <c r="I601" s="7" t="s">
        <v>36</v>
      </c>
      <c r="J601" s="7" t="s">
        <v>37</v>
      </c>
      <c r="K601" s="6" t="s">
        <v>38</v>
      </c>
      <c r="L601" s="6" t="s">
        <v>39</v>
      </c>
      <c r="M601" s="7" t="s">
        <v>40</v>
      </c>
      <c r="N601" s="6" t="s">
        <v>41</v>
      </c>
      <c r="O601" s="14">
        <v>44889</v>
      </c>
      <c r="P601" s="6" t="s">
        <v>44</v>
      </c>
      <c r="Q601" s="7" t="s">
        <v>44</v>
      </c>
      <c r="R601" s="6" t="s">
        <v>44</v>
      </c>
      <c r="S601" s="6" t="s">
        <v>56</v>
      </c>
      <c r="T601" s="9">
        <v>27900</v>
      </c>
      <c r="U601" s="9">
        <v>0</v>
      </c>
      <c r="V601" s="8">
        <v>13</v>
      </c>
      <c r="W601" s="8">
        <v>27</v>
      </c>
      <c r="X601" s="6" t="s">
        <v>57</v>
      </c>
      <c r="Y601" s="8">
        <v>3</v>
      </c>
      <c r="Z601" s="8">
        <v>8</v>
      </c>
      <c r="AA601" s="8">
        <v>0</v>
      </c>
      <c r="AB601" s="8">
        <v>0</v>
      </c>
      <c r="AC601" s="8">
        <v>3</v>
      </c>
      <c r="AD601" s="8">
        <v>13</v>
      </c>
      <c r="AE601" s="7" t="s">
        <v>45</v>
      </c>
      <c r="AG601">
        <f t="shared" ca="1" si="27"/>
        <v>3</v>
      </c>
      <c r="AH601" s="23" t="str" cm="1">
        <f t="array" ref="AH601">_xlfn.IFS(E601&gt;49,"50+",E601&gt;39,"40-49",E601&gt;29,"30-39",E601&gt;19,"20-29")</f>
        <v>20-29</v>
      </c>
      <c r="AI601" s="24" t="str" cm="1">
        <f t="array" aca="1" ref="AI601" ca="1">_xlfn.IFS(AG601&gt;10,"10+",AG601&gt;4,"5-10 YIL",AG601&gt;2,"3-5 YIL",AG601&gt;0.9,"1-3 YIL",AG601&lt;1,"0-1 YIL")</f>
        <v>3-5 YIL</v>
      </c>
      <c r="AJ601">
        <f t="shared" si="28"/>
        <v>2022</v>
      </c>
      <c r="AK601" t="e">
        <f t="shared" si="29"/>
        <v>#VALUE!</v>
      </c>
    </row>
    <row r="602" spans="1:37" x14ac:dyDescent="0.3">
      <c r="A602" s="2" t="s">
        <v>1018</v>
      </c>
      <c r="B602" s="3" t="s">
        <v>296</v>
      </c>
      <c r="C602" s="2" t="s">
        <v>33</v>
      </c>
      <c r="D602" s="13">
        <v>34744</v>
      </c>
      <c r="E602" s="4">
        <v>31</v>
      </c>
      <c r="F602" s="2" t="s">
        <v>34</v>
      </c>
      <c r="G602" s="4">
        <v>0</v>
      </c>
      <c r="H602" s="2" t="s">
        <v>35</v>
      </c>
      <c r="I602" s="3" t="s">
        <v>61</v>
      </c>
      <c r="J602" s="3" t="s">
        <v>107</v>
      </c>
      <c r="K602" s="2" t="s">
        <v>51</v>
      </c>
      <c r="L602" s="2" t="s">
        <v>63</v>
      </c>
      <c r="M602" s="3" t="s">
        <v>64</v>
      </c>
      <c r="N602" s="2" t="s">
        <v>67</v>
      </c>
      <c r="O602" s="13">
        <v>44948</v>
      </c>
      <c r="P602" s="13">
        <v>46124</v>
      </c>
      <c r="Q602" s="3" t="s">
        <v>121</v>
      </c>
      <c r="R602" s="2">
        <v>17</v>
      </c>
      <c r="S602" s="2" t="s">
        <v>43</v>
      </c>
      <c r="T602" s="5">
        <v>60800</v>
      </c>
      <c r="U602" s="5">
        <v>10600</v>
      </c>
      <c r="V602" s="4">
        <v>5</v>
      </c>
      <c r="W602" s="4">
        <v>30</v>
      </c>
      <c r="X602" s="2" t="s">
        <v>44</v>
      </c>
      <c r="Y602" s="4">
        <v>0</v>
      </c>
      <c r="Z602" s="4">
        <v>11</v>
      </c>
      <c r="AA602" s="4">
        <v>0</v>
      </c>
      <c r="AB602" s="4">
        <v>0</v>
      </c>
      <c r="AC602" s="4">
        <v>3</v>
      </c>
      <c r="AD602" s="4">
        <v>19</v>
      </c>
      <c r="AE602" s="3" t="s">
        <v>58</v>
      </c>
      <c r="AG602">
        <f t="shared" ca="1" si="27"/>
        <v>3</v>
      </c>
      <c r="AH602" s="23" t="str" cm="1">
        <f t="array" ref="AH602">_xlfn.IFS(E602&gt;49,"50+",E602&gt;39,"40-49",E602&gt;29,"30-39",E602&gt;19,"20-29")</f>
        <v>30-39</v>
      </c>
      <c r="AI602" s="24" t="str" cm="1">
        <f t="array" aca="1" ref="AI602" ca="1">_xlfn.IFS(AG602&gt;10,"10+",AG602&gt;4,"5-10 YIL",AG602&gt;2,"3-5 YIL",AG602&gt;0.9,"1-3 YIL",AG602&lt;1,"0-1 YIL")</f>
        <v>3-5 YIL</v>
      </c>
      <c r="AJ602">
        <f t="shared" si="28"/>
        <v>2023</v>
      </c>
      <c r="AK602">
        <f t="shared" si="29"/>
        <v>2026</v>
      </c>
    </row>
    <row r="603" spans="1:37" x14ac:dyDescent="0.3">
      <c r="A603" s="6" t="s">
        <v>1019</v>
      </c>
      <c r="B603" s="7" t="s">
        <v>1020</v>
      </c>
      <c r="C603" s="6" t="s">
        <v>48</v>
      </c>
      <c r="D603" s="14">
        <v>37727</v>
      </c>
      <c r="E603" s="8">
        <v>23</v>
      </c>
      <c r="F603" s="6" t="s">
        <v>49</v>
      </c>
      <c r="G603" s="8">
        <v>0</v>
      </c>
      <c r="H603" s="6" t="s">
        <v>35</v>
      </c>
      <c r="I603" s="7" t="s">
        <v>36</v>
      </c>
      <c r="J603" s="7" t="s">
        <v>37</v>
      </c>
      <c r="K603" s="6" t="s">
        <v>38</v>
      </c>
      <c r="L603" s="6" t="s">
        <v>39</v>
      </c>
      <c r="M603" s="7" t="s">
        <v>40</v>
      </c>
      <c r="N603" s="6" t="s">
        <v>95</v>
      </c>
      <c r="O603" s="14">
        <v>44756</v>
      </c>
      <c r="P603" s="6" t="s">
        <v>44</v>
      </c>
      <c r="Q603" s="7" t="s">
        <v>44</v>
      </c>
      <c r="R603" s="6" t="s">
        <v>44</v>
      </c>
      <c r="S603" s="6" t="s">
        <v>56</v>
      </c>
      <c r="T603" s="9">
        <v>25700</v>
      </c>
      <c r="U603" s="9">
        <v>0</v>
      </c>
      <c r="V603" s="8">
        <v>44</v>
      </c>
      <c r="W603" s="8">
        <v>28</v>
      </c>
      <c r="X603" s="6" t="s">
        <v>57</v>
      </c>
      <c r="Y603" s="8">
        <v>2</v>
      </c>
      <c r="Z603" s="8">
        <v>1</v>
      </c>
      <c r="AA603" s="8">
        <v>0</v>
      </c>
      <c r="AB603" s="8">
        <v>0</v>
      </c>
      <c r="AC603" s="8">
        <v>3</v>
      </c>
      <c r="AD603" s="8">
        <v>3</v>
      </c>
      <c r="AE603" s="7" t="s">
        <v>45</v>
      </c>
      <c r="AG603">
        <f t="shared" ca="1" si="27"/>
        <v>3</v>
      </c>
      <c r="AH603" s="23" t="str" cm="1">
        <f t="array" ref="AH603">_xlfn.IFS(E603&gt;49,"50+",E603&gt;39,"40-49",E603&gt;29,"30-39",E603&gt;19,"20-29")</f>
        <v>20-29</v>
      </c>
      <c r="AI603" s="24" t="str" cm="1">
        <f t="array" aca="1" ref="AI603" ca="1">_xlfn.IFS(AG603&gt;10,"10+",AG603&gt;4,"5-10 YIL",AG603&gt;2,"3-5 YIL",AG603&gt;0.9,"1-3 YIL",AG603&lt;1,"0-1 YIL")</f>
        <v>3-5 YIL</v>
      </c>
      <c r="AJ603">
        <f t="shared" si="28"/>
        <v>2022</v>
      </c>
      <c r="AK603" t="e">
        <f t="shared" si="29"/>
        <v>#VALUE!</v>
      </c>
    </row>
    <row r="604" spans="1:37" x14ac:dyDescent="0.3">
      <c r="A604" s="2" t="s">
        <v>1021</v>
      </c>
      <c r="B604" s="3" t="s">
        <v>55</v>
      </c>
      <c r="C604" s="2" t="s">
        <v>48</v>
      </c>
      <c r="D604" s="13">
        <v>37013</v>
      </c>
      <c r="E604" s="4">
        <v>25</v>
      </c>
      <c r="F604" s="2" t="s">
        <v>49</v>
      </c>
      <c r="G604" s="4">
        <v>1</v>
      </c>
      <c r="H604" s="2" t="s">
        <v>85</v>
      </c>
      <c r="I604" s="3" t="s">
        <v>61</v>
      </c>
      <c r="J604" s="3" t="s">
        <v>62</v>
      </c>
      <c r="K604" s="2" t="s">
        <v>38</v>
      </c>
      <c r="L604" s="2" t="s">
        <v>63</v>
      </c>
      <c r="M604" s="3" t="s">
        <v>64</v>
      </c>
      <c r="N604" s="2" t="s">
        <v>41</v>
      </c>
      <c r="O604" s="13">
        <v>45063</v>
      </c>
      <c r="P604" s="13">
        <v>46031</v>
      </c>
      <c r="Q604" s="3" t="s">
        <v>121</v>
      </c>
      <c r="R604" s="2">
        <v>17</v>
      </c>
      <c r="S604" s="2" t="s">
        <v>43</v>
      </c>
      <c r="T604" s="5">
        <v>31700</v>
      </c>
      <c r="U604" s="5">
        <v>10000</v>
      </c>
      <c r="V604" s="4">
        <v>5</v>
      </c>
      <c r="W604" s="4">
        <v>30</v>
      </c>
      <c r="X604" s="2" t="s">
        <v>44</v>
      </c>
      <c r="Y604" s="4">
        <v>0</v>
      </c>
      <c r="Z604" s="4">
        <v>14</v>
      </c>
      <c r="AA604" s="4">
        <v>0</v>
      </c>
      <c r="AB604" s="4">
        <v>0</v>
      </c>
      <c r="AC604" s="4">
        <v>4</v>
      </c>
      <c r="AD604" s="4">
        <v>25</v>
      </c>
      <c r="AE604" s="3" t="s">
        <v>82</v>
      </c>
      <c r="AG604">
        <f t="shared" ca="1" si="27"/>
        <v>3</v>
      </c>
      <c r="AH604" s="23" t="str" cm="1">
        <f t="array" ref="AH604">_xlfn.IFS(E604&gt;49,"50+",E604&gt;39,"40-49",E604&gt;29,"30-39",E604&gt;19,"20-29")</f>
        <v>20-29</v>
      </c>
      <c r="AI604" s="24" t="str" cm="1">
        <f t="array" aca="1" ref="AI604" ca="1">_xlfn.IFS(AG604&gt;10,"10+",AG604&gt;4,"5-10 YIL",AG604&gt;2,"3-5 YIL",AG604&gt;0.9,"1-3 YIL",AG604&lt;1,"0-1 YIL")</f>
        <v>3-5 YIL</v>
      </c>
      <c r="AJ604">
        <f t="shared" si="28"/>
        <v>2023</v>
      </c>
      <c r="AK604">
        <f t="shared" si="29"/>
        <v>2026</v>
      </c>
    </row>
    <row r="605" spans="1:37" x14ac:dyDescent="0.3">
      <c r="A605" s="6" t="s">
        <v>1022</v>
      </c>
      <c r="B605" s="7" t="s">
        <v>553</v>
      </c>
      <c r="C605" s="6" t="s">
        <v>33</v>
      </c>
      <c r="D605" s="14">
        <v>35056</v>
      </c>
      <c r="E605" s="8">
        <v>31</v>
      </c>
      <c r="F605" s="6" t="s">
        <v>34</v>
      </c>
      <c r="G605" s="8">
        <v>0</v>
      </c>
      <c r="H605" s="6" t="s">
        <v>85</v>
      </c>
      <c r="I605" s="7" t="s">
        <v>36</v>
      </c>
      <c r="J605" s="7" t="s">
        <v>50</v>
      </c>
      <c r="K605" s="6" t="s">
        <v>51</v>
      </c>
      <c r="L605" s="6" t="s">
        <v>39</v>
      </c>
      <c r="M605" s="7" t="s">
        <v>40</v>
      </c>
      <c r="N605" s="6" t="s">
        <v>41</v>
      </c>
      <c r="O605" s="14">
        <v>44363</v>
      </c>
      <c r="P605" s="6" t="s">
        <v>44</v>
      </c>
      <c r="Q605" s="7" t="s">
        <v>44</v>
      </c>
      <c r="R605" s="6" t="s">
        <v>44</v>
      </c>
      <c r="S605" s="6" t="s">
        <v>56</v>
      </c>
      <c r="T605" s="9">
        <v>39900</v>
      </c>
      <c r="U605" s="9">
        <v>0</v>
      </c>
      <c r="V605" s="8">
        <v>13</v>
      </c>
      <c r="W605" s="8">
        <v>25</v>
      </c>
      <c r="X605" s="6" t="s">
        <v>57</v>
      </c>
      <c r="Y605" s="8">
        <v>5</v>
      </c>
      <c r="Z605" s="8">
        <v>10</v>
      </c>
      <c r="AA605" s="8">
        <v>0</v>
      </c>
      <c r="AB605" s="8">
        <v>0</v>
      </c>
      <c r="AC605" s="8">
        <v>2</v>
      </c>
      <c r="AD605" s="8">
        <v>14</v>
      </c>
      <c r="AE605" s="7" t="s">
        <v>58</v>
      </c>
      <c r="AG605">
        <f t="shared" ca="1" si="27"/>
        <v>5</v>
      </c>
      <c r="AH605" s="23" t="str" cm="1">
        <f t="array" ref="AH605">_xlfn.IFS(E605&gt;49,"50+",E605&gt;39,"40-49",E605&gt;29,"30-39",E605&gt;19,"20-29")</f>
        <v>30-39</v>
      </c>
      <c r="AI605" s="24" t="str" cm="1">
        <f t="array" aca="1" ref="AI605" ca="1">_xlfn.IFS(AG605&gt;10,"10+",AG605&gt;4,"5-10 YIL",AG605&gt;2,"3-5 YIL",AG605&gt;0.9,"1-3 YIL",AG605&lt;1,"0-1 YIL")</f>
        <v>5-10 YIL</v>
      </c>
      <c r="AJ605">
        <f t="shared" si="28"/>
        <v>2021</v>
      </c>
      <c r="AK605" t="e">
        <f t="shared" si="29"/>
        <v>#VALUE!</v>
      </c>
    </row>
    <row r="606" spans="1:37" x14ac:dyDescent="0.3">
      <c r="A606" s="2" t="s">
        <v>1023</v>
      </c>
      <c r="B606" s="3" t="s">
        <v>302</v>
      </c>
      <c r="C606" s="2" t="s">
        <v>48</v>
      </c>
      <c r="D606" s="13">
        <v>36671</v>
      </c>
      <c r="E606" s="4">
        <v>26</v>
      </c>
      <c r="F606" s="2" t="s">
        <v>49</v>
      </c>
      <c r="G606" s="4">
        <v>0</v>
      </c>
      <c r="H606" s="2" t="s">
        <v>35</v>
      </c>
      <c r="I606" s="3" t="s">
        <v>36</v>
      </c>
      <c r="J606" s="3" t="s">
        <v>37</v>
      </c>
      <c r="K606" s="2" t="s">
        <v>38</v>
      </c>
      <c r="L606" s="2" t="s">
        <v>39</v>
      </c>
      <c r="M606" s="3" t="s">
        <v>40</v>
      </c>
      <c r="N606" s="2" t="s">
        <v>52</v>
      </c>
      <c r="O606" s="13">
        <v>46033</v>
      </c>
      <c r="P606" s="2" t="s">
        <v>44</v>
      </c>
      <c r="Q606" s="3" t="s">
        <v>44</v>
      </c>
      <c r="R606" s="2" t="s">
        <v>44</v>
      </c>
      <c r="S606" s="2" t="s">
        <v>56</v>
      </c>
      <c r="T606" s="5">
        <v>26200</v>
      </c>
      <c r="U606" s="5">
        <v>0</v>
      </c>
      <c r="V606" s="4">
        <v>18</v>
      </c>
      <c r="W606" s="4">
        <v>28</v>
      </c>
      <c r="X606" s="2" t="s">
        <v>112</v>
      </c>
      <c r="Y606" s="4">
        <v>0</v>
      </c>
      <c r="Z606" s="4">
        <v>0</v>
      </c>
      <c r="AA606" s="4">
        <v>0</v>
      </c>
      <c r="AB606" s="4">
        <v>2</v>
      </c>
      <c r="AC606" s="4">
        <v>3</v>
      </c>
      <c r="AD606" s="4">
        <v>11</v>
      </c>
      <c r="AE606" s="3" t="s">
        <v>58</v>
      </c>
      <c r="AG606">
        <f t="shared" ca="1" si="27"/>
        <v>0</v>
      </c>
      <c r="AH606" s="23" t="str" cm="1">
        <f t="array" ref="AH606">_xlfn.IFS(E606&gt;49,"50+",E606&gt;39,"40-49",E606&gt;29,"30-39",E606&gt;19,"20-29")</f>
        <v>20-29</v>
      </c>
      <c r="AI606" s="24" t="str" cm="1">
        <f t="array" aca="1" ref="AI606" ca="1">_xlfn.IFS(AG606&gt;10,"10+",AG606&gt;4,"5-10 YIL",AG606&gt;2,"3-5 YIL",AG606&gt;0.9,"1-3 YIL",AG606&lt;1,"0-1 YIL")</f>
        <v>0-1 YIL</v>
      </c>
      <c r="AJ606">
        <f t="shared" si="28"/>
        <v>2026</v>
      </c>
      <c r="AK606" t="e">
        <f t="shared" si="29"/>
        <v>#VALUE!</v>
      </c>
    </row>
    <row r="607" spans="1:37" x14ac:dyDescent="0.3">
      <c r="A607" s="6" t="s">
        <v>1024</v>
      </c>
      <c r="B607" s="7" t="s">
        <v>1025</v>
      </c>
      <c r="C607" s="6" t="s">
        <v>48</v>
      </c>
      <c r="D607" s="14">
        <v>28992</v>
      </c>
      <c r="E607" s="8">
        <v>47</v>
      </c>
      <c r="F607" s="6" t="s">
        <v>49</v>
      </c>
      <c r="G607" s="8">
        <v>2</v>
      </c>
      <c r="H607" s="6" t="s">
        <v>35</v>
      </c>
      <c r="I607" s="7" t="s">
        <v>70</v>
      </c>
      <c r="J607" s="7" t="s">
        <v>71</v>
      </c>
      <c r="K607" s="6" t="s">
        <v>51</v>
      </c>
      <c r="L607" s="6" t="s">
        <v>63</v>
      </c>
      <c r="M607" s="7" t="s">
        <v>72</v>
      </c>
      <c r="N607" s="6" t="s">
        <v>67</v>
      </c>
      <c r="O607" s="14">
        <v>43109</v>
      </c>
      <c r="P607" s="6" t="s">
        <v>44</v>
      </c>
      <c r="Q607" s="7" t="s">
        <v>44</v>
      </c>
      <c r="R607" s="6" t="s">
        <v>44</v>
      </c>
      <c r="S607" s="6" t="s">
        <v>56</v>
      </c>
      <c r="T607" s="9">
        <v>62800</v>
      </c>
      <c r="U607" s="9">
        <v>0</v>
      </c>
      <c r="V607" s="8">
        <v>7</v>
      </c>
      <c r="W607" s="8">
        <v>30</v>
      </c>
      <c r="X607" s="6" t="s">
        <v>44</v>
      </c>
      <c r="Y607" s="8">
        <v>0</v>
      </c>
      <c r="Z607" s="8">
        <v>8</v>
      </c>
      <c r="AA607" s="8">
        <v>0</v>
      </c>
      <c r="AB607" s="8">
        <v>0</v>
      </c>
      <c r="AC607" s="8">
        <v>3</v>
      </c>
      <c r="AD607" s="8">
        <v>14</v>
      </c>
      <c r="AE607" s="7" t="s">
        <v>58</v>
      </c>
      <c r="AG607">
        <f t="shared" ca="1" si="27"/>
        <v>8</v>
      </c>
      <c r="AH607" s="23" t="str" cm="1">
        <f t="array" ref="AH607">_xlfn.IFS(E607&gt;49,"50+",E607&gt;39,"40-49",E607&gt;29,"30-39",E607&gt;19,"20-29")</f>
        <v>40-49</v>
      </c>
      <c r="AI607" s="24" t="str" cm="1">
        <f t="array" aca="1" ref="AI607" ca="1">_xlfn.IFS(AG607&gt;10,"10+",AG607&gt;4,"5-10 YIL",AG607&gt;2,"3-5 YIL",AG607&gt;0.9,"1-3 YIL",AG607&lt;1,"0-1 YIL")</f>
        <v>5-10 YIL</v>
      </c>
      <c r="AJ607">
        <f t="shared" si="28"/>
        <v>2018</v>
      </c>
      <c r="AK607" t="e">
        <f t="shared" si="29"/>
        <v>#VALUE!</v>
      </c>
    </row>
    <row r="608" spans="1:37" x14ac:dyDescent="0.3">
      <c r="A608" s="2" t="s">
        <v>1026</v>
      </c>
      <c r="B608" s="3" t="s">
        <v>754</v>
      </c>
      <c r="C608" s="2" t="s">
        <v>33</v>
      </c>
      <c r="D608" s="13">
        <v>35656</v>
      </c>
      <c r="E608" s="4">
        <v>29</v>
      </c>
      <c r="F608" s="2" t="s">
        <v>34</v>
      </c>
      <c r="G608" s="4">
        <v>0</v>
      </c>
      <c r="H608" s="2" t="s">
        <v>85</v>
      </c>
      <c r="I608" s="3" t="s">
        <v>148</v>
      </c>
      <c r="J608" s="3" t="s">
        <v>252</v>
      </c>
      <c r="K608" s="2" t="s">
        <v>38</v>
      </c>
      <c r="L608" s="2" t="s">
        <v>63</v>
      </c>
      <c r="M608" s="3" t="s">
        <v>150</v>
      </c>
      <c r="N608" s="2" t="s">
        <v>95</v>
      </c>
      <c r="O608" s="13">
        <v>46054</v>
      </c>
      <c r="P608" s="2" t="s">
        <v>44</v>
      </c>
      <c r="Q608" s="3" t="s">
        <v>44</v>
      </c>
      <c r="R608" s="2" t="s">
        <v>44</v>
      </c>
      <c r="S608" s="2" t="s">
        <v>56</v>
      </c>
      <c r="T608" s="5">
        <v>32900</v>
      </c>
      <c r="U608" s="5">
        <v>0</v>
      </c>
      <c r="V608" s="4">
        <v>9</v>
      </c>
      <c r="W608" s="4">
        <v>30</v>
      </c>
      <c r="X608" s="2" t="s">
        <v>44</v>
      </c>
      <c r="Y608" s="4">
        <v>0</v>
      </c>
      <c r="Z608" s="4">
        <v>0</v>
      </c>
      <c r="AA608" s="4">
        <v>0</v>
      </c>
      <c r="AB608" s="4">
        <v>0</v>
      </c>
      <c r="AC608" s="4">
        <v>3</v>
      </c>
      <c r="AD608" s="4">
        <v>7</v>
      </c>
      <c r="AE608" s="3" t="s">
        <v>58</v>
      </c>
      <c r="AG608">
        <f t="shared" ca="1" si="27"/>
        <v>0</v>
      </c>
      <c r="AH608" s="23" t="str" cm="1">
        <f t="array" ref="AH608">_xlfn.IFS(E608&gt;49,"50+",E608&gt;39,"40-49",E608&gt;29,"30-39",E608&gt;19,"20-29")</f>
        <v>20-29</v>
      </c>
      <c r="AI608" s="24" t="str" cm="1">
        <f t="array" aca="1" ref="AI608" ca="1">_xlfn.IFS(AG608&gt;10,"10+",AG608&gt;4,"5-10 YIL",AG608&gt;2,"3-5 YIL",AG608&gt;0.9,"1-3 YIL",AG608&lt;1,"0-1 YIL")</f>
        <v>0-1 YIL</v>
      </c>
      <c r="AJ608">
        <f t="shared" si="28"/>
        <v>2026</v>
      </c>
      <c r="AK608" t="e">
        <f t="shared" si="29"/>
        <v>#VALUE!</v>
      </c>
    </row>
    <row r="609" spans="1:37" x14ac:dyDescent="0.3">
      <c r="A609" s="6" t="s">
        <v>1027</v>
      </c>
      <c r="B609" s="7" t="s">
        <v>285</v>
      </c>
      <c r="C609" s="6" t="s">
        <v>48</v>
      </c>
      <c r="D609" s="14">
        <v>29971</v>
      </c>
      <c r="E609" s="8">
        <v>44</v>
      </c>
      <c r="F609" s="6" t="s">
        <v>49</v>
      </c>
      <c r="G609" s="8">
        <v>1</v>
      </c>
      <c r="H609" s="6" t="s">
        <v>35</v>
      </c>
      <c r="I609" s="7" t="s">
        <v>148</v>
      </c>
      <c r="J609" s="7" t="s">
        <v>149</v>
      </c>
      <c r="K609" s="6" t="s">
        <v>51</v>
      </c>
      <c r="L609" s="6" t="s">
        <v>63</v>
      </c>
      <c r="M609" s="7" t="s">
        <v>150</v>
      </c>
      <c r="N609" s="6" t="s">
        <v>41</v>
      </c>
      <c r="O609" s="14">
        <v>44937</v>
      </c>
      <c r="P609" s="6" t="s">
        <v>44</v>
      </c>
      <c r="Q609" s="7" t="s">
        <v>44</v>
      </c>
      <c r="R609" s="6" t="s">
        <v>44</v>
      </c>
      <c r="S609" s="6" t="s">
        <v>56</v>
      </c>
      <c r="T609" s="9">
        <v>51000</v>
      </c>
      <c r="U609" s="9">
        <v>0</v>
      </c>
      <c r="V609" s="8">
        <v>5</v>
      </c>
      <c r="W609" s="8">
        <v>30</v>
      </c>
      <c r="X609" s="6" t="s">
        <v>44</v>
      </c>
      <c r="Y609" s="8">
        <v>0</v>
      </c>
      <c r="Z609" s="8">
        <v>12</v>
      </c>
      <c r="AA609" s="8">
        <v>0</v>
      </c>
      <c r="AB609" s="8">
        <v>0</v>
      </c>
      <c r="AC609" s="8">
        <v>3</v>
      </c>
      <c r="AD609" s="8">
        <v>2</v>
      </c>
      <c r="AE609" s="7" t="s">
        <v>45</v>
      </c>
      <c r="AG609">
        <f t="shared" ca="1" si="27"/>
        <v>3</v>
      </c>
      <c r="AH609" s="23" t="str" cm="1">
        <f t="array" ref="AH609">_xlfn.IFS(E609&gt;49,"50+",E609&gt;39,"40-49",E609&gt;29,"30-39",E609&gt;19,"20-29")</f>
        <v>40-49</v>
      </c>
      <c r="AI609" s="24" t="str" cm="1">
        <f t="array" aca="1" ref="AI609" ca="1">_xlfn.IFS(AG609&gt;10,"10+",AG609&gt;4,"5-10 YIL",AG609&gt;2,"3-5 YIL",AG609&gt;0.9,"1-3 YIL",AG609&lt;1,"0-1 YIL")</f>
        <v>3-5 YIL</v>
      </c>
      <c r="AJ609">
        <f t="shared" si="28"/>
        <v>2023</v>
      </c>
      <c r="AK609" t="e">
        <f t="shared" si="29"/>
        <v>#VALUE!</v>
      </c>
    </row>
    <row r="610" spans="1:37" x14ac:dyDescent="0.3">
      <c r="A610" s="2" t="s">
        <v>1028</v>
      </c>
      <c r="B610" s="3" t="s">
        <v>1029</v>
      </c>
      <c r="C610" s="2" t="s">
        <v>33</v>
      </c>
      <c r="D610" s="13">
        <v>36425</v>
      </c>
      <c r="E610" s="4">
        <v>27</v>
      </c>
      <c r="F610" s="2" t="s">
        <v>34</v>
      </c>
      <c r="G610" s="4">
        <v>0</v>
      </c>
      <c r="H610" s="2" t="s">
        <v>85</v>
      </c>
      <c r="I610" s="3" t="s">
        <v>36</v>
      </c>
      <c r="J610" s="3" t="s">
        <v>37</v>
      </c>
      <c r="K610" s="2" t="s">
        <v>38</v>
      </c>
      <c r="L610" s="2" t="s">
        <v>39</v>
      </c>
      <c r="M610" s="3" t="s">
        <v>40</v>
      </c>
      <c r="N610" s="2" t="s">
        <v>52</v>
      </c>
      <c r="O610" s="13">
        <v>45443</v>
      </c>
      <c r="P610" s="2" t="s">
        <v>44</v>
      </c>
      <c r="Q610" s="3" t="s">
        <v>44</v>
      </c>
      <c r="R610" s="2" t="s">
        <v>44</v>
      </c>
      <c r="S610" s="2" t="s">
        <v>56</v>
      </c>
      <c r="T610" s="5">
        <v>24100</v>
      </c>
      <c r="U610" s="5">
        <v>0</v>
      </c>
      <c r="V610" s="4">
        <v>28</v>
      </c>
      <c r="W610" s="4">
        <v>30</v>
      </c>
      <c r="X610" s="2" t="s">
        <v>44</v>
      </c>
      <c r="Y610" s="4">
        <v>0</v>
      </c>
      <c r="Z610" s="4">
        <v>12</v>
      </c>
      <c r="AA610" s="4">
        <v>0</v>
      </c>
      <c r="AB610" s="4">
        <v>0</v>
      </c>
      <c r="AC610" s="4">
        <v>2</v>
      </c>
      <c r="AD610" s="4">
        <v>6</v>
      </c>
      <c r="AE610" s="3" t="s">
        <v>45</v>
      </c>
      <c r="AG610">
        <f t="shared" ca="1" si="27"/>
        <v>2</v>
      </c>
      <c r="AH610" s="23" t="str" cm="1">
        <f t="array" ref="AH610">_xlfn.IFS(E610&gt;49,"50+",E610&gt;39,"40-49",E610&gt;29,"30-39",E610&gt;19,"20-29")</f>
        <v>20-29</v>
      </c>
      <c r="AI610" s="24" t="str" cm="1">
        <f t="array" aca="1" ref="AI610" ca="1">_xlfn.IFS(AG610&gt;10,"10+",AG610&gt;4,"5-10 YIL",AG610&gt;2,"3-5 YIL",AG610&gt;0.9,"1-3 YIL",AG610&lt;1,"0-1 YIL")</f>
        <v>1-3 YIL</v>
      </c>
      <c r="AJ610">
        <f t="shared" si="28"/>
        <v>2024</v>
      </c>
      <c r="AK610" t="e">
        <f t="shared" si="29"/>
        <v>#VALUE!</v>
      </c>
    </row>
    <row r="611" spans="1:37" x14ac:dyDescent="0.3">
      <c r="A611" s="6" t="s">
        <v>1030</v>
      </c>
      <c r="B611" s="7" t="s">
        <v>706</v>
      </c>
      <c r="C611" s="6" t="s">
        <v>48</v>
      </c>
      <c r="D611" s="14">
        <v>27538</v>
      </c>
      <c r="E611" s="8">
        <v>51</v>
      </c>
      <c r="F611" s="6" t="s">
        <v>49</v>
      </c>
      <c r="G611" s="8">
        <v>2</v>
      </c>
      <c r="H611" s="6" t="s">
        <v>35</v>
      </c>
      <c r="I611" s="7" t="s">
        <v>61</v>
      </c>
      <c r="J611" s="7" t="s">
        <v>124</v>
      </c>
      <c r="K611" s="6" t="s">
        <v>79</v>
      </c>
      <c r="L611" s="6" t="s">
        <v>63</v>
      </c>
      <c r="M611" s="7" t="s">
        <v>80</v>
      </c>
      <c r="N611" s="6" t="s">
        <v>67</v>
      </c>
      <c r="O611" s="14">
        <v>39645</v>
      </c>
      <c r="P611" s="14">
        <v>44954</v>
      </c>
      <c r="Q611" s="7" t="s">
        <v>53</v>
      </c>
      <c r="R611" s="6">
        <v>4</v>
      </c>
      <c r="S611" s="6" t="s">
        <v>43</v>
      </c>
      <c r="T611" s="9">
        <v>100800</v>
      </c>
      <c r="U611" s="9">
        <v>11600</v>
      </c>
      <c r="V611" s="8">
        <v>1</v>
      </c>
      <c r="W611" s="8">
        <v>30</v>
      </c>
      <c r="X611" s="6" t="s">
        <v>44</v>
      </c>
      <c r="Y611" s="8">
        <v>0</v>
      </c>
      <c r="Z611" s="8">
        <v>12</v>
      </c>
      <c r="AA611" s="8">
        <v>0</v>
      </c>
      <c r="AB611" s="8">
        <v>0</v>
      </c>
      <c r="AC611" s="8">
        <v>3</v>
      </c>
      <c r="AD611" s="8">
        <v>16</v>
      </c>
      <c r="AE611" s="7" t="s">
        <v>82</v>
      </c>
      <c r="AG611">
        <f t="shared" ca="1" si="27"/>
        <v>17</v>
      </c>
      <c r="AH611" s="23" t="str" cm="1">
        <f t="array" ref="AH611">_xlfn.IFS(E611&gt;49,"50+",E611&gt;39,"40-49",E611&gt;29,"30-39",E611&gt;19,"20-29")</f>
        <v>50+</v>
      </c>
      <c r="AI611" s="24" t="str" cm="1">
        <f t="array" aca="1" ref="AI611" ca="1">_xlfn.IFS(AG611&gt;10,"10+",AG611&gt;4,"5-10 YIL",AG611&gt;2,"3-5 YIL",AG611&gt;0.9,"1-3 YIL",AG611&lt;1,"0-1 YIL")</f>
        <v>10+</v>
      </c>
      <c r="AJ611">
        <f t="shared" si="28"/>
        <v>2008</v>
      </c>
      <c r="AK611">
        <f t="shared" si="29"/>
        <v>2023</v>
      </c>
    </row>
    <row r="612" spans="1:37" x14ac:dyDescent="0.3">
      <c r="A612" s="2" t="s">
        <v>1031</v>
      </c>
      <c r="B612" s="3" t="s">
        <v>249</v>
      </c>
      <c r="C612" s="2" t="s">
        <v>33</v>
      </c>
      <c r="D612" s="13">
        <v>29972</v>
      </c>
      <c r="E612" s="4">
        <v>44</v>
      </c>
      <c r="F612" s="2" t="s">
        <v>34</v>
      </c>
      <c r="G612" s="4">
        <v>0</v>
      </c>
      <c r="H612" s="2" t="s">
        <v>35</v>
      </c>
      <c r="I612" s="3" t="s">
        <v>36</v>
      </c>
      <c r="J612" s="3" t="s">
        <v>50</v>
      </c>
      <c r="K612" s="2" t="s">
        <v>51</v>
      </c>
      <c r="L612" s="2" t="s">
        <v>39</v>
      </c>
      <c r="M612" s="3" t="s">
        <v>40</v>
      </c>
      <c r="N612" s="2" t="s">
        <v>41</v>
      </c>
      <c r="O612" s="13">
        <v>42360</v>
      </c>
      <c r="P612" s="2" t="s">
        <v>44</v>
      </c>
      <c r="Q612" s="3" t="s">
        <v>44</v>
      </c>
      <c r="R612" s="2" t="s">
        <v>44</v>
      </c>
      <c r="S612" s="2" t="s">
        <v>56</v>
      </c>
      <c r="T612" s="5">
        <v>42700</v>
      </c>
      <c r="U612" s="5">
        <v>0</v>
      </c>
      <c r="V612" s="4">
        <v>13</v>
      </c>
      <c r="W612" s="4">
        <v>30</v>
      </c>
      <c r="X612" s="2" t="s">
        <v>44</v>
      </c>
      <c r="Y612" s="4">
        <v>0</v>
      </c>
      <c r="Z612" s="4">
        <v>5</v>
      </c>
      <c r="AA612" s="4">
        <v>0</v>
      </c>
      <c r="AB612" s="4">
        <v>0</v>
      </c>
      <c r="AC612" s="4">
        <v>4</v>
      </c>
      <c r="AD612" s="4">
        <v>32</v>
      </c>
      <c r="AE612" s="3" t="s">
        <v>45</v>
      </c>
      <c r="AG612">
        <f t="shared" ca="1" si="27"/>
        <v>10</v>
      </c>
      <c r="AH612" s="23" t="str" cm="1">
        <f t="array" ref="AH612">_xlfn.IFS(E612&gt;49,"50+",E612&gt;39,"40-49",E612&gt;29,"30-39",E612&gt;19,"20-29")</f>
        <v>40-49</v>
      </c>
      <c r="AI612" s="24" t="str" cm="1">
        <f t="array" aca="1" ref="AI612" ca="1">_xlfn.IFS(AG612&gt;10,"10+",AG612&gt;4,"5-10 YIL",AG612&gt;2,"3-5 YIL",AG612&gt;0.9,"1-3 YIL",AG612&lt;1,"0-1 YIL")</f>
        <v>5-10 YIL</v>
      </c>
      <c r="AJ612">
        <f t="shared" si="28"/>
        <v>2015</v>
      </c>
      <c r="AK612" t="e">
        <f t="shared" si="29"/>
        <v>#VALUE!</v>
      </c>
    </row>
    <row r="613" spans="1:37" x14ac:dyDescent="0.3">
      <c r="A613" s="6" t="s">
        <v>1032</v>
      </c>
      <c r="B613" s="7" t="s">
        <v>1033</v>
      </c>
      <c r="C613" s="6" t="s">
        <v>48</v>
      </c>
      <c r="D613" s="14">
        <v>31208</v>
      </c>
      <c r="E613" s="8">
        <v>41</v>
      </c>
      <c r="F613" s="6" t="s">
        <v>34</v>
      </c>
      <c r="G613" s="8">
        <v>0</v>
      </c>
      <c r="H613" s="6" t="s">
        <v>35</v>
      </c>
      <c r="I613" s="7" t="s">
        <v>148</v>
      </c>
      <c r="J613" s="7" t="s">
        <v>149</v>
      </c>
      <c r="K613" s="6" t="s">
        <v>51</v>
      </c>
      <c r="L613" s="6" t="s">
        <v>63</v>
      </c>
      <c r="M613" s="7" t="s">
        <v>150</v>
      </c>
      <c r="N613" s="6" t="s">
        <v>41</v>
      </c>
      <c r="O613" s="14">
        <v>44118</v>
      </c>
      <c r="P613" s="6" t="s">
        <v>44</v>
      </c>
      <c r="Q613" s="7" t="s">
        <v>44</v>
      </c>
      <c r="R613" s="6" t="s">
        <v>44</v>
      </c>
      <c r="S613" s="6" t="s">
        <v>56</v>
      </c>
      <c r="T613" s="9">
        <v>56600</v>
      </c>
      <c r="U613" s="9">
        <v>0</v>
      </c>
      <c r="V613" s="8">
        <v>3</v>
      </c>
      <c r="W613" s="8">
        <v>30</v>
      </c>
      <c r="X613" s="6" t="s">
        <v>44</v>
      </c>
      <c r="Y613" s="8">
        <v>0</v>
      </c>
      <c r="Z613" s="8">
        <v>2</v>
      </c>
      <c r="AA613" s="8">
        <v>0</v>
      </c>
      <c r="AB613" s="8">
        <v>0</v>
      </c>
      <c r="AC613" s="8">
        <v>3</v>
      </c>
      <c r="AD613" s="8">
        <v>12</v>
      </c>
      <c r="AE613" s="7" t="s">
        <v>82</v>
      </c>
      <c r="AG613">
        <f t="shared" ca="1" si="27"/>
        <v>5</v>
      </c>
      <c r="AH613" s="23" t="str" cm="1">
        <f t="array" ref="AH613">_xlfn.IFS(E613&gt;49,"50+",E613&gt;39,"40-49",E613&gt;29,"30-39",E613&gt;19,"20-29")</f>
        <v>40-49</v>
      </c>
      <c r="AI613" s="24" t="str" cm="1">
        <f t="array" aca="1" ref="AI613" ca="1">_xlfn.IFS(AG613&gt;10,"10+",AG613&gt;4,"5-10 YIL",AG613&gt;2,"3-5 YIL",AG613&gt;0.9,"1-3 YIL",AG613&lt;1,"0-1 YIL")</f>
        <v>5-10 YIL</v>
      </c>
      <c r="AJ613">
        <f t="shared" si="28"/>
        <v>2020</v>
      </c>
      <c r="AK613" t="e">
        <f t="shared" si="29"/>
        <v>#VALUE!</v>
      </c>
    </row>
    <row r="614" spans="1:37" x14ac:dyDescent="0.3">
      <c r="A614" s="2" t="s">
        <v>1034</v>
      </c>
      <c r="B614" s="3" t="s">
        <v>1035</v>
      </c>
      <c r="C614" s="2" t="s">
        <v>33</v>
      </c>
      <c r="D614" s="13">
        <v>34257</v>
      </c>
      <c r="E614" s="4">
        <v>33</v>
      </c>
      <c r="F614" s="2" t="s">
        <v>34</v>
      </c>
      <c r="G614" s="4">
        <v>0</v>
      </c>
      <c r="H614" s="2" t="s">
        <v>35</v>
      </c>
      <c r="I614" s="3" t="s">
        <v>139</v>
      </c>
      <c r="J614" s="3" t="s">
        <v>161</v>
      </c>
      <c r="K614" s="2" t="s">
        <v>51</v>
      </c>
      <c r="L614" s="2" t="s">
        <v>63</v>
      </c>
      <c r="M614" s="3" t="s">
        <v>162</v>
      </c>
      <c r="N614" s="2" t="s">
        <v>41</v>
      </c>
      <c r="O614" s="13">
        <v>42666</v>
      </c>
      <c r="P614" s="2" t="s">
        <v>44</v>
      </c>
      <c r="Q614" s="3" t="s">
        <v>44</v>
      </c>
      <c r="R614" s="2" t="s">
        <v>44</v>
      </c>
      <c r="S614" s="2" t="s">
        <v>56</v>
      </c>
      <c r="T614" s="5">
        <v>72900</v>
      </c>
      <c r="U614" s="5">
        <v>0</v>
      </c>
      <c r="V614" s="4">
        <v>9</v>
      </c>
      <c r="W614" s="4">
        <v>28</v>
      </c>
      <c r="X614" s="2" t="s">
        <v>57</v>
      </c>
      <c r="Y614" s="4">
        <v>2</v>
      </c>
      <c r="Z614" s="4">
        <v>4</v>
      </c>
      <c r="AA614" s="4">
        <v>0</v>
      </c>
      <c r="AB614" s="4">
        <v>0</v>
      </c>
      <c r="AC614" s="4">
        <v>4</v>
      </c>
      <c r="AD614" s="4">
        <v>27</v>
      </c>
      <c r="AE614" s="3" t="s">
        <v>45</v>
      </c>
      <c r="AG614">
        <f t="shared" ca="1" si="27"/>
        <v>9</v>
      </c>
      <c r="AH614" s="23" t="str" cm="1">
        <f t="array" ref="AH614">_xlfn.IFS(E614&gt;49,"50+",E614&gt;39,"40-49",E614&gt;29,"30-39",E614&gt;19,"20-29")</f>
        <v>30-39</v>
      </c>
      <c r="AI614" s="24" t="str" cm="1">
        <f t="array" aca="1" ref="AI614" ca="1">_xlfn.IFS(AG614&gt;10,"10+",AG614&gt;4,"5-10 YIL",AG614&gt;2,"3-5 YIL",AG614&gt;0.9,"1-3 YIL",AG614&lt;1,"0-1 YIL")</f>
        <v>5-10 YIL</v>
      </c>
      <c r="AJ614">
        <f t="shared" si="28"/>
        <v>2016</v>
      </c>
      <c r="AK614" t="e">
        <f t="shared" si="29"/>
        <v>#VALUE!</v>
      </c>
    </row>
    <row r="615" spans="1:37" x14ac:dyDescent="0.3">
      <c r="A615" s="6" t="s">
        <v>1036</v>
      </c>
      <c r="B615" s="7" t="s">
        <v>1037</v>
      </c>
      <c r="C615" s="6" t="s">
        <v>48</v>
      </c>
      <c r="D615" s="14">
        <v>36057</v>
      </c>
      <c r="E615" s="8">
        <v>28</v>
      </c>
      <c r="F615" s="6" t="s">
        <v>49</v>
      </c>
      <c r="G615" s="8">
        <v>0</v>
      </c>
      <c r="H615" s="6" t="s">
        <v>35</v>
      </c>
      <c r="I615" s="7" t="s">
        <v>36</v>
      </c>
      <c r="J615" s="7" t="s">
        <v>37</v>
      </c>
      <c r="K615" s="6" t="s">
        <v>38</v>
      </c>
      <c r="L615" s="6" t="s">
        <v>39</v>
      </c>
      <c r="M615" s="7" t="s">
        <v>40</v>
      </c>
      <c r="N615" s="6" t="s">
        <v>41</v>
      </c>
      <c r="O615" s="14">
        <v>45487</v>
      </c>
      <c r="P615" s="6" t="s">
        <v>44</v>
      </c>
      <c r="Q615" s="7" t="s">
        <v>44</v>
      </c>
      <c r="R615" s="6" t="s">
        <v>44</v>
      </c>
      <c r="S615" s="6" t="s">
        <v>56</v>
      </c>
      <c r="T615" s="9">
        <v>24900</v>
      </c>
      <c r="U615" s="9">
        <v>0</v>
      </c>
      <c r="V615" s="8">
        <v>30</v>
      </c>
      <c r="W615" s="8">
        <v>27</v>
      </c>
      <c r="X615" s="6" t="s">
        <v>57</v>
      </c>
      <c r="Y615" s="8">
        <v>3</v>
      </c>
      <c r="Z615" s="8">
        <v>7</v>
      </c>
      <c r="AA615" s="8">
        <v>0</v>
      </c>
      <c r="AB615" s="8">
        <v>0</v>
      </c>
      <c r="AC615" s="8">
        <v>3</v>
      </c>
      <c r="AD615" s="8">
        <v>2</v>
      </c>
      <c r="AE615" s="7" t="s">
        <v>45</v>
      </c>
      <c r="AG615">
        <f t="shared" ca="1" si="27"/>
        <v>1</v>
      </c>
      <c r="AH615" s="23" t="str" cm="1">
        <f t="array" ref="AH615">_xlfn.IFS(E615&gt;49,"50+",E615&gt;39,"40-49",E615&gt;29,"30-39",E615&gt;19,"20-29")</f>
        <v>20-29</v>
      </c>
      <c r="AI615" s="24" t="str" cm="1">
        <f t="array" aca="1" ref="AI615" ca="1">_xlfn.IFS(AG615&gt;10,"10+",AG615&gt;4,"5-10 YIL",AG615&gt;2,"3-5 YIL",AG615&gt;0.9,"1-3 YIL",AG615&lt;1,"0-1 YIL")</f>
        <v>1-3 YIL</v>
      </c>
      <c r="AJ615">
        <f t="shared" si="28"/>
        <v>2024</v>
      </c>
      <c r="AK615" t="e">
        <f t="shared" si="29"/>
        <v>#VALUE!</v>
      </c>
    </row>
    <row r="616" spans="1:37" x14ac:dyDescent="0.3">
      <c r="A616" s="2" t="s">
        <v>1038</v>
      </c>
      <c r="B616" s="3" t="s">
        <v>152</v>
      </c>
      <c r="C616" s="2" t="s">
        <v>48</v>
      </c>
      <c r="D616" s="13">
        <v>37077</v>
      </c>
      <c r="E616" s="4">
        <v>25</v>
      </c>
      <c r="F616" s="2" t="s">
        <v>49</v>
      </c>
      <c r="G616" s="4">
        <v>2</v>
      </c>
      <c r="H616" s="2" t="s">
        <v>35</v>
      </c>
      <c r="I616" s="3" t="s">
        <v>139</v>
      </c>
      <c r="J616" s="3" t="s">
        <v>235</v>
      </c>
      <c r="K616" s="2" t="s">
        <v>38</v>
      </c>
      <c r="L616" s="2" t="s">
        <v>63</v>
      </c>
      <c r="M616" s="3" t="s">
        <v>162</v>
      </c>
      <c r="N616" s="2" t="s">
        <v>41</v>
      </c>
      <c r="O616" s="13">
        <v>45216</v>
      </c>
      <c r="P616" s="2" t="s">
        <v>44</v>
      </c>
      <c r="Q616" s="3" t="s">
        <v>44</v>
      </c>
      <c r="R616" s="2" t="s">
        <v>44</v>
      </c>
      <c r="S616" s="2" t="s">
        <v>56</v>
      </c>
      <c r="T616" s="5">
        <v>46100</v>
      </c>
      <c r="U616" s="5">
        <v>0</v>
      </c>
      <c r="V616" s="4">
        <v>7</v>
      </c>
      <c r="W616" s="4">
        <v>30</v>
      </c>
      <c r="X616" s="2" t="s">
        <v>44</v>
      </c>
      <c r="Y616" s="4">
        <v>0</v>
      </c>
      <c r="Z616" s="4">
        <v>4</v>
      </c>
      <c r="AA616" s="4">
        <v>0</v>
      </c>
      <c r="AB616" s="4">
        <v>0</v>
      </c>
      <c r="AC616" s="4">
        <v>3</v>
      </c>
      <c r="AD616" s="4">
        <v>13</v>
      </c>
      <c r="AE616" s="3" t="s">
        <v>45</v>
      </c>
      <c r="AG616">
        <f t="shared" ca="1" si="27"/>
        <v>2</v>
      </c>
      <c r="AH616" s="23" t="str" cm="1">
        <f t="array" ref="AH616">_xlfn.IFS(E616&gt;49,"50+",E616&gt;39,"40-49",E616&gt;29,"30-39",E616&gt;19,"20-29")</f>
        <v>20-29</v>
      </c>
      <c r="AI616" s="24" t="str" cm="1">
        <f t="array" aca="1" ref="AI616" ca="1">_xlfn.IFS(AG616&gt;10,"10+",AG616&gt;4,"5-10 YIL",AG616&gt;2,"3-5 YIL",AG616&gt;0.9,"1-3 YIL",AG616&lt;1,"0-1 YIL")</f>
        <v>1-3 YIL</v>
      </c>
      <c r="AJ616">
        <f t="shared" si="28"/>
        <v>2023</v>
      </c>
      <c r="AK616" t="e">
        <f t="shared" si="29"/>
        <v>#VALUE!</v>
      </c>
    </row>
    <row r="617" spans="1:37" x14ac:dyDescent="0.3">
      <c r="A617" s="6" t="s">
        <v>1039</v>
      </c>
      <c r="B617" s="7" t="s">
        <v>493</v>
      </c>
      <c r="C617" s="6" t="s">
        <v>33</v>
      </c>
      <c r="D617" s="14">
        <v>36578</v>
      </c>
      <c r="E617" s="8">
        <v>26</v>
      </c>
      <c r="F617" s="6" t="s">
        <v>34</v>
      </c>
      <c r="G617" s="8">
        <v>0</v>
      </c>
      <c r="H617" s="6" t="s">
        <v>35</v>
      </c>
      <c r="I617" s="7" t="s">
        <v>148</v>
      </c>
      <c r="J617" s="7" t="s">
        <v>252</v>
      </c>
      <c r="K617" s="6" t="s">
        <v>38</v>
      </c>
      <c r="L617" s="6" t="s">
        <v>63</v>
      </c>
      <c r="M617" s="7" t="s">
        <v>150</v>
      </c>
      <c r="N617" s="6" t="s">
        <v>67</v>
      </c>
      <c r="O617" s="14">
        <v>45575</v>
      </c>
      <c r="P617" s="14">
        <v>45980</v>
      </c>
      <c r="Q617" s="7" t="s">
        <v>177</v>
      </c>
      <c r="R617" s="6">
        <v>3</v>
      </c>
      <c r="S617" s="6" t="s">
        <v>43</v>
      </c>
      <c r="T617" s="9">
        <v>37300</v>
      </c>
      <c r="U617" s="9">
        <v>0</v>
      </c>
      <c r="V617" s="8">
        <v>4</v>
      </c>
      <c r="W617" s="8">
        <v>30</v>
      </c>
      <c r="X617" s="6" t="s">
        <v>44</v>
      </c>
      <c r="Y617" s="8">
        <v>0</v>
      </c>
      <c r="Z617" s="8">
        <v>14</v>
      </c>
      <c r="AA617" s="8">
        <v>0</v>
      </c>
      <c r="AB617" s="8">
        <v>0</v>
      </c>
      <c r="AC617" s="8">
        <v>5</v>
      </c>
      <c r="AD617" s="8">
        <v>30</v>
      </c>
      <c r="AE617" s="7" t="s">
        <v>58</v>
      </c>
      <c r="AG617">
        <f t="shared" ca="1" si="27"/>
        <v>1</v>
      </c>
      <c r="AH617" s="23" t="str" cm="1">
        <f t="array" ref="AH617">_xlfn.IFS(E617&gt;49,"50+",E617&gt;39,"40-49",E617&gt;29,"30-39",E617&gt;19,"20-29")</f>
        <v>20-29</v>
      </c>
      <c r="AI617" s="24" t="str" cm="1">
        <f t="array" aca="1" ref="AI617" ca="1">_xlfn.IFS(AG617&gt;10,"10+",AG617&gt;4,"5-10 YIL",AG617&gt;2,"3-5 YIL",AG617&gt;0.9,"1-3 YIL",AG617&lt;1,"0-1 YIL")</f>
        <v>1-3 YIL</v>
      </c>
      <c r="AJ617">
        <f t="shared" si="28"/>
        <v>2024</v>
      </c>
      <c r="AK617">
        <f t="shared" si="29"/>
        <v>2025</v>
      </c>
    </row>
    <row r="618" spans="1:37" x14ac:dyDescent="0.3">
      <c r="A618" s="2" t="s">
        <v>1040</v>
      </c>
      <c r="B618" s="3" t="s">
        <v>1041</v>
      </c>
      <c r="C618" s="2" t="s">
        <v>48</v>
      </c>
      <c r="D618" s="13">
        <v>37349</v>
      </c>
      <c r="E618" s="4">
        <v>24</v>
      </c>
      <c r="F618" s="2" t="s">
        <v>49</v>
      </c>
      <c r="G618" s="4">
        <v>1</v>
      </c>
      <c r="H618" s="2" t="s">
        <v>35</v>
      </c>
      <c r="I618" s="3" t="s">
        <v>61</v>
      </c>
      <c r="J618" s="3" t="s">
        <v>62</v>
      </c>
      <c r="K618" s="2" t="s">
        <v>38</v>
      </c>
      <c r="L618" s="2" t="s">
        <v>63</v>
      </c>
      <c r="M618" s="3" t="s">
        <v>64</v>
      </c>
      <c r="N618" s="2" t="s">
        <v>41</v>
      </c>
      <c r="O618" s="13">
        <v>45130</v>
      </c>
      <c r="P618" s="2" t="s">
        <v>44</v>
      </c>
      <c r="Q618" s="3" t="s">
        <v>44</v>
      </c>
      <c r="R618" s="2" t="s">
        <v>44</v>
      </c>
      <c r="S618" s="2" t="s">
        <v>56</v>
      </c>
      <c r="T618" s="5">
        <v>30800</v>
      </c>
      <c r="U618" s="5">
        <v>0</v>
      </c>
      <c r="V618" s="4">
        <v>5</v>
      </c>
      <c r="W618" s="4">
        <v>28</v>
      </c>
      <c r="X618" s="2" t="s">
        <v>57</v>
      </c>
      <c r="Y618" s="4">
        <v>2</v>
      </c>
      <c r="Z618" s="4">
        <v>5</v>
      </c>
      <c r="AA618" s="4">
        <v>0</v>
      </c>
      <c r="AB618" s="4">
        <v>0</v>
      </c>
      <c r="AC618" s="4">
        <v>2</v>
      </c>
      <c r="AD618" s="4">
        <v>7</v>
      </c>
      <c r="AE618" s="3" t="s">
        <v>82</v>
      </c>
      <c r="AG618">
        <f t="shared" ca="1" si="27"/>
        <v>2</v>
      </c>
      <c r="AH618" s="23" t="str" cm="1">
        <f t="array" ref="AH618">_xlfn.IFS(E618&gt;49,"50+",E618&gt;39,"40-49",E618&gt;29,"30-39",E618&gt;19,"20-29")</f>
        <v>20-29</v>
      </c>
      <c r="AI618" s="24" t="str" cm="1">
        <f t="array" aca="1" ref="AI618" ca="1">_xlfn.IFS(AG618&gt;10,"10+",AG618&gt;4,"5-10 YIL",AG618&gt;2,"3-5 YIL",AG618&gt;0.9,"1-3 YIL",AG618&lt;1,"0-1 YIL")</f>
        <v>1-3 YIL</v>
      </c>
      <c r="AJ618">
        <f t="shared" si="28"/>
        <v>2023</v>
      </c>
      <c r="AK618" t="e">
        <f t="shared" si="29"/>
        <v>#VALUE!</v>
      </c>
    </row>
    <row r="619" spans="1:37" x14ac:dyDescent="0.3">
      <c r="A619" s="6" t="s">
        <v>1042</v>
      </c>
      <c r="B619" s="7" t="s">
        <v>569</v>
      </c>
      <c r="C619" s="6" t="s">
        <v>48</v>
      </c>
      <c r="D619" s="14">
        <v>34166</v>
      </c>
      <c r="E619" s="8">
        <v>33</v>
      </c>
      <c r="F619" s="6" t="s">
        <v>49</v>
      </c>
      <c r="G619" s="8">
        <v>1</v>
      </c>
      <c r="H619" s="6" t="s">
        <v>184</v>
      </c>
      <c r="I619" s="7" t="s">
        <v>70</v>
      </c>
      <c r="J619" s="7" t="s">
        <v>71</v>
      </c>
      <c r="K619" s="6" t="s">
        <v>51</v>
      </c>
      <c r="L619" s="6" t="s">
        <v>63</v>
      </c>
      <c r="M619" s="7" t="s">
        <v>72</v>
      </c>
      <c r="N619" s="6" t="s">
        <v>41</v>
      </c>
      <c r="O619" s="14">
        <v>43107</v>
      </c>
      <c r="P619" s="6" t="s">
        <v>44</v>
      </c>
      <c r="Q619" s="7" t="s">
        <v>44</v>
      </c>
      <c r="R619" s="6" t="s">
        <v>44</v>
      </c>
      <c r="S619" s="6" t="s">
        <v>56</v>
      </c>
      <c r="T619" s="9">
        <v>65000</v>
      </c>
      <c r="U619" s="9">
        <v>0</v>
      </c>
      <c r="V619" s="8">
        <v>5</v>
      </c>
      <c r="W619" s="8">
        <v>30</v>
      </c>
      <c r="X619" s="6" t="s">
        <v>44</v>
      </c>
      <c r="Y619" s="8">
        <v>0</v>
      </c>
      <c r="Z619" s="8">
        <v>14</v>
      </c>
      <c r="AA619" s="8">
        <v>0</v>
      </c>
      <c r="AB619" s="8">
        <v>0</v>
      </c>
      <c r="AC619" s="8">
        <v>2</v>
      </c>
      <c r="AD619" s="8">
        <v>13</v>
      </c>
      <c r="AE619" s="7" t="s">
        <v>45</v>
      </c>
      <c r="AG619">
        <f t="shared" ca="1" si="27"/>
        <v>8</v>
      </c>
      <c r="AH619" s="23" t="str" cm="1">
        <f t="array" ref="AH619">_xlfn.IFS(E619&gt;49,"50+",E619&gt;39,"40-49",E619&gt;29,"30-39",E619&gt;19,"20-29")</f>
        <v>30-39</v>
      </c>
      <c r="AI619" s="24" t="str" cm="1">
        <f t="array" aca="1" ref="AI619" ca="1">_xlfn.IFS(AG619&gt;10,"10+",AG619&gt;4,"5-10 YIL",AG619&gt;2,"3-5 YIL",AG619&gt;0.9,"1-3 YIL",AG619&lt;1,"0-1 YIL")</f>
        <v>5-10 YIL</v>
      </c>
      <c r="AJ619">
        <f t="shared" si="28"/>
        <v>2018</v>
      </c>
      <c r="AK619" t="e">
        <f t="shared" si="29"/>
        <v>#VALUE!</v>
      </c>
    </row>
    <row r="620" spans="1:37" x14ac:dyDescent="0.3">
      <c r="A620" s="2" t="s">
        <v>1043</v>
      </c>
      <c r="B620" s="3" t="s">
        <v>431</v>
      </c>
      <c r="C620" s="2" t="s">
        <v>33</v>
      </c>
      <c r="D620" s="13">
        <v>38055</v>
      </c>
      <c r="E620" s="4">
        <v>22</v>
      </c>
      <c r="F620" s="2" t="s">
        <v>49</v>
      </c>
      <c r="G620" s="4">
        <v>0</v>
      </c>
      <c r="H620" s="2" t="s">
        <v>35</v>
      </c>
      <c r="I620" s="3" t="s">
        <v>36</v>
      </c>
      <c r="J620" s="3" t="s">
        <v>37</v>
      </c>
      <c r="K620" s="2" t="s">
        <v>38</v>
      </c>
      <c r="L620" s="2" t="s">
        <v>39</v>
      </c>
      <c r="M620" s="3" t="s">
        <v>40</v>
      </c>
      <c r="N620" s="2" t="s">
        <v>52</v>
      </c>
      <c r="O620" s="13">
        <v>45248</v>
      </c>
      <c r="P620" s="2" t="s">
        <v>44</v>
      </c>
      <c r="Q620" s="3" t="s">
        <v>44</v>
      </c>
      <c r="R620" s="2" t="s">
        <v>44</v>
      </c>
      <c r="S620" s="2" t="s">
        <v>56</v>
      </c>
      <c r="T620" s="5">
        <v>26000</v>
      </c>
      <c r="U620" s="5">
        <v>0</v>
      </c>
      <c r="V620" s="4">
        <v>10</v>
      </c>
      <c r="W620" s="4">
        <v>30</v>
      </c>
      <c r="X620" s="2" t="s">
        <v>44</v>
      </c>
      <c r="Y620" s="4">
        <v>0</v>
      </c>
      <c r="Z620" s="4">
        <v>11</v>
      </c>
      <c r="AA620" s="4">
        <v>0</v>
      </c>
      <c r="AB620" s="4">
        <v>0</v>
      </c>
      <c r="AC620" s="4">
        <v>3</v>
      </c>
      <c r="AD620" s="4">
        <v>16</v>
      </c>
      <c r="AE620" s="3" t="s">
        <v>58</v>
      </c>
      <c r="AG620">
        <f t="shared" ca="1" si="27"/>
        <v>2</v>
      </c>
      <c r="AH620" s="23" t="str" cm="1">
        <f t="array" ref="AH620">_xlfn.IFS(E620&gt;49,"50+",E620&gt;39,"40-49",E620&gt;29,"30-39",E620&gt;19,"20-29")</f>
        <v>20-29</v>
      </c>
      <c r="AI620" s="24" t="str" cm="1">
        <f t="array" aca="1" ref="AI620" ca="1">_xlfn.IFS(AG620&gt;10,"10+",AG620&gt;4,"5-10 YIL",AG620&gt;2,"3-5 YIL",AG620&gt;0.9,"1-3 YIL",AG620&lt;1,"0-1 YIL")</f>
        <v>1-3 YIL</v>
      </c>
      <c r="AJ620">
        <f t="shared" si="28"/>
        <v>2023</v>
      </c>
      <c r="AK620" t="e">
        <f t="shared" si="29"/>
        <v>#VALUE!</v>
      </c>
    </row>
    <row r="621" spans="1:37" x14ac:dyDescent="0.3">
      <c r="A621" s="6" t="s">
        <v>1044</v>
      </c>
      <c r="B621" s="7" t="s">
        <v>251</v>
      </c>
      <c r="C621" s="6" t="s">
        <v>33</v>
      </c>
      <c r="D621" s="14">
        <v>26019</v>
      </c>
      <c r="E621" s="8">
        <v>55</v>
      </c>
      <c r="F621" s="6" t="s">
        <v>49</v>
      </c>
      <c r="G621" s="8">
        <v>1</v>
      </c>
      <c r="H621" s="6" t="s">
        <v>35</v>
      </c>
      <c r="I621" s="7" t="s">
        <v>61</v>
      </c>
      <c r="J621" s="7" t="s">
        <v>124</v>
      </c>
      <c r="K621" s="6" t="s">
        <v>79</v>
      </c>
      <c r="L621" s="6" t="s">
        <v>63</v>
      </c>
      <c r="M621" s="7" t="s">
        <v>80</v>
      </c>
      <c r="N621" s="6" t="s">
        <v>41</v>
      </c>
      <c r="O621" s="14">
        <v>41021</v>
      </c>
      <c r="P621" s="6" t="s">
        <v>44</v>
      </c>
      <c r="Q621" s="7" t="s">
        <v>44</v>
      </c>
      <c r="R621" s="6" t="s">
        <v>44</v>
      </c>
      <c r="S621" s="6" t="s">
        <v>56</v>
      </c>
      <c r="T621" s="9">
        <v>108100</v>
      </c>
      <c r="U621" s="9">
        <v>30500</v>
      </c>
      <c r="V621" s="8">
        <v>2</v>
      </c>
      <c r="W621" s="8">
        <v>29</v>
      </c>
      <c r="X621" s="6" t="s">
        <v>57</v>
      </c>
      <c r="Y621" s="8">
        <v>1</v>
      </c>
      <c r="Z621" s="8">
        <v>0</v>
      </c>
      <c r="AA621" s="8">
        <v>0</v>
      </c>
      <c r="AB621" s="8">
        <v>0</v>
      </c>
      <c r="AC621" s="8">
        <v>2</v>
      </c>
      <c r="AD621" s="8">
        <v>13</v>
      </c>
      <c r="AE621" s="7" t="s">
        <v>58</v>
      </c>
      <c r="AG621">
        <f t="shared" ca="1" si="27"/>
        <v>14</v>
      </c>
      <c r="AH621" s="23" t="str" cm="1">
        <f t="array" ref="AH621">_xlfn.IFS(E621&gt;49,"50+",E621&gt;39,"40-49",E621&gt;29,"30-39",E621&gt;19,"20-29")</f>
        <v>50+</v>
      </c>
      <c r="AI621" s="24" t="str" cm="1">
        <f t="array" aca="1" ref="AI621" ca="1">_xlfn.IFS(AG621&gt;10,"10+",AG621&gt;4,"5-10 YIL",AG621&gt;2,"3-5 YIL",AG621&gt;0.9,"1-3 YIL",AG621&lt;1,"0-1 YIL")</f>
        <v>10+</v>
      </c>
      <c r="AJ621">
        <f t="shared" si="28"/>
        <v>2012</v>
      </c>
      <c r="AK621" t="e">
        <f t="shared" si="29"/>
        <v>#VALUE!</v>
      </c>
    </row>
    <row r="622" spans="1:37" x14ac:dyDescent="0.3">
      <c r="A622" s="2" t="s">
        <v>1045</v>
      </c>
      <c r="B622" s="3" t="s">
        <v>571</v>
      </c>
      <c r="C622" s="2" t="s">
        <v>48</v>
      </c>
      <c r="D622" s="13">
        <v>30729</v>
      </c>
      <c r="E622" s="4">
        <v>42</v>
      </c>
      <c r="F622" s="2" t="s">
        <v>34</v>
      </c>
      <c r="G622" s="4">
        <v>0</v>
      </c>
      <c r="H622" s="2" t="s">
        <v>35</v>
      </c>
      <c r="I622" s="3" t="s">
        <v>36</v>
      </c>
      <c r="J622" s="3" t="s">
        <v>50</v>
      </c>
      <c r="K622" s="2" t="s">
        <v>51</v>
      </c>
      <c r="L622" s="2" t="s">
        <v>39</v>
      </c>
      <c r="M622" s="3" t="s">
        <v>40</v>
      </c>
      <c r="N622" s="2" t="s">
        <v>41</v>
      </c>
      <c r="O622" s="13">
        <v>41843</v>
      </c>
      <c r="P622" s="2" t="s">
        <v>44</v>
      </c>
      <c r="Q622" s="3" t="s">
        <v>44</v>
      </c>
      <c r="R622" s="2" t="s">
        <v>44</v>
      </c>
      <c r="S622" s="2" t="s">
        <v>56</v>
      </c>
      <c r="T622" s="5">
        <v>38600</v>
      </c>
      <c r="U622" s="5">
        <v>0</v>
      </c>
      <c r="V622" s="4">
        <v>11</v>
      </c>
      <c r="W622" s="4">
        <v>25</v>
      </c>
      <c r="X622" s="2" t="s">
        <v>57</v>
      </c>
      <c r="Y622" s="4">
        <v>5</v>
      </c>
      <c r="Z622" s="4">
        <v>10</v>
      </c>
      <c r="AA622" s="4">
        <v>0</v>
      </c>
      <c r="AB622" s="4">
        <v>0</v>
      </c>
      <c r="AC622" s="4">
        <v>3</v>
      </c>
      <c r="AD622" s="4">
        <v>7</v>
      </c>
      <c r="AE622" s="3" t="s">
        <v>58</v>
      </c>
      <c r="AG622">
        <f t="shared" ca="1" si="27"/>
        <v>11</v>
      </c>
      <c r="AH622" s="23" t="str" cm="1">
        <f t="array" ref="AH622">_xlfn.IFS(E622&gt;49,"50+",E622&gt;39,"40-49",E622&gt;29,"30-39",E622&gt;19,"20-29")</f>
        <v>40-49</v>
      </c>
      <c r="AI622" s="24" t="str" cm="1">
        <f t="array" aca="1" ref="AI622" ca="1">_xlfn.IFS(AG622&gt;10,"10+",AG622&gt;4,"5-10 YIL",AG622&gt;2,"3-5 YIL",AG622&gt;0.9,"1-3 YIL",AG622&lt;1,"0-1 YIL")</f>
        <v>10+</v>
      </c>
      <c r="AJ622">
        <f t="shared" si="28"/>
        <v>2014</v>
      </c>
      <c r="AK622" t="e">
        <f t="shared" si="29"/>
        <v>#VALUE!</v>
      </c>
    </row>
    <row r="623" spans="1:37" x14ac:dyDescent="0.3">
      <c r="A623" s="6" t="s">
        <v>1046</v>
      </c>
      <c r="B623" s="7" t="s">
        <v>55</v>
      </c>
      <c r="C623" s="6" t="s">
        <v>48</v>
      </c>
      <c r="D623" s="14">
        <v>36457</v>
      </c>
      <c r="E623" s="8">
        <v>27</v>
      </c>
      <c r="F623" s="6" t="s">
        <v>34</v>
      </c>
      <c r="G623" s="8">
        <v>0</v>
      </c>
      <c r="H623" s="6" t="s">
        <v>35</v>
      </c>
      <c r="I623" s="7" t="s">
        <v>36</v>
      </c>
      <c r="J623" s="7" t="s">
        <v>37</v>
      </c>
      <c r="K623" s="6" t="s">
        <v>38</v>
      </c>
      <c r="L623" s="6" t="s">
        <v>39</v>
      </c>
      <c r="M623" s="7" t="s">
        <v>40</v>
      </c>
      <c r="N623" s="6" t="s">
        <v>41</v>
      </c>
      <c r="O623" s="14">
        <v>45307</v>
      </c>
      <c r="P623" s="6" t="s">
        <v>44</v>
      </c>
      <c r="Q623" s="7" t="s">
        <v>44</v>
      </c>
      <c r="R623" s="6" t="s">
        <v>44</v>
      </c>
      <c r="S623" s="6" t="s">
        <v>56</v>
      </c>
      <c r="T623" s="9">
        <v>26700</v>
      </c>
      <c r="U623" s="9">
        <v>0</v>
      </c>
      <c r="V623" s="8">
        <v>35</v>
      </c>
      <c r="W623" s="8">
        <v>29</v>
      </c>
      <c r="X623" s="6" t="s">
        <v>57</v>
      </c>
      <c r="Y623" s="8">
        <v>1</v>
      </c>
      <c r="Z623" s="8">
        <v>8</v>
      </c>
      <c r="AA623" s="8">
        <v>0</v>
      </c>
      <c r="AB623" s="8">
        <v>0</v>
      </c>
      <c r="AC623" s="8">
        <v>3</v>
      </c>
      <c r="AD623" s="8">
        <v>17</v>
      </c>
      <c r="AE623" s="7" t="s">
        <v>45</v>
      </c>
      <c r="AG623">
        <f t="shared" ca="1" si="27"/>
        <v>2</v>
      </c>
      <c r="AH623" s="23" t="str" cm="1">
        <f t="array" ref="AH623">_xlfn.IFS(E623&gt;49,"50+",E623&gt;39,"40-49",E623&gt;29,"30-39",E623&gt;19,"20-29")</f>
        <v>20-29</v>
      </c>
      <c r="AI623" s="24" t="str" cm="1">
        <f t="array" aca="1" ref="AI623" ca="1">_xlfn.IFS(AG623&gt;10,"10+",AG623&gt;4,"5-10 YIL",AG623&gt;2,"3-5 YIL",AG623&gt;0.9,"1-3 YIL",AG623&lt;1,"0-1 YIL")</f>
        <v>1-3 YIL</v>
      </c>
      <c r="AJ623">
        <f t="shared" si="28"/>
        <v>2024</v>
      </c>
      <c r="AK623" t="e">
        <f t="shared" si="29"/>
        <v>#VALUE!</v>
      </c>
    </row>
    <row r="624" spans="1:37" x14ac:dyDescent="0.3">
      <c r="A624" s="2" t="s">
        <v>1047</v>
      </c>
      <c r="B624" s="3" t="s">
        <v>584</v>
      </c>
      <c r="C624" s="2" t="s">
        <v>48</v>
      </c>
      <c r="D624" s="13">
        <v>36214</v>
      </c>
      <c r="E624" s="4">
        <v>27</v>
      </c>
      <c r="F624" s="2" t="s">
        <v>49</v>
      </c>
      <c r="G624" s="4">
        <v>1</v>
      </c>
      <c r="H624" s="2" t="s">
        <v>88</v>
      </c>
      <c r="I624" s="3" t="s">
        <v>148</v>
      </c>
      <c r="J624" s="3" t="s">
        <v>252</v>
      </c>
      <c r="K624" s="2" t="s">
        <v>38</v>
      </c>
      <c r="L624" s="2" t="s">
        <v>63</v>
      </c>
      <c r="M624" s="3" t="s">
        <v>150</v>
      </c>
      <c r="N624" s="2" t="s">
        <v>41</v>
      </c>
      <c r="O624" s="13">
        <v>46130</v>
      </c>
      <c r="P624" s="2" t="s">
        <v>44</v>
      </c>
      <c r="Q624" s="3" t="s">
        <v>44</v>
      </c>
      <c r="R624" s="2" t="s">
        <v>44</v>
      </c>
      <c r="S624" s="2" t="s">
        <v>56</v>
      </c>
      <c r="T624" s="5">
        <v>34800</v>
      </c>
      <c r="U624" s="5">
        <v>3900</v>
      </c>
      <c r="V624" s="4">
        <v>8</v>
      </c>
      <c r="W624" s="4">
        <v>28</v>
      </c>
      <c r="X624" s="2" t="s">
        <v>57</v>
      </c>
      <c r="Y624" s="4">
        <v>2</v>
      </c>
      <c r="Z624" s="4">
        <v>0</v>
      </c>
      <c r="AA624" s="4">
        <v>0</v>
      </c>
      <c r="AB624" s="4">
        <v>0</v>
      </c>
      <c r="AC624" s="4">
        <v>3</v>
      </c>
      <c r="AD624" s="4">
        <v>6</v>
      </c>
      <c r="AE624" s="3" t="s">
        <v>45</v>
      </c>
      <c r="AG624">
        <f t="shared" ca="1" si="27"/>
        <v>0</v>
      </c>
      <c r="AH624" s="23" t="str" cm="1">
        <f t="array" ref="AH624">_xlfn.IFS(E624&gt;49,"50+",E624&gt;39,"40-49",E624&gt;29,"30-39",E624&gt;19,"20-29")</f>
        <v>20-29</v>
      </c>
      <c r="AI624" s="24" t="str" cm="1">
        <f t="array" aca="1" ref="AI624" ca="1">_xlfn.IFS(AG624&gt;10,"10+",AG624&gt;4,"5-10 YIL",AG624&gt;2,"3-5 YIL",AG624&gt;0.9,"1-3 YIL",AG624&lt;1,"0-1 YIL")</f>
        <v>0-1 YIL</v>
      </c>
      <c r="AJ624">
        <f t="shared" si="28"/>
        <v>2026</v>
      </c>
      <c r="AK624" t="e">
        <f t="shared" si="29"/>
        <v>#VALUE!</v>
      </c>
    </row>
    <row r="625" spans="1:37" x14ac:dyDescent="0.3">
      <c r="A625" s="6" t="s">
        <v>1048</v>
      </c>
      <c r="B625" s="7" t="s">
        <v>797</v>
      </c>
      <c r="C625" s="6" t="s">
        <v>33</v>
      </c>
      <c r="D625" s="14">
        <v>36873</v>
      </c>
      <c r="E625" s="8">
        <v>26</v>
      </c>
      <c r="F625" s="6" t="s">
        <v>49</v>
      </c>
      <c r="G625" s="8">
        <v>1</v>
      </c>
      <c r="H625" s="6" t="s">
        <v>88</v>
      </c>
      <c r="I625" s="7" t="s">
        <v>36</v>
      </c>
      <c r="J625" s="7" t="s">
        <v>37</v>
      </c>
      <c r="K625" s="6" t="s">
        <v>38</v>
      </c>
      <c r="L625" s="6" t="s">
        <v>39</v>
      </c>
      <c r="M625" s="7" t="s">
        <v>40</v>
      </c>
      <c r="N625" s="6" t="s">
        <v>95</v>
      </c>
      <c r="O625" s="14">
        <v>45732</v>
      </c>
      <c r="P625" s="6" t="s">
        <v>44</v>
      </c>
      <c r="Q625" s="7" t="s">
        <v>44</v>
      </c>
      <c r="R625" s="6" t="s">
        <v>44</v>
      </c>
      <c r="S625" s="6" t="s">
        <v>56</v>
      </c>
      <c r="T625" s="9">
        <v>26800</v>
      </c>
      <c r="U625" s="9">
        <v>0</v>
      </c>
      <c r="V625" s="8">
        <v>15</v>
      </c>
      <c r="W625" s="8">
        <v>28</v>
      </c>
      <c r="X625" s="6" t="s">
        <v>57</v>
      </c>
      <c r="Y625" s="8">
        <v>2</v>
      </c>
      <c r="Z625" s="8">
        <v>11</v>
      </c>
      <c r="AA625" s="8">
        <v>0</v>
      </c>
      <c r="AB625" s="8">
        <v>0</v>
      </c>
      <c r="AC625" s="8">
        <v>2</v>
      </c>
      <c r="AD625" s="8">
        <v>16</v>
      </c>
      <c r="AE625" s="7" t="s">
        <v>96</v>
      </c>
      <c r="AG625">
        <f t="shared" ca="1" si="27"/>
        <v>1</v>
      </c>
      <c r="AH625" s="23" t="str" cm="1">
        <f t="array" ref="AH625">_xlfn.IFS(E625&gt;49,"50+",E625&gt;39,"40-49",E625&gt;29,"30-39",E625&gt;19,"20-29")</f>
        <v>20-29</v>
      </c>
      <c r="AI625" s="24" t="str" cm="1">
        <f t="array" aca="1" ref="AI625" ca="1">_xlfn.IFS(AG625&gt;10,"10+",AG625&gt;4,"5-10 YIL",AG625&gt;2,"3-5 YIL",AG625&gt;0.9,"1-3 YIL",AG625&lt;1,"0-1 YIL")</f>
        <v>1-3 YIL</v>
      </c>
      <c r="AJ625">
        <f t="shared" si="28"/>
        <v>2025</v>
      </c>
      <c r="AK625" t="e">
        <f t="shared" si="29"/>
        <v>#VALUE!</v>
      </c>
    </row>
    <row r="626" spans="1:37" x14ac:dyDescent="0.3">
      <c r="A626" s="2" t="s">
        <v>1049</v>
      </c>
      <c r="B626" s="3" t="s">
        <v>845</v>
      </c>
      <c r="C626" s="2" t="s">
        <v>48</v>
      </c>
      <c r="D626" s="13">
        <v>36364</v>
      </c>
      <c r="E626" s="4">
        <v>27</v>
      </c>
      <c r="F626" s="2" t="s">
        <v>34</v>
      </c>
      <c r="G626" s="4">
        <v>0</v>
      </c>
      <c r="H626" s="2" t="s">
        <v>88</v>
      </c>
      <c r="I626" s="3" t="s">
        <v>148</v>
      </c>
      <c r="J626" s="3" t="s">
        <v>252</v>
      </c>
      <c r="K626" s="2" t="s">
        <v>38</v>
      </c>
      <c r="L626" s="2" t="s">
        <v>63</v>
      </c>
      <c r="M626" s="3" t="s">
        <v>150</v>
      </c>
      <c r="N626" s="2" t="s">
        <v>41</v>
      </c>
      <c r="O626" s="13">
        <v>45715</v>
      </c>
      <c r="P626" s="2" t="s">
        <v>44</v>
      </c>
      <c r="Q626" s="3" t="s">
        <v>44</v>
      </c>
      <c r="R626" s="2" t="s">
        <v>44</v>
      </c>
      <c r="S626" s="2" t="s">
        <v>56</v>
      </c>
      <c r="T626" s="5">
        <v>37800</v>
      </c>
      <c r="U626" s="5">
        <v>5200</v>
      </c>
      <c r="V626" s="4">
        <v>8</v>
      </c>
      <c r="W626" s="4">
        <v>27</v>
      </c>
      <c r="X626" s="2" t="s">
        <v>57</v>
      </c>
      <c r="Y626" s="4">
        <v>3</v>
      </c>
      <c r="Z626" s="4">
        <v>11</v>
      </c>
      <c r="AA626" s="4">
        <v>0</v>
      </c>
      <c r="AB626" s="4">
        <v>0</v>
      </c>
      <c r="AC626" s="4">
        <v>3</v>
      </c>
      <c r="AD626" s="4">
        <v>7</v>
      </c>
      <c r="AE626" s="3" t="s">
        <v>45</v>
      </c>
      <c r="AG626">
        <f t="shared" ca="1" si="27"/>
        <v>1</v>
      </c>
      <c r="AH626" s="23" t="str" cm="1">
        <f t="array" ref="AH626">_xlfn.IFS(E626&gt;49,"50+",E626&gt;39,"40-49",E626&gt;29,"30-39",E626&gt;19,"20-29")</f>
        <v>20-29</v>
      </c>
      <c r="AI626" s="24" t="str" cm="1">
        <f t="array" aca="1" ref="AI626" ca="1">_xlfn.IFS(AG626&gt;10,"10+",AG626&gt;4,"5-10 YIL",AG626&gt;2,"3-5 YIL",AG626&gt;0.9,"1-3 YIL",AG626&lt;1,"0-1 YIL")</f>
        <v>1-3 YIL</v>
      </c>
      <c r="AJ626">
        <f t="shared" si="28"/>
        <v>2025</v>
      </c>
      <c r="AK626" t="e">
        <f t="shared" si="29"/>
        <v>#VALUE!</v>
      </c>
    </row>
    <row r="627" spans="1:37" x14ac:dyDescent="0.3">
      <c r="A627" s="6" t="s">
        <v>1050</v>
      </c>
      <c r="B627" s="7" t="s">
        <v>315</v>
      </c>
      <c r="C627" s="6" t="s">
        <v>48</v>
      </c>
      <c r="D627" s="14">
        <v>30883</v>
      </c>
      <c r="E627" s="8">
        <v>42</v>
      </c>
      <c r="F627" s="6" t="s">
        <v>49</v>
      </c>
      <c r="G627" s="8">
        <v>3</v>
      </c>
      <c r="H627" s="6" t="s">
        <v>35</v>
      </c>
      <c r="I627" s="7" t="s">
        <v>36</v>
      </c>
      <c r="J627" s="7" t="s">
        <v>50</v>
      </c>
      <c r="K627" s="6" t="s">
        <v>51</v>
      </c>
      <c r="L627" s="6" t="s">
        <v>39</v>
      </c>
      <c r="M627" s="7" t="s">
        <v>40</v>
      </c>
      <c r="N627" s="6" t="s">
        <v>41</v>
      </c>
      <c r="O627" s="14">
        <v>43058</v>
      </c>
      <c r="P627" s="6" t="s">
        <v>44</v>
      </c>
      <c r="Q627" s="7" t="s">
        <v>44</v>
      </c>
      <c r="R627" s="6" t="s">
        <v>44</v>
      </c>
      <c r="S627" s="6" t="s">
        <v>56</v>
      </c>
      <c r="T627" s="9">
        <v>41700</v>
      </c>
      <c r="U627" s="9">
        <v>0</v>
      </c>
      <c r="V627" s="8">
        <v>44</v>
      </c>
      <c r="W627" s="8">
        <v>27</v>
      </c>
      <c r="X627" s="6" t="s">
        <v>57</v>
      </c>
      <c r="Y627" s="8">
        <v>3</v>
      </c>
      <c r="Z627" s="8">
        <v>13</v>
      </c>
      <c r="AA627" s="8">
        <v>0</v>
      </c>
      <c r="AB627" s="8">
        <v>0</v>
      </c>
      <c r="AC627" s="8">
        <v>4</v>
      </c>
      <c r="AD627" s="8">
        <v>12</v>
      </c>
      <c r="AE627" s="7" t="s">
        <v>73</v>
      </c>
      <c r="AG627">
        <f t="shared" ca="1" si="27"/>
        <v>8</v>
      </c>
      <c r="AH627" s="23" t="str" cm="1">
        <f t="array" ref="AH627">_xlfn.IFS(E627&gt;49,"50+",E627&gt;39,"40-49",E627&gt;29,"30-39",E627&gt;19,"20-29")</f>
        <v>40-49</v>
      </c>
      <c r="AI627" s="24" t="str" cm="1">
        <f t="array" aca="1" ref="AI627" ca="1">_xlfn.IFS(AG627&gt;10,"10+",AG627&gt;4,"5-10 YIL",AG627&gt;2,"3-5 YIL",AG627&gt;0.9,"1-3 YIL",AG627&lt;1,"0-1 YIL")</f>
        <v>5-10 YIL</v>
      </c>
      <c r="AJ627">
        <f t="shared" si="28"/>
        <v>2017</v>
      </c>
      <c r="AK627" t="e">
        <f t="shared" si="29"/>
        <v>#VALUE!</v>
      </c>
    </row>
    <row r="628" spans="1:37" x14ac:dyDescent="0.3">
      <c r="A628" s="2" t="s">
        <v>1051</v>
      </c>
      <c r="B628" s="3" t="s">
        <v>319</v>
      </c>
      <c r="C628" s="2" t="s">
        <v>48</v>
      </c>
      <c r="D628" s="13">
        <v>30645</v>
      </c>
      <c r="E628" s="4">
        <v>43</v>
      </c>
      <c r="F628" s="2" t="s">
        <v>49</v>
      </c>
      <c r="G628" s="4">
        <v>0</v>
      </c>
      <c r="H628" s="2" t="s">
        <v>184</v>
      </c>
      <c r="I628" s="3" t="s">
        <v>70</v>
      </c>
      <c r="J628" s="3" t="s">
        <v>71</v>
      </c>
      <c r="K628" s="2" t="s">
        <v>51</v>
      </c>
      <c r="L628" s="2" t="s">
        <v>63</v>
      </c>
      <c r="M628" s="3" t="s">
        <v>72</v>
      </c>
      <c r="N628" s="2" t="s">
        <v>41</v>
      </c>
      <c r="O628" s="13">
        <v>44114</v>
      </c>
      <c r="P628" s="13">
        <v>45112</v>
      </c>
      <c r="Q628" s="3" t="s">
        <v>53</v>
      </c>
      <c r="R628" s="2">
        <v>4</v>
      </c>
      <c r="S628" s="2" t="s">
        <v>43</v>
      </c>
      <c r="T628" s="5">
        <v>62500</v>
      </c>
      <c r="U628" s="5">
        <v>0</v>
      </c>
      <c r="V628" s="4">
        <v>4</v>
      </c>
      <c r="W628" s="4">
        <v>30</v>
      </c>
      <c r="X628" s="2" t="s">
        <v>44</v>
      </c>
      <c r="Y628" s="4">
        <v>0</v>
      </c>
      <c r="Z628" s="4">
        <v>6</v>
      </c>
      <c r="AA628" s="4">
        <v>0</v>
      </c>
      <c r="AB628" s="4">
        <v>0</v>
      </c>
      <c r="AC628" s="4">
        <v>3</v>
      </c>
      <c r="AD628" s="4">
        <v>6</v>
      </c>
      <c r="AE628" s="3" t="s">
        <v>58</v>
      </c>
      <c r="AG628">
        <f t="shared" ca="1" si="27"/>
        <v>5</v>
      </c>
      <c r="AH628" s="23" t="str" cm="1">
        <f t="array" ref="AH628">_xlfn.IFS(E628&gt;49,"50+",E628&gt;39,"40-49",E628&gt;29,"30-39",E628&gt;19,"20-29")</f>
        <v>40-49</v>
      </c>
      <c r="AI628" s="24" t="str" cm="1">
        <f t="array" aca="1" ref="AI628" ca="1">_xlfn.IFS(AG628&gt;10,"10+",AG628&gt;4,"5-10 YIL",AG628&gt;2,"3-5 YIL",AG628&gt;0.9,"1-3 YIL",AG628&lt;1,"0-1 YIL")</f>
        <v>5-10 YIL</v>
      </c>
      <c r="AJ628">
        <f t="shared" si="28"/>
        <v>2020</v>
      </c>
      <c r="AK628">
        <f t="shared" si="29"/>
        <v>2023</v>
      </c>
    </row>
    <row r="629" spans="1:37" x14ac:dyDescent="0.3">
      <c r="A629" s="6" t="s">
        <v>1052</v>
      </c>
      <c r="B629" s="7" t="s">
        <v>497</v>
      </c>
      <c r="C629" s="6" t="s">
        <v>48</v>
      </c>
      <c r="D629" s="14">
        <v>37644</v>
      </c>
      <c r="E629" s="8">
        <v>23</v>
      </c>
      <c r="F629" s="6" t="s">
        <v>34</v>
      </c>
      <c r="G629" s="8">
        <v>0</v>
      </c>
      <c r="H629" s="6" t="s">
        <v>35</v>
      </c>
      <c r="I629" s="7" t="s">
        <v>139</v>
      </c>
      <c r="J629" s="7" t="s">
        <v>235</v>
      </c>
      <c r="K629" s="6" t="s">
        <v>38</v>
      </c>
      <c r="L629" s="6" t="s">
        <v>63</v>
      </c>
      <c r="M629" s="7" t="s">
        <v>162</v>
      </c>
      <c r="N629" s="6" t="s">
        <v>41</v>
      </c>
      <c r="O629" s="14">
        <v>45370</v>
      </c>
      <c r="P629" s="6" t="s">
        <v>44</v>
      </c>
      <c r="Q629" s="7" t="s">
        <v>44</v>
      </c>
      <c r="R629" s="6" t="s">
        <v>44</v>
      </c>
      <c r="S629" s="6" t="s">
        <v>56</v>
      </c>
      <c r="T629" s="9">
        <v>47000</v>
      </c>
      <c r="U629" s="9">
        <v>0</v>
      </c>
      <c r="V629" s="8">
        <v>6</v>
      </c>
      <c r="W629" s="8">
        <v>29</v>
      </c>
      <c r="X629" s="6" t="s">
        <v>57</v>
      </c>
      <c r="Y629" s="8">
        <v>1</v>
      </c>
      <c r="Z629" s="8">
        <v>3</v>
      </c>
      <c r="AA629" s="8">
        <v>0</v>
      </c>
      <c r="AB629" s="8">
        <v>0</v>
      </c>
      <c r="AC629" s="8">
        <v>3</v>
      </c>
      <c r="AD629" s="8">
        <v>2</v>
      </c>
      <c r="AE629" s="7" t="s">
        <v>58</v>
      </c>
      <c r="AG629">
        <f t="shared" ca="1" si="27"/>
        <v>2</v>
      </c>
      <c r="AH629" s="23" t="str" cm="1">
        <f t="array" ref="AH629">_xlfn.IFS(E629&gt;49,"50+",E629&gt;39,"40-49",E629&gt;29,"30-39",E629&gt;19,"20-29")</f>
        <v>20-29</v>
      </c>
      <c r="AI629" s="24" t="str" cm="1">
        <f t="array" aca="1" ref="AI629" ca="1">_xlfn.IFS(AG629&gt;10,"10+",AG629&gt;4,"5-10 YIL",AG629&gt;2,"3-5 YIL",AG629&gt;0.9,"1-3 YIL",AG629&lt;1,"0-1 YIL")</f>
        <v>1-3 YIL</v>
      </c>
      <c r="AJ629">
        <f t="shared" si="28"/>
        <v>2024</v>
      </c>
      <c r="AK629" t="e">
        <f t="shared" si="29"/>
        <v>#VALUE!</v>
      </c>
    </row>
    <row r="630" spans="1:37" x14ac:dyDescent="0.3">
      <c r="A630" s="2" t="s">
        <v>1053</v>
      </c>
      <c r="B630" s="3" t="s">
        <v>622</v>
      </c>
      <c r="C630" s="2" t="s">
        <v>48</v>
      </c>
      <c r="D630" s="13">
        <v>37767</v>
      </c>
      <c r="E630" s="4">
        <v>23</v>
      </c>
      <c r="F630" s="2" t="s">
        <v>34</v>
      </c>
      <c r="G630" s="4">
        <v>0</v>
      </c>
      <c r="H630" s="2" t="s">
        <v>35</v>
      </c>
      <c r="I630" s="3" t="s">
        <v>36</v>
      </c>
      <c r="J630" s="3" t="s">
        <v>37</v>
      </c>
      <c r="K630" s="2" t="s">
        <v>38</v>
      </c>
      <c r="L630" s="2" t="s">
        <v>39</v>
      </c>
      <c r="M630" s="3" t="s">
        <v>40</v>
      </c>
      <c r="N630" s="2" t="s">
        <v>67</v>
      </c>
      <c r="O630" s="13">
        <v>45018</v>
      </c>
      <c r="P630" s="2" t="s">
        <v>44</v>
      </c>
      <c r="Q630" s="3" t="s">
        <v>44</v>
      </c>
      <c r="R630" s="2" t="s">
        <v>44</v>
      </c>
      <c r="S630" s="2" t="s">
        <v>56</v>
      </c>
      <c r="T630" s="5">
        <v>28700</v>
      </c>
      <c r="U630" s="5">
        <v>0</v>
      </c>
      <c r="V630" s="4">
        <v>31</v>
      </c>
      <c r="W630" s="4">
        <v>30</v>
      </c>
      <c r="X630" s="2" t="s">
        <v>44</v>
      </c>
      <c r="Y630" s="4">
        <v>0</v>
      </c>
      <c r="Z630" s="4">
        <v>14</v>
      </c>
      <c r="AA630" s="4">
        <v>0</v>
      </c>
      <c r="AB630" s="4">
        <v>0</v>
      </c>
      <c r="AC630" s="4">
        <v>3</v>
      </c>
      <c r="AD630" s="4">
        <v>10</v>
      </c>
      <c r="AE630" s="3" t="s">
        <v>58</v>
      </c>
      <c r="AG630">
        <f t="shared" ca="1" si="27"/>
        <v>3</v>
      </c>
      <c r="AH630" s="23" t="str" cm="1">
        <f t="array" ref="AH630">_xlfn.IFS(E630&gt;49,"50+",E630&gt;39,"40-49",E630&gt;29,"30-39",E630&gt;19,"20-29")</f>
        <v>20-29</v>
      </c>
      <c r="AI630" s="24" t="str" cm="1">
        <f t="array" aca="1" ref="AI630" ca="1">_xlfn.IFS(AG630&gt;10,"10+",AG630&gt;4,"5-10 YIL",AG630&gt;2,"3-5 YIL",AG630&gt;0.9,"1-3 YIL",AG630&lt;1,"0-1 YIL")</f>
        <v>3-5 YIL</v>
      </c>
      <c r="AJ630">
        <f t="shared" si="28"/>
        <v>2023</v>
      </c>
      <c r="AK630" t="e">
        <f t="shared" si="29"/>
        <v>#VALUE!</v>
      </c>
    </row>
    <row r="631" spans="1:37" x14ac:dyDescent="0.3">
      <c r="A631" s="6" t="s">
        <v>1054</v>
      </c>
      <c r="B631" s="7" t="s">
        <v>1055</v>
      </c>
      <c r="C631" s="6" t="s">
        <v>33</v>
      </c>
      <c r="D631" s="14">
        <v>36028</v>
      </c>
      <c r="E631" s="8">
        <v>28</v>
      </c>
      <c r="F631" s="6" t="s">
        <v>34</v>
      </c>
      <c r="G631" s="8">
        <v>0</v>
      </c>
      <c r="H631" s="6" t="s">
        <v>184</v>
      </c>
      <c r="I631" s="7" t="s">
        <v>61</v>
      </c>
      <c r="J631" s="7" t="s">
        <v>62</v>
      </c>
      <c r="K631" s="6" t="s">
        <v>38</v>
      </c>
      <c r="L631" s="6" t="s">
        <v>63</v>
      </c>
      <c r="M631" s="7" t="s">
        <v>64</v>
      </c>
      <c r="N631" s="6" t="s">
        <v>41</v>
      </c>
      <c r="O631" s="14">
        <v>44838</v>
      </c>
      <c r="P631" s="6" t="s">
        <v>44</v>
      </c>
      <c r="Q631" s="7" t="s">
        <v>44</v>
      </c>
      <c r="R631" s="6" t="s">
        <v>44</v>
      </c>
      <c r="S631" s="6" t="s">
        <v>56</v>
      </c>
      <c r="T631" s="9">
        <v>33900</v>
      </c>
      <c r="U631" s="9">
        <v>11400</v>
      </c>
      <c r="V631" s="8">
        <v>1</v>
      </c>
      <c r="W631" s="8">
        <v>30</v>
      </c>
      <c r="X631" s="6" t="s">
        <v>44</v>
      </c>
      <c r="Y631" s="8">
        <v>0</v>
      </c>
      <c r="Z631" s="8">
        <v>7</v>
      </c>
      <c r="AA631" s="8">
        <v>0</v>
      </c>
      <c r="AB631" s="8">
        <v>0</v>
      </c>
      <c r="AC631" s="8">
        <v>4</v>
      </c>
      <c r="AD631" s="8">
        <v>23</v>
      </c>
      <c r="AE631" s="7" t="s">
        <v>45</v>
      </c>
      <c r="AG631">
        <f t="shared" ca="1" si="27"/>
        <v>3</v>
      </c>
      <c r="AH631" s="23" t="str" cm="1">
        <f t="array" ref="AH631">_xlfn.IFS(E631&gt;49,"50+",E631&gt;39,"40-49",E631&gt;29,"30-39",E631&gt;19,"20-29")</f>
        <v>20-29</v>
      </c>
      <c r="AI631" s="24" t="str" cm="1">
        <f t="array" aca="1" ref="AI631" ca="1">_xlfn.IFS(AG631&gt;10,"10+",AG631&gt;4,"5-10 YIL",AG631&gt;2,"3-5 YIL",AG631&gt;0.9,"1-3 YIL",AG631&lt;1,"0-1 YIL")</f>
        <v>3-5 YIL</v>
      </c>
      <c r="AJ631">
        <f t="shared" si="28"/>
        <v>2022</v>
      </c>
      <c r="AK631" t="e">
        <f t="shared" si="29"/>
        <v>#VALUE!</v>
      </c>
    </row>
    <row r="632" spans="1:37" x14ac:dyDescent="0.3">
      <c r="A632" s="2" t="s">
        <v>1056</v>
      </c>
      <c r="B632" s="3" t="s">
        <v>899</v>
      </c>
      <c r="C632" s="2" t="s">
        <v>48</v>
      </c>
      <c r="D632" s="13">
        <v>31354</v>
      </c>
      <c r="E632" s="4">
        <v>41</v>
      </c>
      <c r="F632" s="2" t="s">
        <v>49</v>
      </c>
      <c r="G632" s="4">
        <v>2</v>
      </c>
      <c r="H632" s="2" t="s">
        <v>35</v>
      </c>
      <c r="I632" s="3" t="s">
        <v>61</v>
      </c>
      <c r="J632" s="3" t="s">
        <v>107</v>
      </c>
      <c r="K632" s="2" t="s">
        <v>51</v>
      </c>
      <c r="L632" s="2" t="s">
        <v>63</v>
      </c>
      <c r="M632" s="3" t="s">
        <v>64</v>
      </c>
      <c r="N632" s="2" t="s">
        <v>41</v>
      </c>
      <c r="O632" s="13">
        <v>43810</v>
      </c>
      <c r="P632" s="2" t="s">
        <v>44</v>
      </c>
      <c r="Q632" s="3" t="s">
        <v>44</v>
      </c>
      <c r="R632" s="2" t="s">
        <v>44</v>
      </c>
      <c r="S632" s="2" t="s">
        <v>56</v>
      </c>
      <c r="T632" s="5">
        <v>60600</v>
      </c>
      <c r="U632" s="5">
        <v>9300</v>
      </c>
      <c r="V632" s="4">
        <v>4</v>
      </c>
      <c r="W632" s="4">
        <v>30</v>
      </c>
      <c r="X632" s="2" t="s">
        <v>44</v>
      </c>
      <c r="Y632" s="4">
        <v>0</v>
      </c>
      <c r="Z632" s="4">
        <v>1</v>
      </c>
      <c r="AA632" s="4">
        <v>0</v>
      </c>
      <c r="AB632" s="4">
        <v>0</v>
      </c>
      <c r="AC632" s="4">
        <v>4</v>
      </c>
      <c r="AD632" s="4">
        <v>32</v>
      </c>
      <c r="AE632" s="3" t="s">
        <v>82</v>
      </c>
      <c r="AG632">
        <f t="shared" ca="1" si="27"/>
        <v>6</v>
      </c>
      <c r="AH632" s="23" t="str" cm="1">
        <f t="array" ref="AH632">_xlfn.IFS(E632&gt;49,"50+",E632&gt;39,"40-49",E632&gt;29,"30-39",E632&gt;19,"20-29")</f>
        <v>40-49</v>
      </c>
      <c r="AI632" s="24" t="str" cm="1">
        <f t="array" aca="1" ref="AI632" ca="1">_xlfn.IFS(AG632&gt;10,"10+",AG632&gt;4,"5-10 YIL",AG632&gt;2,"3-5 YIL",AG632&gt;0.9,"1-3 YIL",AG632&lt;1,"0-1 YIL")</f>
        <v>5-10 YIL</v>
      </c>
      <c r="AJ632">
        <f t="shared" si="28"/>
        <v>2019</v>
      </c>
      <c r="AK632" t="e">
        <f t="shared" si="29"/>
        <v>#VALUE!</v>
      </c>
    </row>
    <row r="633" spans="1:37" x14ac:dyDescent="0.3">
      <c r="A633" s="6" t="s">
        <v>1057</v>
      </c>
      <c r="B633" s="7" t="s">
        <v>495</v>
      </c>
      <c r="C633" s="6" t="s">
        <v>48</v>
      </c>
      <c r="D633" s="14">
        <v>37469</v>
      </c>
      <c r="E633" s="8">
        <v>24</v>
      </c>
      <c r="F633" s="6" t="s">
        <v>49</v>
      </c>
      <c r="G633" s="8">
        <v>3</v>
      </c>
      <c r="H633" s="6" t="s">
        <v>85</v>
      </c>
      <c r="I633" s="7" t="s">
        <v>36</v>
      </c>
      <c r="J633" s="7" t="s">
        <v>37</v>
      </c>
      <c r="K633" s="6" t="s">
        <v>38</v>
      </c>
      <c r="L633" s="6" t="s">
        <v>39</v>
      </c>
      <c r="M633" s="7" t="s">
        <v>40</v>
      </c>
      <c r="N633" s="6" t="s">
        <v>41</v>
      </c>
      <c r="O633" s="14">
        <v>45671</v>
      </c>
      <c r="P633" s="6" t="s">
        <v>44</v>
      </c>
      <c r="Q633" s="7" t="s">
        <v>44</v>
      </c>
      <c r="R633" s="6" t="s">
        <v>44</v>
      </c>
      <c r="S633" s="6" t="s">
        <v>56</v>
      </c>
      <c r="T633" s="9">
        <v>25400</v>
      </c>
      <c r="U633" s="9">
        <v>0</v>
      </c>
      <c r="V633" s="8">
        <v>19</v>
      </c>
      <c r="W633" s="8">
        <v>25</v>
      </c>
      <c r="X633" s="6" t="s">
        <v>57</v>
      </c>
      <c r="Y633" s="8">
        <v>5</v>
      </c>
      <c r="Z633" s="8">
        <v>14</v>
      </c>
      <c r="AA633" s="8">
        <v>0</v>
      </c>
      <c r="AB633" s="8">
        <v>0</v>
      </c>
      <c r="AC633" s="8">
        <v>3</v>
      </c>
      <c r="AD633" s="8">
        <v>16</v>
      </c>
      <c r="AE633" s="7" t="s">
        <v>58</v>
      </c>
      <c r="AG633">
        <f t="shared" ca="1" si="27"/>
        <v>1</v>
      </c>
      <c r="AH633" s="23" t="str" cm="1">
        <f t="array" ref="AH633">_xlfn.IFS(E633&gt;49,"50+",E633&gt;39,"40-49",E633&gt;29,"30-39",E633&gt;19,"20-29")</f>
        <v>20-29</v>
      </c>
      <c r="AI633" s="24" t="str" cm="1">
        <f t="array" aca="1" ref="AI633" ca="1">_xlfn.IFS(AG633&gt;10,"10+",AG633&gt;4,"5-10 YIL",AG633&gt;2,"3-5 YIL",AG633&gt;0.9,"1-3 YIL",AG633&lt;1,"0-1 YIL")</f>
        <v>1-3 YIL</v>
      </c>
      <c r="AJ633">
        <f t="shared" si="28"/>
        <v>2025</v>
      </c>
      <c r="AK633" t="e">
        <f t="shared" si="29"/>
        <v>#VALUE!</v>
      </c>
    </row>
    <row r="634" spans="1:37" x14ac:dyDescent="0.3">
      <c r="A634" s="2" t="s">
        <v>1058</v>
      </c>
      <c r="B634" s="3" t="s">
        <v>1059</v>
      </c>
      <c r="C634" s="2" t="s">
        <v>33</v>
      </c>
      <c r="D634" s="13">
        <v>36196</v>
      </c>
      <c r="E634" s="4">
        <v>27</v>
      </c>
      <c r="F634" s="2" t="s">
        <v>49</v>
      </c>
      <c r="G634" s="4">
        <v>1</v>
      </c>
      <c r="H634" s="2" t="s">
        <v>35</v>
      </c>
      <c r="I634" s="3" t="s">
        <v>61</v>
      </c>
      <c r="J634" s="3" t="s">
        <v>62</v>
      </c>
      <c r="K634" s="2" t="s">
        <v>38</v>
      </c>
      <c r="L634" s="2" t="s">
        <v>63</v>
      </c>
      <c r="M634" s="3" t="s">
        <v>64</v>
      </c>
      <c r="N634" s="2" t="s">
        <v>41</v>
      </c>
      <c r="O634" s="13">
        <v>45584</v>
      </c>
      <c r="P634" s="13">
        <v>46067</v>
      </c>
      <c r="Q634" s="3" t="s">
        <v>53</v>
      </c>
      <c r="R634" s="2">
        <v>4</v>
      </c>
      <c r="S634" s="2" t="s">
        <v>43</v>
      </c>
      <c r="T634" s="5">
        <v>35600</v>
      </c>
      <c r="U634" s="5">
        <v>5700</v>
      </c>
      <c r="V634" s="4">
        <v>4</v>
      </c>
      <c r="W634" s="4">
        <v>30</v>
      </c>
      <c r="X634" s="2" t="s">
        <v>44</v>
      </c>
      <c r="Y634" s="4">
        <v>0</v>
      </c>
      <c r="Z634" s="4">
        <v>13</v>
      </c>
      <c r="AA634" s="4">
        <v>0</v>
      </c>
      <c r="AB634" s="4">
        <v>0</v>
      </c>
      <c r="AC634" s="4">
        <v>3</v>
      </c>
      <c r="AD634" s="4">
        <v>3</v>
      </c>
      <c r="AE634" s="3" t="s">
        <v>73</v>
      </c>
      <c r="AG634">
        <f t="shared" ca="1" si="27"/>
        <v>1</v>
      </c>
      <c r="AH634" s="23" t="str" cm="1">
        <f t="array" ref="AH634">_xlfn.IFS(E634&gt;49,"50+",E634&gt;39,"40-49",E634&gt;29,"30-39",E634&gt;19,"20-29")</f>
        <v>20-29</v>
      </c>
      <c r="AI634" s="24" t="str" cm="1">
        <f t="array" aca="1" ref="AI634" ca="1">_xlfn.IFS(AG634&gt;10,"10+",AG634&gt;4,"5-10 YIL",AG634&gt;2,"3-5 YIL",AG634&gt;0.9,"1-3 YIL",AG634&lt;1,"0-1 YIL")</f>
        <v>1-3 YIL</v>
      </c>
      <c r="AJ634">
        <f t="shared" si="28"/>
        <v>2024</v>
      </c>
      <c r="AK634">
        <f t="shared" si="29"/>
        <v>2026</v>
      </c>
    </row>
    <row r="635" spans="1:37" x14ac:dyDescent="0.3">
      <c r="A635" s="6" t="s">
        <v>1060</v>
      </c>
      <c r="B635" s="7" t="s">
        <v>668</v>
      </c>
      <c r="C635" s="6" t="s">
        <v>48</v>
      </c>
      <c r="D635" s="14">
        <v>36474</v>
      </c>
      <c r="E635" s="8">
        <v>27</v>
      </c>
      <c r="F635" s="6" t="s">
        <v>34</v>
      </c>
      <c r="G635" s="8">
        <v>0</v>
      </c>
      <c r="H635" s="6" t="s">
        <v>85</v>
      </c>
      <c r="I635" s="7" t="s">
        <v>36</v>
      </c>
      <c r="J635" s="7" t="s">
        <v>37</v>
      </c>
      <c r="K635" s="6" t="s">
        <v>38</v>
      </c>
      <c r="L635" s="6" t="s">
        <v>39</v>
      </c>
      <c r="M635" s="7" t="s">
        <v>40</v>
      </c>
      <c r="N635" s="6" t="s">
        <v>41</v>
      </c>
      <c r="O635" s="14">
        <v>45561</v>
      </c>
      <c r="P635" s="6" t="s">
        <v>44</v>
      </c>
      <c r="Q635" s="7" t="s">
        <v>44</v>
      </c>
      <c r="R635" s="6" t="s">
        <v>44</v>
      </c>
      <c r="S635" s="6" t="s">
        <v>56</v>
      </c>
      <c r="T635" s="9">
        <v>27000</v>
      </c>
      <c r="U635" s="9">
        <v>0</v>
      </c>
      <c r="V635" s="8">
        <v>16</v>
      </c>
      <c r="W635" s="8">
        <v>30</v>
      </c>
      <c r="X635" s="6" t="s">
        <v>44</v>
      </c>
      <c r="Y635" s="8">
        <v>0</v>
      </c>
      <c r="Z635" s="8">
        <v>12</v>
      </c>
      <c r="AA635" s="8">
        <v>0</v>
      </c>
      <c r="AB635" s="8">
        <v>0</v>
      </c>
      <c r="AC635" s="8">
        <v>4</v>
      </c>
      <c r="AD635" s="8">
        <v>13</v>
      </c>
      <c r="AE635" s="7" t="s">
        <v>58</v>
      </c>
      <c r="AG635">
        <f t="shared" ca="1" si="27"/>
        <v>1</v>
      </c>
      <c r="AH635" s="23" t="str" cm="1">
        <f t="array" ref="AH635">_xlfn.IFS(E635&gt;49,"50+",E635&gt;39,"40-49",E635&gt;29,"30-39",E635&gt;19,"20-29")</f>
        <v>20-29</v>
      </c>
      <c r="AI635" s="24" t="str" cm="1">
        <f t="array" aca="1" ref="AI635" ca="1">_xlfn.IFS(AG635&gt;10,"10+",AG635&gt;4,"5-10 YIL",AG635&gt;2,"3-5 YIL",AG635&gt;0.9,"1-3 YIL",AG635&lt;1,"0-1 YIL")</f>
        <v>1-3 YIL</v>
      </c>
      <c r="AJ635">
        <f t="shared" si="28"/>
        <v>2024</v>
      </c>
      <c r="AK635" t="e">
        <f t="shared" si="29"/>
        <v>#VALUE!</v>
      </c>
    </row>
    <row r="636" spans="1:37" x14ac:dyDescent="0.3">
      <c r="A636" s="2" t="s">
        <v>1061</v>
      </c>
      <c r="B636" s="3" t="s">
        <v>620</v>
      </c>
      <c r="C636" s="2" t="s">
        <v>48</v>
      </c>
      <c r="D636" s="13">
        <v>29353</v>
      </c>
      <c r="E636" s="4">
        <v>46</v>
      </c>
      <c r="F636" s="2" t="s">
        <v>49</v>
      </c>
      <c r="G636" s="4">
        <v>1</v>
      </c>
      <c r="H636" s="2" t="s">
        <v>85</v>
      </c>
      <c r="I636" s="3" t="s">
        <v>61</v>
      </c>
      <c r="J636" s="3" t="s">
        <v>107</v>
      </c>
      <c r="K636" s="2" t="s">
        <v>51</v>
      </c>
      <c r="L636" s="2" t="s">
        <v>63</v>
      </c>
      <c r="M636" s="3" t="s">
        <v>64</v>
      </c>
      <c r="N636" s="2" t="s">
        <v>41</v>
      </c>
      <c r="O636" s="13">
        <v>42681</v>
      </c>
      <c r="P636" s="2" t="s">
        <v>44</v>
      </c>
      <c r="Q636" s="3" t="s">
        <v>44</v>
      </c>
      <c r="R636" s="2" t="s">
        <v>44</v>
      </c>
      <c r="S636" s="2" t="s">
        <v>56</v>
      </c>
      <c r="T636" s="5">
        <v>52800</v>
      </c>
      <c r="U636" s="5">
        <v>0</v>
      </c>
      <c r="V636" s="4">
        <v>4</v>
      </c>
      <c r="W636" s="4">
        <v>30</v>
      </c>
      <c r="X636" s="2" t="s">
        <v>44</v>
      </c>
      <c r="Y636" s="4">
        <v>0</v>
      </c>
      <c r="Z636" s="4">
        <v>0</v>
      </c>
      <c r="AA636" s="4">
        <v>0</v>
      </c>
      <c r="AB636" s="4">
        <v>0</v>
      </c>
      <c r="AC636" s="4">
        <v>4</v>
      </c>
      <c r="AD636" s="4">
        <v>17</v>
      </c>
      <c r="AE636" s="3" t="s">
        <v>96</v>
      </c>
      <c r="AG636">
        <f t="shared" ca="1" si="27"/>
        <v>9</v>
      </c>
      <c r="AH636" s="23" t="str" cm="1">
        <f t="array" ref="AH636">_xlfn.IFS(E636&gt;49,"50+",E636&gt;39,"40-49",E636&gt;29,"30-39",E636&gt;19,"20-29")</f>
        <v>40-49</v>
      </c>
      <c r="AI636" s="24" t="str" cm="1">
        <f t="array" aca="1" ref="AI636" ca="1">_xlfn.IFS(AG636&gt;10,"10+",AG636&gt;4,"5-10 YIL",AG636&gt;2,"3-5 YIL",AG636&gt;0.9,"1-3 YIL",AG636&lt;1,"0-1 YIL")</f>
        <v>5-10 YIL</v>
      </c>
      <c r="AJ636">
        <f t="shared" si="28"/>
        <v>2016</v>
      </c>
      <c r="AK636" t="e">
        <f t="shared" si="29"/>
        <v>#VALUE!</v>
      </c>
    </row>
    <row r="637" spans="1:37" x14ac:dyDescent="0.3">
      <c r="A637" s="6" t="s">
        <v>1062</v>
      </c>
      <c r="B637" s="7" t="s">
        <v>1063</v>
      </c>
      <c r="C637" s="6" t="s">
        <v>48</v>
      </c>
      <c r="D637" s="14">
        <v>27458</v>
      </c>
      <c r="E637" s="8">
        <v>51</v>
      </c>
      <c r="F637" s="6" t="s">
        <v>49</v>
      </c>
      <c r="G637" s="8">
        <v>1</v>
      </c>
      <c r="H637" s="6" t="s">
        <v>85</v>
      </c>
      <c r="I637" s="7" t="s">
        <v>36</v>
      </c>
      <c r="J637" s="7" t="s">
        <v>78</v>
      </c>
      <c r="K637" s="6" t="s">
        <v>79</v>
      </c>
      <c r="L637" s="6" t="s">
        <v>63</v>
      </c>
      <c r="M637" s="7" t="s">
        <v>80</v>
      </c>
      <c r="N637" s="6" t="s">
        <v>41</v>
      </c>
      <c r="O637" s="14">
        <v>43409</v>
      </c>
      <c r="P637" s="6" t="s">
        <v>44</v>
      </c>
      <c r="Q637" s="7" t="s">
        <v>44</v>
      </c>
      <c r="R637" s="6" t="s">
        <v>44</v>
      </c>
      <c r="S637" s="6" t="s">
        <v>56</v>
      </c>
      <c r="T637" s="9">
        <v>99900</v>
      </c>
      <c r="U637" s="9">
        <v>0</v>
      </c>
      <c r="V637" s="8">
        <v>5</v>
      </c>
      <c r="W637" s="8">
        <v>30</v>
      </c>
      <c r="X637" s="6" t="s">
        <v>44</v>
      </c>
      <c r="Y637" s="8">
        <v>0</v>
      </c>
      <c r="Z637" s="8">
        <v>14</v>
      </c>
      <c r="AA637" s="8">
        <v>0</v>
      </c>
      <c r="AB637" s="8">
        <v>0</v>
      </c>
      <c r="AC637" s="8">
        <v>4</v>
      </c>
      <c r="AD637" s="8">
        <v>31</v>
      </c>
      <c r="AE637" s="7" t="s">
        <v>45</v>
      </c>
      <c r="AG637">
        <f t="shared" ca="1" si="27"/>
        <v>7</v>
      </c>
      <c r="AH637" s="23" t="str" cm="1">
        <f t="array" ref="AH637">_xlfn.IFS(E637&gt;49,"50+",E637&gt;39,"40-49",E637&gt;29,"30-39",E637&gt;19,"20-29")</f>
        <v>50+</v>
      </c>
      <c r="AI637" s="24" t="str" cm="1">
        <f t="array" aca="1" ref="AI637" ca="1">_xlfn.IFS(AG637&gt;10,"10+",AG637&gt;4,"5-10 YIL",AG637&gt;2,"3-5 YIL",AG637&gt;0.9,"1-3 YIL",AG637&lt;1,"0-1 YIL")</f>
        <v>5-10 YIL</v>
      </c>
      <c r="AJ637">
        <f t="shared" si="28"/>
        <v>2018</v>
      </c>
      <c r="AK637" t="e">
        <f t="shared" si="29"/>
        <v>#VALUE!</v>
      </c>
    </row>
    <row r="638" spans="1:37" x14ac:dyDescent="0.3">
      <c r="A638" s="2" t="s">
        <v>1064</v>
      </c>
      <c r="B638" s="3" t="s">
        <v>392</v>
      </c>
      <c r="C638" s="2" t="s">
        <v>48</v>
      </c>
      <c r="D638" s="13">
        <v>28920</v>
      </c>
      <c r="E638" s="4">
        <v>47</v>
      </c>
      <c r="F638" s="2" t="s">
        <v>49</v>
      </c>
      <c r="G638" s="4">
        <v>0</v>
      </c>
      <c r="H638" s="2" t="s">
        <v>85</v>
      </c>
      <c r="I638" s="3" t="s">
        <v>139</v>
      </c>
      <c r="J638" s="3" t="s">
        <v>161</v>
      </c>
      <c r="K638" s="2" t="s">
        <v>51</v>
      </c>
      <c r="L638" s="2" t="s">
        <v>63</v>
      </c>
      <c r="M638" s="3" t="s">
        <v>162</v>
      </c>
      <c r="N638" s="2" t="s">
        <v>67</v>
      </c>
      <c r="O638" s="13">
        <v>41886</v>
      </c>
      <c r="P638" s="2" t="s">
        <v>44</v>
      </c>
      <c r="Q638" s="3" t="s">
        <v>44</v>
      </c>
      <c r="R638" s="2" t="s">
        <v>44</v>
      </c>
      <c r="S638" s="2" t="s">
        <v>56</v>
      </c>
      <c r="T638" s="5">
        <v>77700</v>
      </c>
      <c r="U638" s="5">
        <v>0</v>
      </c>
      <c r="V638" s="4">
        <v>9</v>
      </c>
      <c r="W638" s="4">
        <v>30</v>
      </c>
      <c r="X638" s="2" t="s">
        <v>44</v>
      </c>
      <c r="Y638" s="4">
        <v>0</v>
      </c>
      <c r="Z638" s="4">
        <v>0</v>
      </c>
      <c r="AA638" s="4">
        <v>0</v>
      </c>
      <c r="AB638" s="4">
        <v>0</v>
      </c>
      <c r="AC638" s="4">
        <v>3</v>
      </c>
      <c r="AD638" s="4">
        <v>4</v>
      </c>
      <c r="AE638" s="3" t="s">
        <v>45</v>
      </c>
      <c r="AG638">
        <f t="shared" ca="1" si="27"/>
        <v>11</v>
      </c>
      <c r="AH638" s="23" t="str" cm="1">
        <f t="array" ref="AH638">_xlfn.IFS(E638&gt;49,"50+",E638&gt;39,"40-49",E638&gt;29,"30-39",E638&gt;19,"20-29")</f>
        <v>40-49</v>
      </c>
      <c r="AI638" s="24" t="str" cm="1">
        <f t="array" aca="1" ref="AI638" ca="1">_xlfn.IFS(AG638&gt;10,"10+",AG638&gt;4,"5-10 YIL",AG638&gt;2,"3-5 YIL",AG638&gt;0.9,"1-3 YIL",AG638&lt;1,"0-1 YIL")</f>
        <v>10+</v>
      </c>
      <c r="AJ638">
        <f t="shared" si="28"/>
        <v>2014</v>
      </c>
      <c r="AK638" t="e">
        <f t="shared" si="29"/>
        <v>#VALUE!</v>
      </c>
    </row>
    <row r="639" spans="1:37" x14ac:dyDescent="0.3">
      <c r="A639" s="6" t="s">
        <v>1065</v>
      </c>
      <c r="B639" s="7" t="s">
        <v>598</v>
      </c>
      <c r="C639" s="6" t="s">
        <v>33</v>
      </c>
      <c r="D639" s="14">
        <v>35434</v>
      </c>
      <c r="E639" s="8">
        <v>29</v>
      </c>
      <c r="F639" s="6" t="s">
        <v>34</v>
      </c>
      <c r="G639" s="8">
        <v>0</v>
      </c>
      <c r="H639" s="6" t="s">
        <v>88</v>
      </c>
      <c r="I639" s="7" t="s">
        <v>36</v>
      </c>
      <c r="J639" s="7" t="s">
        <v>37</v>
      </c>
      <c r="K639" s="6" t="s">
        <v>38</v>
      </c>
      <c r="L639" s="6" t="s">
        <v>39</v>
      </c>
      <c r="M639" s="7" t="s">
        <v>40</v>
      </c>
      <c r="N639" s="6" t="s">
        <v>95</v>
      </c>
      <c r="O639" s="14">
        <v>45868</v>
      </c>
      <c r="P639" s="6" t="s">
        <v>44</v>
      </c>
      <c r="Q639" s="7" t="s">
        <v>44</v>
      </c>
      <c r="R639" s="6" t="s">
        <v>44</v>
      </c>
      <c r="S639" s="6" t="s">
        <v>56</v>
      </c>
      <c r="T639" s="9">
        <v>26400</v>
      </c>
      <c r="U639" s="9">
        <v>0</v>
      </c>
      <c r="V639" s="8">
        <v>26</v>
      </c>
      <c r="W639" s="8">
        <v>30</v>
      </c>
      <c r="X639" s="6" t="s">
        <v>44</v>
      </c>
      <c r="Y639" s="8">
        <v>0</v>
      </c>
      <c r="Z639" s="8">
        <v>0</v>
      </c>
      <c r="AA639" s="8">
        <v>0</v>
      </c>
      <c r="AB639" s="8">
        <v>0</v>
      </c>
      <c r="AC639" s="8">
        <v>3</v>
      </c>
      <c r="AD639" s="8">
        <v>17</v>
      </c>
      <c r="AE639" s="7" t="s">
        <v>58</v>
      </c>
      <c r="AG639">
        <f t="shared" ca="1" si="27"/>
        <v>0</v>
      </c>
      <c r="AH639" s="23" t="str" cm="1">
        <f t="array" ref="AH639">_xlfn.IFS(E639&gt;49,"50+",E639&gt;39,"40-49",E639&gt;29,"30-39",E639&gt;19,"20-29")</f>
        <v>20-29</v>
      </c>
      <c r="AI639" s="24" t="str" cm="1">
        <f t="array" aca="1" ref="AI639" ca="1">_xlfn.IFS(AG639&gt;10,"10+",AG639&gt;4,"5-10 YIL",AG639&gt;2,"3-5 YIL",AG639&gt;0.9,"1-3 YIL",AG639&lt;1,"0-1 YIL")</f>
        <v>0-1 YIL</v>
      </c>
      <c r="AJ639">
        <f t="shared" si="28"/>
        <v>2025</v>
      </c>
      <c r="AK639" t="e">
        <f t="shared" si="29"/>
        <v>#VALUE!</v>
      </c>
    </row>
    <row r="640" spans="1:37" x14ac:dyDescent="0.3">
      <c r="A640" s="2" t="s">
        <v>1066</v>
      </c>
      <c r="B640" s="3" t="s">
        <v>237</v>
      </c>
      <c r="C640" s="2" t="s">
        <v>48</v>
      </c>
      <c r="D640" s="13">
        <v>36392</v>
      </c>
      <c r="E640" s="4">
        <v>27</v>
      </c>
      <c r="F640" s="2" t="s">
        <v>49</v>
      </c>
      <c r="G640" s="4">
        <v>1</v>
      </c>
      <c r="H640" s="2" t="s">
        <v>35</v>
      </c>
      <c r="I640" s="3" t="s">
        <v>36</v>
      </c>
      <c r="J640" s="3" t="s">
        <v>37</v>
      </c>
      <c r="K640" s="2" t="s">
        <v>38</v>
      </c>
      <c r="L640" s="2" t="s">
        <v>39</v>
      </c>
      <c r="M640" s="3" t="s">
        <v>40</v>
      </c>
      <c r="N640" s="2" t="s">
        <v>41</v>
      </c>
      <c r="O640" s="13">
        <v>45544</v>
      </c>
      <c r="P640" s="2" t="s">
        <v>44</v>
      </c>
      <c r="Q640" s="3" t="s">
        <v>44</v>
      </c>
      <c r="R640" s="2" t="s">
        <v>44</v>
      </c>
      <c r="S640" s="2" t="s">
        <v>56</v>
      </c>
      <c r="T640" s="5">
        <v>25400</v>
      </c>
      <c r="U640" s="5">
        <v>0</v>
      </c>
      <c r="V640" s="4">
        <v>17</v>
      </c>
      <c r="W640" s="4">
        <v>29</v>
      </c>
      <c r="X640" s="2" t="s">
        <v>112</v>
      </c>
      <c r="Y640" s="4">
        <v>0</v>
      </c>
      <c r="Z640" s="4">
        <v>5</v>
      </c>
      <c r="AA640" s="4">
        <v>0</v>
      </c>
      <c r="AB640" s="4">
        <v>1</v>
      </c>
      <c r="AC640" s="4">
        <v>1</v>
      </c>
      <c r="AD640" s="4">
        <v>11</v>
      </c>
      <c r="AE640" s="3" t="s">
        <v>96</v>
      </c>
      <c r="AG640">
        <f t="shared" ca="1" si="27"/>
        <v>1</v>
      </c>
      <c r="AH640" s="23" t="str" cm="1">
        <f t="array" ref="AH640">_xlfn.IFS(E640&gt;49,"50+",E640&gt;39,"40-49",E640&gt;29,"30-39",E640&gt;19,"20-29")</f>
        <v>20-29</v>
      </c>
      <c r="AI640" s="24" t="str" cm="1">
        <f t="array" aca="1" ref="AI640" ca="1">_xlfn.IFS(AG640&gt;10,"10+",AG640&gt;4,"5-10 YIL",AG640&gt;2,"3-5 YIL",AG640&gt;0.9,"1-3 YIL",AG640&lt;1,"0-1 YIL")</f>
        <v>1-3 YIL</v>
      </c>
      <c r="AJ640">
        <f t="shared" si="28"/>
        <v>2024</v>
      </c>
      <c r="AK640" t="e">
        <f t="shared" si="29"/>
        <v>#VALUE!</v>
      </c>
    </row>
    <row r="641" spans="1:37" x14ac:dyDescent="0.3">
      <c r="A641" s="6" t="s">
        <v>1067</v>
      </c>
      <c r="B641" s="7" t="s">
        <v>551</v>
      </c>
      <c r="C641" s="6" t="s">
        <v>48</v>
      </c>
      <c r="D641" s="14">
        <v>37069</v>
      </c>
      <c r="E641" s="8">
        <v>25</v>
      </c>
      <c r="F641" s="6" t="s">
        <v>49</v>
      </c>
      <c r="G641" s="8">
        <v>0</v>
      </c>
      <c r="H641" s="6" t="s">
        <v>35</v>
      </c>
      <c r="I641" s="7" t="s">
        <v>36</v>
      </c>
      <c r="J641" s="7" t="s">
        <v>37</v>
      </c>
      <c r="K641" s="6" t="s">
        <v>38</v>
      </c>
      <c r="L641" s="6" t="s">
        <v>39</v>
      </c>
      <c r="M641" s="7" t="s">
        <v>40</v>
      </c>
      <c r="N641" s="6" t="s">
        <v>95</v>
      </c>
      <c r="O641" s="14">
        <v>44958</v>
      </c>
      <c r="P641" s="6" t="s">
        <v>44</v>
      </c>
      <c r="Q641" s="7" t="s">
        <v>44</v>
      </c>
      <c r="R641" s="6" t="s">
        <v>44</v>
      </c>
      <c r="S641" s="6" t="s">
        <v>56</v>
      </c>
      <c r="T641" s="9">
        <v>24900</v>
      </c>
      <c r="U641" s="9">
        <v>0</v>
      </c>
      <c r="V641" s="8">
        <v>23</v>
      </c>
      <c r="W641" s="8">
        <v>28</v>
      </c>
      <c r="X641" s="6" t="s">
        <v>57</v>
      </c>
      <c r="Y641" s="8">
        <v>2</v>
      </c>
      <c r="Z641" s="8">
        <v>12</v>
      </c>
      <c r="AA641" s="8">
        <v>0</v>
      </c>
      <c r="AB641" s="8">
        <v>0</v>
      </c>
      <c r="AC641" s="8">
        <v>3</v>
      </c>
      <c r="AD641" s="8">
        <v>3</v>
      </c>
      <c r="AE641" s="7" t="s">
        <v>58</v>
      </c>
      <c r="AG641">
        <f t="shared" ca="1" si="27"/>
        <v>3</v>
      </c>
      <c r="AH641" s="23" t="str" cm="1">
        <f t="array" ref="AH641">_xlfn.IFS(E641&gt;49,"50+",E641&gt;39,"40-49",E641&gt;29,"30-39",E641&gt;19,"20-29")</f>
        <v>20-29</v>
      </c>
      <c r="AI641" s="24" t="str" cm="1">
        <f t="array" aca="1" ref="AI641" ca="1">_xlfn.IFS(AG641&gt;10,"10+",AG641&gt;4,"5-10 YIL",AG641&gt;2,"3-5 YIL",AG641&gt;0.9,"1-3 YIL",AG641&lt;1,"0-1 YIL")</f>
        <v>3-5 YIL</v>
      </c>
      <c r="AJ641">
        <f t="shared" si="28"/>
        <v>2023</v>
      </c>
      <c r="AK641" t="e">
        <f t="shared" si="29"/>
        <v>#VALUE!</v>
      </c>
    </row>
    <row r="642" spans="1:37" x14ac:dyDescent="0.3">
      <c r="A642" s="2" t="s">
        <v>1068</v>
      </c>
      <c r="B642" s="3" t="s">
        <v>323</v>
      </c>
      <c r="C642" s="2" t="s">
        <v>33</v>
      </c>
      <c r="D642" s="13">
        <v>37888</v>
      </c>
      <c r="E642" s="4">
        <v>23</v>
      </c>
      <c r="F642" s="2" t="s">
        <v>49</v>
      </c>
      <c r="G642" s="4">
        <v>1</v>
      </c>
      <c r="H642" s="2" t="s">
        <v>85</v>
      </c>
      <c r="I642" s="3" t="s">
        <v>148</v>
      </c>
      <c r="J642" s="3" t="s">
        <v>252</v>
      </c>
      <c r="K642" s="2" t="s">
        <v>38</v>
      </c>
      <c r="L642" s="2" t="s">
        <v>63</v>
      </c>
      <c r="M642" s="3" t="s">
        <v>150</v>
      </c>
      <c r="N642" s="2" t="s">
        <v>41</v>
      </c>
      <c r="O642" s="13">
        <v>45880</v>
      </c>
      <c r="P642" s="2" t="s">
        <v>44</v>
      </c>
      <c r="Q642" s="3" t="s">
        <v>44</v>
      </c>
      <c r="R642" s="2" t="s">
        <v>44</v>
      </c>
      <c r="S642" s="2" t="s">
        <v>56</v>
      </c>
      <c r="T642" s="5">
        <v>35400</v>
      </c>
      <c r="U642" s="5">
        <v>0</v>
      </c>
      <c r="V642" s="4">
        <v>1</v>
      </c>
      <c r="W642" s="4">
        <v>30</v>
      </c>
      <c r="X642" s="2" t="s">
        <v>44</v>
      </c>
      <c r="Y642" s="4">
        <v>0</v>
      </c>
      <c r="Z642" s="4">
        <v>0</v>
      </c>
      <c r="AA642" s="4">
        <v>0</v>
      </c>
      <c r="AB642" s="4">
        <v>0</v>
      </c>
      <c r="AC642" s="4">
        <v>2</v>
      </c>
      <c r="AD642" s="4">
        <v>17</v>
      </c>
      <c r="AE642" s="3" t="s">
        <v>45</v>
      </c>
      <c r="AG642">
        <f t="shared" ca="1" si="27"/>
        <v>0</v>
      </c>
      <c r="AH642" s="23" t="str" cm="1">
        <f t="array" ref="AH642">_xlfn.IFS(E642&gt;49,"50+",E642&gt;39,"40-49",E642&gt;29,"30-39",E642&gt;19,"20-29")</f>
        <v>20-29</v>
      </c>
      <c r="AI642" s="24" t="str" cm="1">
        <f t="array" aca="1" ref="AI642" ca="1">_xlfn.IFS(AG642&gt;10,"10+",AG642&gt;4,"5-10 YIL",AG642&gt;2,"3-5 YIL",AG642&gt;0.9,"1-3 YIL",AG642&lt;1,"0-1 YIL")</f>
        <v>0-1 YIL</v>
      </c>
      <c r="AJ642">
        <f t="shared" si="28"/>
        <v>2025</v>
      </c>
      <c r="AK642" t="e">
        <f t="shared" si="29"/>
        <v>#VALUE!</v>
      </c>
    </row>
    <row r="643" spans="1:37" x14ac:dyDescent="0.3">
      <c r="A643" s="6" t="s">
        <v>1069</v>
      </c>
      <c r="B643" s="7" t="s">
        <v>673</v>
      </c>
      <c r="C643" s="6" t="s">
        <v>33</v>
      </c>
      <c r="D643" s="14">
        <v>37555</v>
      </c>
      <c r="E643" s="8">
        <v>24</v>
      </c>
      <c r="F643" s="6" t="s">
        <v>49</v>
      </c>
      <c r="G643" s="8">
        <v>0</v>
      </c>
      <c r="H643" s="6" t="s">
        <v>35</v>
      </c>
      <c r="I643" s="7" t="s">
        <v>61</v>
      </c>
      <c r="J643" s="7" t="s">
        <v>62</v>
      </c>
      <c r="K643" s="6" t="s">
        <v>38</v>
      </c>
      <c r="L643" s="6" t="s">
        <v>63</v>
      </c>
      <c r="M643" s="7" t="s">
        <v>64</v>
      </c>
      <c r="N643" s="6" t="s">
        <v>95</v>
      </c>
      <c r="O643" s="14">
        <v>45946</v>
      </c>
      <c r="P643" s="6" t="s">
        <v>44</v>
      </c>
      <c r="Q643" s="7" t="s">
        <v>44</v>
      </c>
      <c r="R643" s="6" t="s">
        <v>44</v>
      </c>
      <c r="S643" s="6" t="s">
        <v>56</v>
      </c>
      <c r="T643" s="9">
        <v>32000</v>
      </c>
      <c r="U643" s="9">
        <v>8400</v>
      </c>
      <c r="V643" s="8">
        <v>4</v>
      </c>
      <c r="W643" s="8">
        <v>30</v>
      </c>
      <c r="X643" s="6" t="s">
        <v>44</v>
      </c>
      <c r="Y643" s="8">
        <v>0</v>
      </c>
      <c r="Z643" s="8">
        <v>0</v>
      </c>
      <c r="AA643" s="8">
        <v>0</v>
      </c>
      <c r="AB643" s="8">
        <v>0</v>
      </c>
      <c r="AC643" s="8">
        <v>4</v>
      </c>
      <c r="AD643" s="8">
        <v>24</v>
      </c>
      <c r="AE643" s="7" t="s">
        <v>73</v>
      </c>
      <c r="AG643">
        <f t="shared" ref="AG643:AG706" ca="1" si="30">DATEDIF(O643,TODAY(),"Y")</f>
        <v>0</v>
      </c>
      <c r="AH643" s="23" t="str" cm="1">
        <f t="array" ref="AH643">_xlfn.IFS(E643&gt;49,"50+",E643&gt;39,"40-49",E643&gt;29,"30-39",E643&gt;19,"20-29")</f>
        <v>20-29</v>
      </c>
      <c r="AI643" s="24" t="str" cm="1">
        <f t="array" aca="1" ref="AI643" ca="1">_xlfn.IFS(AG643&gt;10,"10+",AG643&gt;4,"5-10 YIL",AG643&gt;2,"3-5 YIL",AG643&gt;0.9,"1-3 YIL",AG643&lt;1,"0-1 YIL")</f>
        <v>0-1 YIL</v>
      </c>
      <c r="AJ643">
        <f t="shared" ref="AJ643:AJ706" si="31">YEAR(O643)</f>
        <v>2025</v>
      </c>
      <c r="AK643" t="e">
        <f t="shared" ref="AK643:AK706" si="32">YEAR(P643)</f>
        <v>#VALUE!</v>
      </c>
    </row>
    <row r="644" spans="1:37" x14ac:dyDescent="0.3">
      <c r="A644" s="2" t="s">
        <v>1070</v>
      </c>
      <c r="B644" s="3" t="s">
        <v>1071</v>
      </c>
      <c r="C644" s="2" t="s">
        <v>48</v>
      </c>
      <c r="D644" s="13">
        <v>37693</v>
      </c>
      <c r="E644" s="4">
        <v>23</v>
      </c>
      <c r="F644" s="2" t="s">
        <v>49</v>
      </c>
      <c r="G644" s="4">
        <v>1</v>
      </c>
      <c r="H644" s="2" t="s">
        <v>85</v>
      </c>
      <c r="I644" s="3" t="s">
        <v>36</v>
      </c>
      <c r="J644" s="3" t="s">
        <v>37</v>
      </c>
      <c r="K644" s="2" t="s">
        <v>38</v>
      </c>
      <c r="L644" s="2" t="s">
        <v>39</v>
      </c>
      <c r="M644" s="3" t="s">
        <v>40</v>
      </c>
      <c r="N644" s="2" t="s">
        <v>41</v>
      </c>
      <c r="O644" s="13">
        <v>45060</v>
      </c>
      <c r="P644" s="2" t="s">
        <v>44</v>
      </c>
      <c r="Q644" s="3" t="s">
        <v>44</v>
      </c>
      <c r="R644" s="2" t="s">
        <v>44</v>
      </c>
      <c r="S644" s="2" t="s">
        <v>56</v>
      </c>
      <c r="T644" s="5">
        <v>24700</v>
      </c>
      <c r="U644" s="5">
        <v>0</v>
      </c>
      <c r="V644" s="4">
        <v>27</v>
      </c>
      <c r="W644" s="4">
        <v>29</v>
      </c>
      <c r="X644" s="2" t="s">
        <v>57</v>
      </c>
      <c r="Y644" s="4">
        <v>1</v>
      </c>
      <c r="Z644" s="4">
        <v>10</v>
      </c>
      <c r="AA644" s="4">
        <v>0</v>
      </c>
      <c r="AB644" s="4">
        <v>0</v>
      </c>
      <c r="AC644" s="4">
        <v>3</v>
      </c>
      <c r="AD644" s="4">
        <v>16</v>
      </c>
      <c r="AE644" s="3" t="s">
        <v>58</v>
      </c>
      <c r="AG644">
        <f t="shared" ca="1" si="30"/>
        <v>3</v>
      </c>
      <c r="AH644" s="23" t="str" cm="1">
        <f t="array" ref="AH644">_xlfn.IFS(E644&gt;49,"50+",E644&gt;39,"40-49",E644&gt;29,"30-39",E644&gt;19,"20-29")</f>
        <v>20-29</v>
      </c>
      <c r="AI644" s="24" t="str" cm="1">
        <f t="array" aca="1" ref="AI644" ca="1">_xlfn.IFS(AG644&gt;10,"10+",AG644&gt;4,"5-10 YIL",AG644&gt;2,"3-5 YIL",AG644&gt;0.9,"1-3 YIL",AG644&lt;1,"0-1 YIL")</f>
        <v>3-5 YIL</v>
      </c>
      <c r="AJ644">
        <f t="shared" si="31"/>
        <v>2023</v>
      </c>
      <c r="AK644" t="e">
        <f t="shared" si="32"/>
        <v>#VALUE!</v>
      </c>
    </row>
    <row r="645" spans="1:37" x14ac:dyDescent="0.3">
      <c r="A645" s="6" t="s">
        <v>1072</v>
      </c>
      <c r="B645" s="7" t="s">
        <v>1073</v>
      </c>
      <c r="C645" s="6" t="s">
        <v>33</v>
      </c>
      <c r="D645" s="14">
        <v>37724</v>
      </c>
      <c r="E645" s="8">
        <v>23</v>
      </c>
      <c r="F645" s="6" t="s">
        <v>34</v>
      </c>
      <c r="G645" s="8">
        <v>0</v>
      </c>
      <c r="H645" s="6" t="s">
        <v>35</v>
      </c>
      <c r="I645" s="7" t="s">
        <v>36</v>
      </c>
      <c r="J645" s="7" t="s">
        <v>37</v>
      </c>
      <c r="K645" s="6" t="s">
        <v>38</v>
      </c>
      <c r="L645" s="6" t="s">
        <v>39</v>
      </c>
      <c r="M645" s="7" t="s">
        <v>40</v>
      </c>
      <c r="N645" s="6" t="s">
        <v>41</v>
      </c>
      <c r="O645" s="14">
        <v>45055</v>
      </c>
      <c r="P645" s="6" t="s">
        <v>44</v>
      </c>
      <c r="Q645" s="7" t="s">
        <v>44</v>
      </c>
      <c r="R645" s="6" t="s">
        <v>44</v>
      </c>
      <c r="S645" s="6" t="s">
        <v>56</v>
      </c>
      <c r="T645" s="9">
        <v>28000</v>
      </c>
      <c r="U645" s="9">
        <v>0</v>
      </c>
      <c r="V645" s="8">
        <v>38</v>
      </c>
      <c r="W645" s="8">
        <v>30</v>
      </c>
      <c r="X645" s="6" t="s">
        <v>44</v>
      </c>
      <c r="Y645" s="8">
        <v>0</v>
      </c>
      <c r="Z645" s="8">
        <v>8</v>
      </c>
      <c r="AA645" s="8">
        <v>0</v>
      </c>
      <c r="AB645" s="8">
        <v>0</v>
      </c>
      <c r="AC645" s="8">
        <v>3</v>
      </c>
      <c r="AD645" s="8">
        <v>16</v>
      </c>
      <c r="AE645" s="7" t="s">
        <v>82</v>
      </c>
      <c r="AG645">
        <f t="shared" ca="1" si="30"/>
        <v>3</v>
      </c>
      <c r="AH645" s="23" t="str" cm="1">
        <f t="array" ref="AH645">_xlfn.IFS(E645&gt;49,"50+",E645&gt;39,"40-49",E645&gt;29,"30-39",E645&gt;19,"20-29")</f>
        <v>20-29</v>
      </c>
      <c r="AI645" s="24" t="str" cm="1">
        <f t="array" aca="1" ref="AI645" ca="1">_xlfn.IFS(AG645&gt;10,"10+",AG645&gt;4,"5-10 YIL",AG645&gt;2,"3-5 YIL",AG645&gt;0.9,"1-3 YIL",AG645&lt;1,"0-1 YIL")</f>
        <v>3-5 YIL</v>
      </c>
      <c r="AJ645">
        <f t="shared" si="31"/>
        <v>2023</v>
      </c>
      <c r="AK645" t="e">
        <f t="shared" si="32"/>
        <v>#VALUE!</v>
      </c>
    </row>
    <row r="646" spans="1:37" x14ac:dyDescent="0.3">
      <c r="A646" s="2" t="s">
        <v>1074</v>
      </c>
      <c r="B646" s="3" t="s">
        <v>1075</v>
      </c>
      <c r="C646" s="2" t="s">
        <v>33</v>
      </c>
      <c r="D646" s="13">
        <v>37283</v>
      </c>
      <c r="E646" s="4">
        <v>24</v>
      </c>
      <c r="F646" s="2" t="s">
        <v>34</v>
      </c>
      <c r="G646" s="4">
        <v>0</v>
      </c>
      <c r="H646" s="2" t="s">
        <v>35</v>
      </c>
      <c r="I646" s="3" t="s">
        <v>61</v>
      </c>
      <c r="J646" s="3" t="s">
        <v>62</v>
      </c>
      <c r="K646" s="2" t="s">
        <v>38</v>
      </c>
      <c r="L646" s="2" t="s">
        <v>63</v>
      </c>
      <c r="M646" s="3" t="s">
        <v>64</v>
      </c>
      <c r="N646" s="2" t="s">
        <v>41</v>
      </c>
      <c r="O646" s="13">
        <v>44938</v>
      </c>
      <c r="P646" s="2" t="s">
        <v>44</v>
      </c>
      <c r="Q646" s="3" t="s">
        <v>44</v>
      </c>
      <c r="R646" s="2" t="s">
        <v>44</v>
      </c>
      <c r="S646" s="2" t="s">
        <v>56</v>
      </c>
      <c r="T646" s="5">
        <v>31600</v>
      </c>
      <c r="U646" s="5">
        <v>0</v>
      </c>
      <c r="V646" s="4">
        <v>1</v>
      </c>
      <c r="W646" s="4">
        <v>30</v>
      </c>
      <c r="X646" s="2" t="s">
        <v>44</v>
      </c>
      <c r="Y646" s="4">
        <v>0</v>
      </c>
      <c r="Z646" s="4">
        <v>0</v>
      </c>
      <c r="AA646" s="4">
        <v>0</v>
      </c>
      <c r="AB646" s="4">
        <v>0</v>
      </c>
      <c r="AC646" s="4">
        <v>4</v>
      </c>
      <c r="AD646" s="4">
        <v>23</v>
      </c>
      <c r="AE646" s="3" t="s">
        <v>45</v>
      </c>
      <c r="AG646">
        <f t="shared" ca="1" si="30"/>
        <v>3</v>
      </c>
      <c r="AH646" s="23" t="str" cm="1">
        <f t="array" ref="AH646">_xlfn.IFS(E646&gt;49,"50+",E646&gt;39,"40-49",E646&gt;29,"30-39",E646&gt;19,"20-29")</f>
        <v>20-29</v>
      </c>
      <c r="AI646" s="24" t="str" cm="1">
        <f t="array" aca="1" ref="AI646" ca="1">_xlfn.IFS(AG646&gt;10,"10+",AG646&gt;4,"5-10 YIL",AG646&gt;2,"3-5 YIL",AG646&gt;0.9,"1-3 YIL",AG646&lt;1,"0-1 YIL")</f>
        <v>3-5 YIL</v>
      </c>
      <c r="AJ646">
        <f t="shared" si="31"/>
        <v>2023</v>
      </c>
      <c r="AK646" t="e">
        <f t="shared" si="32"/>
        <v>#VALUE!</v>
      </c>
    </row>
    <row r="647" spans="1:37" x14ac:dyDescent="0.3">
      <c r="A647" s="6" t="s">
        <v>1076</v>
      </c>
      <c r="B647" s="7" t="s">
        <v>1077</v>
      </c>
      <c r="C647" s="6" t="s">
        <v>48</v>
      </c>
      <c r="D647" s="14">
        <v>37866</v>
      </c>
      <c r="E647" s="8">
        <v>23</v>
      </c>
      <c r="F647" s="6" t="s">
        <v>49</v>
      </c>
      <c r="G647" s="8">
        <v>0</v>
      </c>
      <c r="H647" s="6" t="s">
        <v>184</v>
      </c>
      <c r="I647" s="7" t="s">
        <v>36</v>
      </c>
      <c r="J647" s="7" t="s">
        <v>37</v>
      </c>
      <c r="K647" s="6" t="s">
        <v>38</v>
      </c>
      <c r="L647" s="6" t="s">
        <v>39</v>
      </c>
      <c r="M647" s="7" t="s">
        <v>40</v>
      </c>
      <c r="N647" s="6" t="s">
        <v>67</v>
      </c>
      <c r="O647" s="14">
        <v>44776</v>
      </c>
      <c r="P647" s="6" t="s">
        <v>44</v>
      </c>
      <c r="Q647" s="7" t="s">
        <v>44</v>
      </c>
      <c r="R647" s="6" t="s">
        <v>44</v>
      </c>
      <c r="S647" s="6" t="s">
        <v>56</v>
      </c>
      <c r="T647" s="9">
        <v>28200</v>
      </c>
      <c r="U647" s="9">
        <v>0</v>
      </c>
      <c r="V647" s="8">
        <v>42</v>
      </c>
      <c r="W647" s="8">
        <v>25</v>
      </c>
      <c r="X647" s="6" t="s">
        <v>57</v>
      </c>
      <c r="Y647" s="8">
        <v>5</v>
      </c>
      <c r="Z647" s="8">
        <v>3</v>
      </c>
      <c r="AA647" s="8">
        <v>0</v>
      </c>
      <c r="AB647" s="8">
        <v>0</v>
      </c>
      <c r="AC647" s="8">
        <v>2</v>
      </c>
      <c r="AD647" s="8">
        <v>7</v>
      </c>
      <c r="AE647" s="7" t="s">
        <v>45</v>
      </c>
      <c r="AG647">
        <f t="shared" ca="1" si="30"/>
        <v>3</v>
      </c>
      <c r="AH647" s="23" t="str" cm="1">
        <f t="array" ref="AH647">_xlfn.IFS(E647&gt;49,"50+",E647&gt;39,"40-49",E647&gt;29,"30-39",E647&gt;19,"20-29")</f>
        <v>20-29</v>
      </c>
      <c r="AI647" s="24" t="str" cm="1">
        <f t="array" aca="1" ref="AI647" ca="1">_xlfn.IFS(AG647&gt;10,"10+",AG647&gt;4,"5-10 YIL",AG647&gt;2,"3-5 YIL",AG647&gt;0.9,"1-3 YIL",AG647&lt;1,"0-1 YIL")</f>
        <v>3-5 YIL</v>
      </c>
      <c r="AJ647">
        <f t="shared" si="31"/>
        <v>2022</v>
      </c>
      <c r="AK647" t="e">
        <f t="shared" si="32"/>
        <v>#VALUE!</v>
      </c>
    </row>
    <row r="648" spans="1:37" x14ac:dyDescent="0.3">
      <c r="A648" s="2" t="s">
        <v>1078</v>
      </c>
      <c r="B648" s="3" t="s">
        <v>1025</v>
      </c>
      <c r="C648" s="2" t="s">
        <v>48</v>
      </c>
      <c r="D648" s="13">
        <v>34829</v>
      </c>
      <c r="E648" s="4">
        <v>31</v>
      </c>
      <c r="F648" s="2" t="s">
        <v>34</v>
      </c>
      <c r="G648" s="4">
        <v>0</v>
      </c>
      <c r="H648" s="2" t="s">
        <v>35</v>
      </c>
      <c r="I648" s="3" t="s">
        <v>36</v>
      </c>
      <c r="J648" s="3" t="s">
        <v>50</v>
      </c>
      <c r="K648" s="2" t="s">
        <v>51</v>
      </c>
      <c r="L648" s="2" t="s">
        <v>39</v>
      </c>
      <c r="M648" s="3" t="s">
        <v>40</v>
      </c>
      <c r="N648" s="2" t="s">
        <v>41</v>
      </c>
      <c r="O648" s="13">
        <v>44572</v>
      </c>
      <c r="P648" s="2" t="s">
        <v>44</v>
      </c>
      <c r="Q648" s="3" t="s">
        <v>44</v>
      </c>
      <c r="R648" s="2" t="s">
        <v>44</v>
      </c>
      <c r="S648" s="2" t="s">
        <v>56</v>
      </c>
      <c r="T648" s="5">
        <v>39600</v>
      </c>
      <c r="U648" s="5">
        <v>0</v>
      </c>
      <c r="V648" s="4">
        <v>19</v>
      </c>
      <c r="W648" s="4">
        <v>29</v>
      </c>
      <c r="X648" s="2" t="s">
        <v>81</v>
      </c>
      <c r="Y648" s="4">
        <v>0</v>
      </c>
      <c r="Z648" s="4">
        <v>12</v>
      </c>
      <c r="AA648" s="4">
        <v>1</v>
      </c>
      <c r="AB648" s="4">
        <v>0</v>
      </c>
      <c r="AC648" s="4">
        <v>3</v>
      </c>
      <c r="AD648" s="4">
        <v>15</v>
      </c>
      <c r="AE648" s="3" t="s">
        <v>96</v>
      </c>
      <c r="AG648">
        <f t="shared" ca="1" si="30"/>
        <v>4</v>
      </c>
      <c r="AH648" s="23" t="str" cm="1">
        <f t="array" ref="AH648">_xlfn.IFS(E648&gt;49,"50+",E648&gt;39,"40-49",E648&gt;29,"30-39",E648&gt;19,"20-29")</f>
        <v>30-39</v>
      </c>
      <c r="AI648" s="24" t="str" cm="1">
        <f t="array" aca="1" ref="AI648" ca="1">_xlfn.IFS(AG648&gt;10,"10+",AG648&gt;4,"5-10 YIL",AG648&gt;2,"3-5 YIL",AG648&gt;0.9,"1-3 YIL",AG648&lt;1,"0-1 YIL")</f>
        <v>3-5 YIL</v>
      </c>
      <c r="AJ648">
        <f t="shared" si="31"/>
        <v>2022</v>
      </c>
      <c r="AK648" t="e">
        <f t="shared" si="32"/>
        <v>#VALUE!</v>
      </c>
    </row>
    <row r="649" spans="1:37" x14ac:dyDescent="0.3">
      <c r="A649" s="6" t="s">
        <v>1079</v>
      </c>
      <c r="B649" s="7" t="s">
        <v>358</v>
      </c>
      <c r="C649" s="6" t="s">
        <v>33</v>
      </c>
      <c r="D649" s="14">
        <v>31631</v>
      </c>
      <c r="E649" s="8">
        <v>40</v>
      </c>
      <c r="F649" s="6" t="s">
        <v>34</v>
      </c>
      <c r="G649" s="8">
        <v>0</v>
      </c>
      <c r="H649" s="6" t="s">
        <v>35</v>
      </c>
      <c r="I649" s="7" t="s">
        <v>61</v>
      </c>
      <c r="J649" s="7" t="s">
        <v>124</v>
      </c>
      <c r="K649" s="6" t="s">
        <v>79</v>
      </c>
      <c r="L649" s="6" t="s">
        <v>63</v>
      </c>
      <c r="M649" s="7" t="s">
        <v>80</v>
      </c>
      <c r="N649" s="6" t="s">
        <v>41</v>
      </c>
      <c r="O649" s="14">
        <v>41450</v>
      </c>
      <c r="P649" s="6" t="s">
        <v>44</v>
      </c>
      <c r="Q649" s="7" t="s">
        <v>44</v>
      </c>
      <c r="R649" s="6" t="s">
        <v>44</v>
      </c>
      <c r="S649" s="6" t="s">
        <v>56</v>
      </c>
      <c r="T649" s="9">
        <v>109300</v>
      </c>
      <c r="U649" s="9">
        <v>32800</v>
      </c>
      <c r="V649" s="8">
        <v>3</v>
      </c>
      <c r="W649" s="8">
        <v>30</v>
      </c>
      <c r="X649" s="6" t="s">
        <v>44</v>
      </c>
      <c r="Y649" s="8">
        <v>0</v>
      </c>
      <c r="Z649" s="8">
        <v>12</v>
      </c>
      <c r="AA649" s="8">
        <v>0</v>
      </c>
      <c r="AB649" s="8">
        <v>0</v>
      </c>
      <c r="AC649" s="8">
        <v>3</v>
      </c>
      <c r="AD649" s="8">
        <v>8</v>
      </c>
      <c r="AE649" s="7" t="s">
        <v>58</v>
      </c>
      <c r="AG649">
        <f t="shared" ca="1" si="30"/>
        <v>13</v>
      </c>
      <c r="AH649" s="23" t="str" cm="1">
        <f t="array" ref="AH649">_xlfn.IFS(E649&gt;49,"50+",E649&gt;39,"40-49",E649&gt;29,"30-39",E649&gt;19,"20-29")</f>
        <v>40-49</v>
      </c>
      <c r="AI649" s="24" t="str" cm="1">
        <f t="array" aca="1" ref="AI649" ca="1">_xlfn.IFS(AG649&gt;10,"10+",AG649&gt;4,"5-10 YIL",AG649&gt;2,"3-5 YIL",AG649&gt;0.9,"1-3 YIL",AG649&lt;1,"0-1 YIL")</f>
        <v>10+</v>
      </c>
      <c r="AJ649">
        <f t="shared" si="31"/>
        <v>2013</v>
      </c>
      <c r="AK649" t="e">
        <f t="shared" si="32"/>
        <v>#VALUE!</v>
      </c>
    </row>
    <row r="650" spans="1:37" x14ac:dyDescent="0.3">
      <c r="A650" s="2" t="s">
        <v>1080</v>
      </c>
      <c r="B650" s="3" t="s">
        <v>344</v>
      </c>
      <c r="C650" s="2" t="s">
        <v>48</v>
      </c>
      <c r="D650" s="13">
        <v>35463</v>
      </c>
      <c r="E650" s="4">
        <v>29</v>
      </c>
      <c r="F650" s="2" t="s">
        <v>49</v>
      </c>
      <c r="G650" s="4">
        <v>1</v>
      </c>
      <c r="H650" s="2" t="s">
        <v>88</v>
      </c>
      <c r="I650" s="3" t="s">
        <v>61</v>
      </c>
      <c r="J650" s="3" t="s">
        <v>62</v>
      </c>
      <c r="K650" s="2" t="s">
        <v>38</v>
      </c>
      <c r="L650" s="2" t="s">
        <v>63</v>
      </c>
      <c r="M650" s="3" t="s">
        <v>64</v>
      </c>
      <c r="N650" s="2" t="s">
        <v>41</v>
      </c>
      <c r="O650" s="13">
        <v>46034</v>
      </c>
      <c r="P650" s="2" t="s">
        <v>44</v>
      </c>
      <c r="Q650" s="3" t="s">
        <v>44</v>
      </c>
      <c r="R650" s="2" t="s">
        <v>44</v>
      </c>
      <c r="S650" s="2" t="s">
        <v>56</v>
      </c>
      <c r="T650" s="5">
        <v>33200</v>
      </c>
      <c r="U650" s="5">
        <v>4600</v>
      </c>
      <c r="V650" s="4">
        <v>3</v>
      </c>
      <c r="W650" s="4">
        <v>30</v>
      </c>
      <c r="X650" s="2" t="s">
        <v>44</v>
      </c>
      <c r="Y650" s="4">
        <v>0</v>
      </c>
      <c r="Z650" s="4">
        <v>0</v>
      </c>
      <c r="AA650" s="4">
        <v>0</v>
      </c>
      <c r="AB650" s="4">
        <v>0</v>
      </c>
      <c r="AC650" s="4">
        <v>3</v>
      </c>
      <c r="AD650" s="4">
        <v>5</v>
      </c>
      <c r="AE650" s="3" t="s">
        <v>58</v>
      </c>
      <c r="AG650">
        <f t="shared" ca="1" si="30"/>
        <v>0</v>
      </c>
      <c r="AH650" s="23" t="str" cm="1">
        <f t="array" ref="AH650">_xlfn.IFS(E650&gt;49,"50+",E650&gt;39,"40-49",E650&gt;29,"30-39",E650&gt;19,"20-29")</f>
        <v>20-29</v>
      </c>
      <c r="AI650" s="24" t="str" cm="1">
        <f t="array" aca="1" ref="AI650" ca="1">_xlfn.IFS(AG650&gt;10,"10+",AG650&gt;4,"5-10 YIL",AG650&gt;2,"3-5 YIL",AG650&gt;0.9,"1-3 YIL",AG650&lt;1,"0-1 YIL")</f>
        <v>0-1 YIL</v>
      </c>
      <c r="AJ650">
        <f t="shared" si="31"/>
        <v>2026</v>
      </c>
      <c r="AK650" t="e">
        <f t="shared" si="32"/>
        <v>#VALUE!</v>
      </c>
    </row>
    <row r="651" spans="1:37" x14ac:dyDescent="0.3">
      <c r="A651" s="6" t="s">
        <v>1081</v>
      </c>
      <c r="B651" s="7" t="s">
        <v>610</v>
      </c>
      <c r="C651" s="6" t="s">
        <v>33</v>
      </c>
      <c r="D651" s="14">
        <v>35876</v>
      </c>
      <c r="E651" s="8">
        <v>28</v>
      </c>
      <c r="F651" s="6" t="s">
        <v>49</v>
      </c>
      <c r="G651" s="8">
        <v>3</v>
      </c>
      <c r="H651" s="6" t="s">
        <v>85</v>
      </c>
      <c r="I651" s="7" t="s">
        <v>139</v>
      </c>
      <c r="J651" s="7" t="s">
        <v>235</v>
      </c>
      <c r="K651" s="6" t="s">
        <v>38</v>
      </c>
      <c r="L651" s="6" t="s">
        <v>63</v>
      </c>
      <c r="M651" s="7" t="s">
        <v>162</v>
      </c>
      <c r="N651" s="6" t="s">
        <v>67</v>
      </c>
      <c r="O651" s="14">
        <v>45617</v>
      </c>
      <c r="P651" s="6" t="s">
        <v>44</v>
      </c>
      <c r="Q651" s="7" t="s">
        <v>44</v>
      </c>
      <c r="R651" s="6" t="s">
        <v>44</v>
      </c>
      <c r="S651" s="6" t="s">
        <v>56</v>
      </c>
      <c r="T651" s="9">
        <v>50500</v>
      </c>
      <c r="U651" s="9">
        <v>0</v>
      </c>
      <c r="V651" s="8">
        <v>4</v>
      </c>
      <c r="W651" s="8">
        <v>28</v>
      </c>
      <c r="X651" s="6" t="s">
        <v>57</v>
      </c>
      <c r="Y651" s="8">
        <v>2</v>
      </c>
      <c r="Z651" s="8">
        <v>0</v>
      </c>
      <c r="AA651" s="8">
        <v>0</v>
      </c>
      <c r="AB651" s="8">
        <v>0</v>
      </c>
      <c r="AC651" s="8">
        <v>4</v>
      </c>
      <c r="AD651" s="8">
        <v>29</v>
      </c>
      <c r="AE651" s="7" t="s">
        <v>82</v>
      </c>
      <c r="AG651">
        <f t="shared" ca="1" si="30"/>
        <v>1</v>
      </c>
      <c r="AH651" s="23" t="str" cm="1">
        <f t="array" ref="AH651">_xlfn.IFS(E651&gt;49,"50+",E651&gt;39,"40-49",E651&gt;29,"30-39",E651&gt;19,"20-29")</f>
        <v>20-29</v>
      </c>
      <c r="AI651" s="24" t="str" cm="1">
        <f t="array" aca="1" ref="AI651" ca="1">_xlfn.IFS(AG651&gt;10,"10+",AG651&gt;4,"5-10 YIL",AG651&gt;2,"3-5 YIL",AG651&gt;0.9,"1-3 YIL",AG651&lt;1,"0-1 YIL")</f>
        <v>1-3 YIL</v>
      </c>
      <c r="AJ651">
        <f t="shared" si="31"/>
        <v>2024</v>
      </c>
      <c r="AK651" t="e">
        <f t="shared" si="32"/>
        <v>#VALUE!</v>
      </c>
    </row>
    <row r="652" spans="1:37" x14ac:dyDescent="0.3">
      <c r="A652" s="2" t="s">
        <v>1082</v>
      </c>
      <c r="B652" s="3" t="s">
        <v>166</v>
      </c>
      <c r="C652" s="2" t="s">
        <v>48</v>
      </c>
      <c r="D652" s="13">
        <v>36516</v>
      </c>
      <c r="E652" s="4">
        <v>27</v>
      </c>
      <c r="F652" s="2" t="s">
        <v>49</v>
      </c>
      <c r="G652" s="4">
        <v>1</v>
      </c>
      <c r="H652" s="2" t="s">
        <v>88</v>
      </c>
      <c r="I652" s="3" t="s">
        <v>36</v>
      </c>
      <c r="J652" s="3" t="s">
        <v>37</v>
      </c>
      <c r="K652" s="2" t="s">
        <v>38</v>
      </c>
      <c r="L652" s="2" t="s">
        <v>39</v>
      </c>
      <c r="M652" s="3" t="s">
        <v>40</v>
      </c>
      <c r="N652" s="2" t="s">
        <v>67</v>
      </c>
      <c r="O652" s="13">
        <v>45400</v>
      </c>
      <c r="P652" s="2" t="s">
        <v>44</v>
      </c>
      <c r="Q652" s="3" t="s">
        <v>44</v>
      </c>
      <c r="R652" s="2" t="s">
        <v>44</v>
      </c>
      <c r="S652" s="2" t="s">
        <v>56</v>
      </c>
      <c r="T652" s="5">
        <v>28000</v>
      </c>
      <c r="U652" s="5">
        <v>0</v>
      </c>
      <c r="V652" s="4">
        <v>36</v>
      </c>
      <c r="W652" s="4">
        <v>29</v>
      </c>
      <c r="X652" s="2" t="s">
        <v>57</v>
      </c>
      <c r="Y652" s="4">
        <v>1</v>
      </c>
      <c r="Z652" s="4">
        <v>13</v>
      </c>
      <c r="AA652" s="4">
        <v>0</v>
      </c>
      <c r="AB652" s="4">
        <v>0</v>
      </c>
      <c r="AC652" s="4">
        <v>2</v>
      </c>
      <c r="AD652" s="4">
        <v>9</v>
      </c>
      <c r="AE652" s="3" t="s">
        <v>73</v>
      </c>
      <c r="AG652">
        <f t="shared" ca="1" si="30"/>
        <v>2</v>
      </c>
      <c r="AH652" s="23" t="str" cm="1">
        <f t="array" ref="AH652">_xlfn.IFS(E652&gt;49,"50+",E652&gt;39,"40-49",E652&gt;29,"30-39",E652&gt;19,"20-29")</f>
        <v>20-29</v>
      </c>
      <c r="AI652" s="24" t="str" cm="1">
        <f t="array" aca="1" ref="AI652" ca="1">_xlfn.IFS(AG652&gt;10,"10+",AG652&gt;4,"5-10 YIL",AG652&gt;2,"3-5 YIL",AG652&gt;0.9,"1-3 YIL",AG652&lt;1,"0-1 YIL")</f>
        <v>1-3 YIL</v>
      </c>
      <c r="AJ652">
        <f t="shared" si="31"/>
        <v>2024</v>
      </c>
      <c r="AK652" t="e">
        <f t="shared" si="32"/>
        <v>#VALUE!</v>
      </c>
    </row>
    <row r="653" spans="1:37" x14ac:dyDescent="0.3">
      <c r="A653" s="6" t="s">
        <v>1083</v>
      </c>
      <c r="B653" s="7" t="s">
        <v>1084</v>
      </c>
      <c r="C653" s="6" t="s">
        <v>33</v>
      </c>
      <c r="D653" s="14">
        <v>29299</v>
      </c>
      <c r="E653" s="8">
        <v>46</v>
      </c>
      <c r="F653" s="6" t="s">
        <v>34</v>
      </c>
      <c r="G653" s="8">
        <v>0</v>
      </c>
      <c r="H653" s="6" t="s">
        <v>184</v>
      </c>
      <c r="I653" s="7" t="s">
        <v>61</v>
      </c>
      <c r="J653" s="7" t="s">
        <v>107</v>
      </c>
      <c r="K653" s="6" t="s">
        <v>51</v>
      </c>
      <c r="L653" s="6" t="s">
        <v>63</v>
      </c>
      <c r="M653" s="7" t="s">
        <v>64</v>
      </c>
      <c r="N653" s="6" t="s">
        <v>52</v>
      </c>
      <c r="O653" s="14">
        <v>43651</v>
      </c>
      <c r="P653" s="14">
        <v>44420</v>
      </c>
      <c r="Q653" s="7" t="s">
        <v>53</v>
      </c>
      <c r="R653" s="6">
        <v>4</v>
      </c>
      <c r="S653" s="6" t="s">
        <v>43</v>
      </c>
      <c r="T653" s="9">
        <v>62900</v>
      </c>
      <c r="U653" s="9">
        <v>0</v>
      </c>
      <c r="V653" s="8">
        <v>0</v>
      </c>
      <c r="W653" s="8">
        <v>30</v>
      </c>
      <c r="X653" s="6" t="s">
        <v>44</v>
      </c>
      <c r="Y653" s="8">
        <v>0</v>
      </c>
      <c r="Z653" s="8">
        <v>5</v>
      </c>
      <c r="AA653" s="8">
        <v>0</v>
      </c>
      <c r="AB653" s="8">
        <v>0</v>
      </c>
      <c r="AC653" s="8">
        <v>3</v>
      </c>
      <c r="AD653" s="8">
        <v>7</v>
      </c>
      <c r="AE653" s="7" t="s">
        <v>73</v>
      </c>
      <c r="AG653">
        <f t="shared" ca="1" si="30"/>
        <v>6</v>
      </c>
      <c r="AH653" s="23" t="str" cm="1">
        <f t="array" ref="AH653">_xlfn.IFS(E653&gt;49,"50+",E653&gt;39,"40-49",E653&gt;29,"30-39",E653&gt;19,"20-29")</f>
        <v>40-49</v>
      </c>
      <c r="AI653" s="24" t="str" cm="1">
        <f t="array" aca="1" ref="AI653" ca="1">_xlfn.IFS(AG653&gt;10,"10+",AG653&gt;4,"5-10 YIL",AG653&gt;2,"3-5 YIL",AG653&gt;0.9,"1-3 YIL",AG653&lt;1,"0-1 YIL")</f>
        <v>5-10 YIL</v>
      </c>
      <c r="AJ653">
        <f t="shared" si="31"/>
        <v>2019</v>
      </c>
      <c r="AK653">
        <f t="shared" si="32"/>
        <v>2021</v>
      </c>
    </row>
    <row r="654" spans="1:37" x14ac:dyDescent="0.3">
      <c r="A654" s="2" t="s">
        <v>1085</v>
      </c>
      <c r="B654" s="3" t="s">
        <v>1086</v>
      </c>
      <c r="C654" s="2" t="s">
        <v>33</v>
      </c>
      <c r="D654" s="13">
        <v>35448</v>
      </c>
      <c r="E654" s="4">
        <v>29</v>
      </c>
      <c r="F654" s="2" t="s">
        <v>49</v>
      </c>
      <c r="G654" s="4">
        <v>1</v>
      </c>
      <c r="H654" s="2" t="s">
        <v>35</v>
      </c>
      <c r="I654" s="3" t="s">
        <v>148</v>
      </c>
      <c r="J654" s="3" t="s">
        <v>252</v>
      </c>
      <c r="K654" s="2" t="s">
        <v>38</v>
      </c>
      <c r="L654" s="2" t="s">
        <v>63</v>
      </c>
      <c r="M654" s="3" t="s">
        <v>150</v>
      </c>
      <c r="N654" s="2" t="s">
        <v>67</v>
      </c>
      <c r="O654" s="13">
        <v>45949</v>
      </c>
      <c r="P654" s="2" t="s">
        <v>44</v>
      </c>
      <c r="Q654" s="3" t="s">
        <v>44</v>
      </c>
      <c r="R654" s="2" t="s">
        <v>44</v>
      </c>
      <c r="S654" s="2" t="s">
        <v>56</v>
      </c>
      <c r="T654" s="5">
        <v>34000</v>
      </c>
      <c r="U654" s="5">
        <v>0</v>
      </c>
      <c r="V654" s="4">
        <v>7</v>
      </c>
      <c r="W654" s="4">
        <v>30</v>
      </c>
      <c r="X654" s="2" t="s">
        <v>44</v>
      </c>
      <c r="Y654" s="4">
        <v>0</v>
      </c>
      <c r="Z654" s="4">
        <v>0</v>
      </c>
      <c r="AA654" s="4">
        <v>0</v>
      </c>
      <c r="AB654" s="4">
        <v>0</v>
      </c>
      <c r="AC654" s="4">
        <v>3</v>
      </c>
      <c r="AD654" s="4">
        <v>13</v>
      </c>
      <c r="AE654" s="3" t="s">
        <v>58</v>
      </c>
      <c r="AG654">
        <f t="shared" ca="1" si="30"/>
        <v>0</v>
      </c>
      <c r="AH654" s="23" t="str" cm="1">
        <f t="array" ref="AH654">_xlfn.IFS(E654&gt;49,"50+",E654&gt;39,"40-49",E654&gt;29,"30-39",E654&gt;19,"20-29")</f>
        <v>20-29</v>
      </c>
      <c r="AI654" s="24" t="str" cm="1">
        <f t="array" aca="1" ref="AI654" ca="1">_xlfn.IFS(AG654&gt;10,"10+",AG654&gt;4,"5-10 YIL",AG654&gt;2,"3-5 YIL",AG654&gt;0.9,"1-3 YIL",AG654&lt;1,"0-1 YIL")</f>
        <v>0-1 YIL</v>
      </c>
      <c r="AJ654">
        <f t="shared" si="31"/>
        <v>2025</v>
      </c>
      <c r="AK654" t="e">
        <f t="shared" si="32"/>
        <v>#VALUE!</v>
      </c>
    </row>
    <row r="655" spans="1:37" x14ac:dyDescent="0.3">
      <c r="A655" s="6" t="s">
        <v>1087</v>
      </c>
      <c r="B655" s="7" t="s">
        <v>1088</v>
      </c>
      <c r="C655" s="6" t="s">
        <v>48</v>
      </c>
      <c r="D655" s="14">
        <v>29947</v>
      </c>
      <c r="E655" s="8">
        <v>45</v>
      </c>
      <c r="F655" s="6" t="s">
        <v>49</v>
      </c>
      <c r="G655" s="8">
        <v>3</v>
      </c>
      <c r="H655" s="6" t="s">
        <v>85</v>
      </c>
      <c r="I655" s="7" t="s">
        <v>139</v>
      </c>
      <c r="J655" s="7" t="s">
        <v>140</v>
      </c>
      <c r="K655" s="6" t="s">
        <v>79</v>
      </c>
      <c r="L655" s="6" t="s">
        <v>63</v>
      </c>
      <c r="M655" s="7" t="s">
        <v>80</v>
      </c>
      <c r="N655" s="6" t="s">
        <v>41</v>
      </c>
      <c r="O655" s="14">
        <v>41825</v>
      </c>
      <c r="P655" s="6" t="s">
        <v>44</v>
      </c>
      <c r="Q655" s="7" t="s">
        <v>44</v>
      </c>
      <c r="R655" s="6" t="s">
        <v>44</v>
      </c>
      <c r="S655" s="6" t="s">
        <v>56</v>
      </c>
      <c r="T655" s="9">
        <v>125600</v>
      </c>
      <c r="U655" s="9">
        <v>0</v>
      </c>
      <c r="V655" s="8">
        <v>7</v>
      </c>
      <c r="W655" s="8">
        <v>28</v>
      </c>
      <c r="X655" s="6" t="s">
        <v>57</v>
      </c>
      <c r="Y655" s="8">
        <v>2</v>
      </c>
      <c r="Z655" s="8">
        <v>3</v>
      </c>
      <c r="AA655" s="8">
        <v>0</v>
      </c>
      <c r="AB655" s="8">
        <v>0</v>
      </c>
      <c r="AC655" s="8">
        <v>4</v>
      </c>
      <c r="AD655" s="8">
        <v>29</v>
      </c>
      <c r="AE655" s="7" t="s">
        <v>58</v>
      </c>
      <c r="AG655">
        <f t="shared" ca="1" si="30"/>
        <v>11</v>
      </c>
      <c r="AH655" s="23" t="str" cm="1">
        <f t="array" ref="AH655">_xlfn.IFS(E655&gt;49,"50+",E655&gt;39,"40-49",E655&gt;29,"30-39",E655&gt;19,"20-29")</f>
        <v>40-49</v>
      </c>
      <c r="AI655" s="24" t="str" cm="1">
        <f t="array" aca="1" ref="AI655" ca="1">_xlfn.IFS(AG655&gt;10,"10+",AG655&gt;4,"5-10 YIL",AG655&gt;2,"3-5 YIL",AG655&gt;0.9,"1-3 YIL",AG655&lt;1,"0-1 YIL")</f>
        <v>10+</v>
      </c>
      <c r="AJ655">
        <f t="shared" si="31"/>
        <v>2014</v>
      </c>
      <c r="AK655" t="e">
        <f t="shared" si="32"/>
        <v>#VALUE!</v>
      </c>
    </row>
    <row r="656" spans="1:37" x14ac:dyDescent="0.3">
      <c r="A656" s="2" t="s">
        <v>1089</v>
      </c>
      <c r="B656" s="3" t="s">
        <v>1090</v>
      </c>
      <c r="C656" s="2" t="s">
        <v>33</v>
      </c>
      <c r="D656" s="13">
        <v>38099</v>
      </c>
      <c r="E656" s="4">
        <v>22</v>
      </c>
      <c r="F656" s="2" t="s">
        <v>49</v>
      </c>
      <c r="G656" s="4">
        <v>0</v>
      </c>
      <c r="H656" s="2" t="s">
        <v>85</v>
      </c>
      <c r="I656" s="3" t="s">
        <v>70</v>
      </c>
      <c r="J656" s="3" t="s">
        <v>92</v>
      </c>
      <c r="K656" s="2" t="s">
        <v>38</v>
      </c>
      <c r="L656" s="2" t="s">
        <v>63</v>
      </c>
      <c r="M656" s="3" t="s">
        <v>72</v>
      </c>
      <c r="N656" s="2" t="s">
        <v>89</v>
      </c>
      <c r="O656" s="13">
        <v>46168</v>
      </c>
      <c r="P656" s="2" t="s">
        <v>44</v>
      </c>
      <c r="Q656" s="3" t="s">
        <v>44</v>
      </c>
      <c r="R656" s="2" t="s">
        <v>44</v>
      </c>
      <c r="S656" s="2" t="s">
        <v>56</v>
      </c>
      <c r="T656" s="5">
        <v>33600</v>
      </c>
      <c r="U656" s="5">
        <v>0</v>
      </c>
      <c r="V656" s="4">
        <v>7</v>
      </c>
      <c r="W656" s="4">
        <v>30</v>
      </c>
      <c r="X656" s="2" t="s">
        <v>44</v>
      </c>
      <c r="Y656" s="4">
        <v>0</v>
      </c>
      <c r="Z656" s="4">
        <v>0</v>
      </c>
      <c r="AA656" s="4">
        <v>0</v>
      </c>
      <c r="AB656" s="4">
        <v>0</v>
      </c>
      <c r="AC656" s="4">
        <v>2</v>
      </c>
      <c r="AD656" s="4">
        <v>2</v>
      </c>
      <c r="AE656" s="3" t="s">
        <v>45</v>
      </c>
      <c r="AG656">
        <f t="shared" ca="1" si="30"/>
        <v>0</v>
      </c>
      <c r="AH656" s="23" t="str" cm="1">
        <f t="array" ref="AH656">_xlfn.IFS(E656&gt;49,"50+",E656&gt;39,"40-49",E656&gt;29,"30-39",E656&gt;19,"20-29")</f>
        <v>20-29</v>
      </c>
      <c r="AI656" s="24" t="str" cm="1">
        <f t="array" aca="1" ref="AI656" ca="1">_xlfn.IFS(AG656&gt;10,"10+",AG656&gt;4,"5-10 YIL",AG656&gt;2,"3-5 YIL",AG656&gt;0.9,"1-3 YIL",AG656&lt;1,"0-1 YIL")</f>
        <v>0-1 YIL</v>
      </c>
      <c r="AJ656">
        <f t="shared" si="31"/>
        <v>2026</v>
      </c>
      <c r="AK656" t="e">
        <f t="shared" si="32"/>
        <v>#VALUE!</v>
      </c>
    </row>
    <row r="657" spans="1:37" x14ac:dyDescent="0.3">
      <c r="A657" s="6" t="s">
        <v>1091</v>
      </c>
      <c r="B657" s="7" t="s">
        <v>1092</v>
      </c>
      <c r="C657" s="6" t="s">
        <v>33</v>
      </c>
      <c r="D657" s="14">
        <v>37226</v>
      </c>
      <c r="E657" s="8">
        <v>25</v>
      </c>
      <c r="F657" s="6" t="s">
        <v>49</v>
      </c>
      <c r="G657" s="8">
        <v>1</v>
      </c>
      <c r="H657" s="6" t="s">
        <v>35</v>
      </c>
      <c r="I657" s="7" t="s">
        <v>36</v>
      </c>
      <c r="J657" s="7" t="s">
        <v>37</v>
      </c>
      <c r="K657" s="6" t="s">
        <v>38</v>
      </c>
      <c r="L657" s="6" t="s">
        <v>39</v>
      </c>
      <c r="M657" s="7" t="s">
        <v>40</v>
      </c>
      <c r="N657" s="6" t="s">
        <v>89</v>
      </c>
      <c r="O657" s="14">
        <v>45962</v>
      </c>
      <c r="P657" s="14">
        <v>46043</v>
      </c>
      <c r="Q657" s="7" t="s">
        <v>53</v>
      </c>
      <c r="R657" s="6">
        <v>4</v>
      </c>
      <c r="S657" s="6" t="s">
        <v>43</v>
      </c>
      <c r="T657" s="9">
        <v>26200</v>
      </c>
      <c r="U657" s="9">
        <v>0</v>
      </c>
      <c r="V657" s="8">
        <v>31</v>
      </c>
      <c r="W657" s="8">
        <v>28</v>
      </c>
      <c r="X657" s="6" t="s">
        <v>57</v>
      </c>
      <c r="Y657" s="8">
        <v>2</v>
      </c>
      <c r="Z657" s="8">
        <v>0</v>
      </c>
      <c r="AA657" s="8">
        <v>0</v>
      </c>
      <c r="AB657" s="8">
        <v>0</v>
      </c>
      <c r="AC657" s="8">
        <v>3</v>
      </c>
      <c r="AD657" s="8">
        <v>9</v>
      </c>
      <c r="AE657" s="7" t="s">
        <v>73</v>
      </c>
      <c r="AG657">
        <f t="shared" ca="1" si="30"/>
        <v>0</v>
      </c>
      <c r="AH657" s="23" t="str" cm="1">
        <f t="array" ref="AH657">_xlfn.IFS(E657&gt;49,"50+",E657&gt;39,"40-49",E657&gt;29,"30-39",E657&gt;19,"20-29")</f>
        <v>20-29</v>
      </c>
      <c r="AI657" s="24" t="str" cm="1">
        <f t="array" aca="1" ref="AI657" ca="1">_xlfn.IFS(AG657&gt;10,"10+",AG657&gt;4,"5-10 YIL",AG657&gt;2,"3-5 YIL",AG657&gt;0.9,"1-3 YIL",AG657&lt;1,"0-1 YIL")</f>
        <v>0-1 YIL</v>
      </c>
      <c r="AJ657">
        <f t="shared" si="31"/>
        <v>2025</v>
      </c>
      <c r="AK657">
        <f t="shared" si="32"/>
        <v>2026</v>
      </c>
    </row>
    <row r="658" spans="1:37" x14ac:dyDescent="0.3">
      <c r="A658" s="2" t="s">
        <v>1093</v>
      </c>
      <c r="B658" s="3" t="s">
        <v>1010</v>
      </c>
      <c r="C658" s="2" t="s">
        <v>48</v>
      </c>
      <c r="D658" s="13">
        <v>32825</v>
      </c>
      <c r="E658" s="4">
        <v>37</v>
      </c>
      <c r="F658" s="2" t="s">
        <v>49</v>
      </c>
      <c r="G658" s="4">
        <v>0</v>
      </c>
      <c r="H658" s="2" t="s">
        <v>35</v>
      </c>
      <c r="I658" s="3" t="s">
        <v>148</v>
      </c>
      <c r="J658" s="3" t="s">
        <v>149</v>
      </c>
      <c r="K658" s="2" t="s">
        <v>51</v>
      </c>
      <c r="L658" s="2" t="s">
        <v>63</v>
      </c>
      <c r="M658" s="3" t="s">
        <v>150</v>
      </c>
      <c r="N658" s="2" t="s">
        <v>67</v>
      </c>
      <c r="O658" s="13">
        <v>43283</v>
      </c>
      <c r="P658" s="2" t="s">
        <v>44</v>
      </c>
      <c r="Q658" s="3" t="s">
        <v>44</v>
      </c>
      <c r="R658" s="2" t="s">
        <v>44</v>
      </c>
      <c r="S658" s="2" t="s">
        <v>56</v>
      </c>
      <c r="T658" s="5">
        <v>54500</v>
      </c>
      <c r="U658" s="5">
        <v>0</v>
      </c>
      <c r="V658" s="4">
        <v>1</v>
      </c>
      <c r="W658" s="4">
        <v>30</v>
      </c>
      <c r="X658" s="2" t="s">
        <v>44</v>
      </c>
      <c r="Y658" s="4">
        <v>0</v>
      </c>
      <c r="Z658" s="4">
        <v>0</v>
      </c>
      <c r="AA658" s="4">
        <v>0</v>
      </c>
      <c r="AB658" s="4">
        <v>0</v>
      </c>
      <c r="AC658" s="4">
        <v>3</v>
      </c>
      <c r="AD658" s="4">
        <v>17</v>
      </c>
      <c r="AE658" s="3" t="s">
        <v>45</v>
      </c>
      <c r="AG658">
        <f t="shared" ca="1" si="30"/>
        <v>8</v>
      </c>
      <c r="AH658" s="23" t="str" cm="1">
        <f t="array" ref="AH658">_xlfn.IFS(E658&gt;49,"50+",E658&gt;39,"40-49",E658&gt;29,"30-39",E658&gt;19,"20-29")</f>
        <v>30-39</v>
      </c>
      <c r="AI658" s="24" t="str" cm="1">
        <f t="array" aca="1" ref="AI658" ca="1">_xlfn.IFS(AG658&gt;10,"10+",AG658&gt;4,"5-10 YIL",AG658&gt;2,"3-5 YIL",AG658&gt;0.9,"1-3 YIL",AG658&lt;1,"0-1 YIL")</f>
        <v>5-10 YIL</v>
      </c>
      <c r="AJ658">
        <f t="shared" si="31"/>
        <v>2018</v>
      </c>
      <c r="AK658" t="e">
        <f t="shared" si="32"/>
        <v>#VALUE!</v>
      </c>
    </row>
    <row r="659" spans="1:37" x14ac:dyDescent="0.3">
      <c r="A659" s="6" t="s">
        <v>1094</v>
      </c>
      <c r="B659" s="7" t="s">
        <v>1095</v>
      </c>
      <c r="C659" s="6" t="s">
        <v>33</v>
      </c>
      <c r="D659" s="14">
        <v>33768</v>
      </c>
      <c r="E659" s="8">
        <v>34</v>
      </c>
      <c r="F659" s="6" t="s">
        <v>49</v>
      </c>
      <c r="G659" s="8">
        <v>1</v>
      </c>
      <c r="H659" s="6" t="s">
        <v>35</v>
      </c>
      <c r="I659" s="7" t="s">
        <v>36</v>
      </c>
      <c r="J659" s="7" t="s">
        <v>50</v>
      </c>
      <c r="K659" s="6" t="s">
        <v>51</v>
      </c>
      <c r="L659" s="6" t="s">
        <v>39</v>
      </c>
      <c r="M659" s="7" t="s">
        <v>40</v>
      </c>
      <c r="N659" s="6" t="s">
        <v>41</v>
      </c>
      <c r="O659" s="14">
        <v>44755</v>
      </c>
      <c r="P659" s="6" t="s">
        <v>44</v>
      </c>
      <c r="Q659" s="7" t="s">
        <v>44</v>
      </c>
      <c r="R659" s="6" t="s">
        <v>44</v>
      </c>
      <c r="S659" s="6" t="s">
        <v>56</v>
      </c>
      <c r="T659" s="9">
        <v>41800</v>
      </c>
      <c r="U659" s="9">
        <v>0</v>
      </c>
      <c r="V659" s="8">
        <v>43</v>
      </c>
      <c r="W659" s="8">
        <v>30</v>
      </c>
      <c r="X659" s="6" t="s">
        <v>44</v>
      </c>
      <c r="Y659" s="8">
        <v>0</v>
      </c>
      <c r="Z659" s="8">
        <v>4</v>
      </c>
      <c r="AA659" s="8">
        <v>0</v>
      </c>
      <c r="AB659" s="8">
        <v>0</v>
      </c>
      <c r="AC659" s="8">
        <v>2</v>
      </c>
      <c r="AD659" s="8">
        <v>8</v>
      </c>
      <c r="AE659" s="7" t="s">
        <v>73</v>
      </c>
      <c r="AG659">
        <f t="shared" ca="1" si="30"/>
        <v>3</v>
      </c>
      <c r="AH659" s="23" t="str" cm="1">
        <f t="array" ref="AH659">_xlfn.IFS(E659&gt;49,"50+",E659&gt;39,"40-49",E659&gt;29,"30-39",E659&gt;19,"20-29")</f>
        <v>30-39</v>
      </c>
      <c r="AI659" s="24" t="str" cm="1">
        <f t="array" aca="1" ref="AI659" ca="1">_xlfn.IFS(AG659&gt;10,"10+",AG659&gt;4,"5-10 YIL",AG659&gt;2,"3-5 YIL",AG659&gt;0.9,"1-3 YIL",AG659&lt;1,"0-1 YIL")</f>
        <v>3-5 YIL</v>
      </c>
      <c r="AJ659">
        <f t="shared" si="31"/>
        <v>2022</v>
      </c>
      <c r="AK659" t="e">
        <f t="shared" si="32"/>
        <v>#VALUE!</v>
      </c>
    </row>
    <row r="660" spans="1:37" x14ac:dyDescent="0.3">
      <c r="A660" s="2" t="s">
        <v>1096</v>
      </c>
      <c r="B660" s="3" t="s">
        <v>441</v>
      </c>
      <c r="C660" s="2" t="s">
        <v>48</v>
      </c>
      <c r="D660" s="13">
        <v>32875</v>
      </c>
      <c r="E660" s="4">
        <v>36</v>
      </c>
      <c r="F660" s="2" t="s">
        <v>34</v>
      </c>
      <c r="G660" s="4">
        <v>0</v>
      </c>
      <c r="H660" s="2" t="s">
        <v>88</v>
      </c>
      <c r="I660" s="3" t="s">
        <v>139</v>
      </c>
      <c r="J660" s="3" t="s">
        <v>140</v>
      </c>
      <c r="K660" s="2" t="s">
        <v>79</v>
      </c>
      <c r="L660" s="2" t="s">
        <v>63</v>
      </c>
      <c r="M660" s="3" t="s">
        <v>80</v>
      </c>
      <c r="N660" s="2" t="s">
        <v>67</v>
      </c>
      <c r="O660" s="13">
        <v>40549</v>
      </c>
      <c r="P660" s="2" t="s">
        <v>44</v>
      </c>
      <c r="Q660" s="3" t="s">
        <v>44</v>
      </c>
      <c r="R660" s="2" t="s">
        <v>44</v>
      </c>
      <c r="S660" s="2" t="s">
        <v>56</v>
      </c>
      <c r="T660" s="5">
        <v>121200</v>
      </c>
      <c r="U660" s="5">
        <v>0</v>
      </c>
      <c r="V660" s="4">
        <v>7</v>
      </c>
      <c r="W660" s="4">
        <v>20</v>
      </c>
      <c r="X660" s="2" t="s">
        <v>57</v>
      </c>
      <c r="Y660" s="4">
        <v>10</v>
      </c>
      <c r="Z660" s="4">
        <v>9</v>
      </c>
      <c r="AA660" s="4">
        <v>0</v>
      </c>
      <c r="AB660" s="4">
        <v>0</v>
      </c>
      <c r="AC660" s="4">
        <v>4</v>
      </c>
      <c r="AD660" s="4">
        <v>12</v>
      </c>
      <c r="AE660" s="3" t="s">
        <v>45</v>
      </c>
      <c r="AG660">
        <f t="shared" ca="1" si="30"/>
        <v>15</v>
      </c>
      <c r="AH660" s="23" t="str" cm="1">
        <f t="array" ref="AH660">_xlfn.IFS(E660&gt;49,"50+",E660&gt;39,"40-49",E660&gt;29,"30-39",E660&gt;19,"20-29")</f>
        <v>30-39</v>
      </c>
      <c r="AI660" s="24" t="str" cm="1">
        <f t="array" aca="1" ref="AI660" ca="1">_xlfn.IFS(AG660&gt;10,"10+",AG660&gt;4,"5-10 YIL",AG660&gt;2,"3-5 YIL",AG660&gt;0.9,"1-3 YIL",AG660&lt;1,"0-1 YIL")</f>
        <v>10+</v>
      </c>
      <c r="AJ660">
        <f t="shared" si="31"/>
        <v>2011</v>
      </c>
      <c r="AK660" t="e">
        <f t="shared" si="32"/>
        <v>#VALUE!</v>
      </c>
    </row>
    <row r="661" spans="1:37" x14ac:dyDescent="0.3">
      <c r="A661" s="6" t="s">
        <v>1097</v>
      </c>
      <c r="B661" s="7" t="s">
        <v>803</v>
      </c>
      <c r="C661" s="6" t="s">
        <v>48</v>
      </c>
      <c r="D661" s="14">
        <v>35896</v>
      </c>
      <c r="E661" s="8">
        <v>28</v>
      </c>
      <c r="F661" s="6" t="s">
        <v>34</v>
      </c>
      <c r="G661" s="8">
        <v>0</v>
      </c>
      <c r="H661" s="6" t="s">
        <v>88</v>
      </c>
      <c r="I661" s="7" t="s">
        <v>36</v>
      </c>
      <c r="J661" s="7" t="s">
        <v>37</v>
      </c>
      <c r="K661" s="6" t="s">
        <v>38</v>
      </c>
      <c r="L661" s="6" t="s">
        <v>39</v>
      </c>
      <c r="M661" s="7" t="s">
        <v>40</v>
      </c>
      <c r="N661" s="6" t="s">
        <v>52</v>
      </c>
      <c r="O661" s="14">
        <v>45247</v>
      </c>
      <c r="P661" s="6" t="s">
        <v>44</v>
      </c>
      <c r="Q661" s="7" t="s">
        <v>44</v>
      </c>
      <c r="R661" s="6" t="s">
        <v>44</v>
      </c>
      <c r="S661" s="6" t="s">
        <v>56</v>
      </c>
      <c r="T661" s="9">
        <v>25900</v>
      </c>
      <c r="U661" s="9">
        <v>0</v>
      </c>
      <c r="V661" s="8">
        <v>15</v>
      </c>
      <c r="W661" s="8">
        <v>30</v>
      </c>
      <c r="X661" s="6" t="s">
        <v>44</v>
      </c>
      <c r="Y661" s="8">
        <v>0</v>
      </c>
      <c r="Z661" s="8">
        <v>14</v>
      </c>
      <c r="AA661" s="8">
        <v>0</v>
      </c>
      <c r="AB661" s="8">
        <v>0</v>
      </c>
      <c r="AC661" s="8">
        <v>5</v>
      </c>
      <c r="AD661" s="8">
        <v>26</v>
      </c>
      <c r="AE661" s="7" t="s">
        <v>82</v>
      </c>
      <c r="AG661">
        <f t="shared" ca="1" si="30"/>
        <v>2</v>
      </c>
      <c r="AH661" s="23" t="str" cm="1">
        <f t="array" ref="AH661">_xlfn.IFS(E661&gt;49,"50+",E661&gt;39,"40-49",E661&gt;29,"30-39",E661&gt;19,"20-29")</f>
        <v>20-29</v>
      </c>
      <c r="AI661" s="24" t="str" cm="1">
        <f t="array" aca="1" ref="AI661" ca="1">_xlfn.IFS(AG661&gt;10,"10+",AG661&gt;4,"5-10 YIL",AG661&gt;2,"3-5 YIL",AG661&gt;0.9,"1-3 YIL",AG661&lt;1,"0-1 YIL")</f>
        <v>1-3 YIL</v>
      </c>
      <c r="AJ661">
        <f t="shared" si="31"/>
        <v>2023</v>
      </c>
      <c r="AK661" t="e">
        <f t="shared" si="32"/>
        <v>#VALUE!</v>
      </c>
    </row>
    <row r="662" spans="1:37" x14ac:dyDescent="0.3">
      <c r="A662" s="2" t="s">
        <v>1098</v>
      </c>
      <c r="B662" s="3" t="s">
        <v>744</v>
      </c>
      <c r="C662" s="2" t="s">
        <v>33</v>
      </c>
      <c r="D662" s="13">
        <v>37314</v>
      </c>
      <c r="E662" s="4">
        <v>24</v>
      </c>
      <c r="F662" s="2" t="s">
        <v>34</v>
      </c>
      <c r="G662" s="4">
        <v>0</v>
      </c>
      <c r="H662" s="2" t="s">
        <v>88</v>
      </c>
      <c r="I662" s="3" t="s">
        <v>36</v>
      </c>
      <c r="J662" s="3" t="s">
        <v>37</v>
      </c>
      <c r="K662" s="2" t="s">
        <v>38</v>
      </c>
      <c r="L662" s="2" t="s">
        <v>39</v>
      </c>
      <c r="M662" s="3" t="s">
        <v>40</v>
      </c>
      <c r="N662" s="2" t="s">
        <v>41</v>
      </c>
      <c r="O662" s="13">
        <v>44727</v>
      </c>
      <c r="P662" s="2" t="s">
        <v>44</v>
      </c>
      <c r="Q662" s="3" t="s">
        <v>44</v>
      </c>
      <c r="R662" s="2" t="s">
        <v>44</v>
      </c>
      <c r="S662" s="2" t="s">
        <v>56</v>
      </c>
      <c r="T662" s="5">
        <v>27500</v>
      </c>
      <c r="U662" s="5">
        <v>0</v>
      </c>
      <c r="V662" s="4">
        <v>30</v>
      </c>
      <c r="W662" s="4">
        <v>22</v>
      </c>
      <c r="X662" s="2" t="s">
        <v>57</v>
      </c>
      <c r="Y662" s="4">
        <v>5</v>
      </c>
      <c r="Z662" s="4">
        <v>13</v>
      </c>
      <c r="AA662" s="4">
        <v>3</v>
      </c>
      <c r="AB662" s="4">
        <v>0</v>
      </c>
      <c r="AC662" s="4">
        <v>3</v>
      </c>
      <c r="AD662" s="4">
        <v>15</v>
      </c>
      <c r="AE662" s="3" t="s">
        <v>96</v>
      </c>
      <c r="AG662">
        <f t="shared" ca="1" si="30"/>
        <v>4</v>
      </c>
      <c r="AH662" s="23" t="str" cm="1">
        <f t="array" ref="AH662">_xlfn.IFS(E662&gt;49,"50+",E662&gt;39,"40-49",E662&gt;29,"30-39",E662&gt;19,"20-29")</f>
        <v>20-29</v>
      </c>
      <c r="AI662" s="24" t="str" cm="1">
        <f t="array" aca="1" ref="AI662" ca="1">_xlfn.IFS(AG662&gt;10,"10+",AG662&gt;4,"5-10 YIL",AG662&gt;2,"3-5 YIL",AG662&gt;0.9,"1-3 YIL",AG662&lt;1,"0-1 YIL")</f>
        <v>3-5 YIL</v>
      </c>
      <c r="AJ662">
        <f t="shared" si="31"/>
        <v>2022</v>
      </c>
      <c r="AK662" t="e">
        <f t="shared" si="32"/>
        <v>#VALUE!</v>
      </c>
    </row>
    <row r="663" spans="1:37" x14ac:dyDescent="0.3">
      <c r="A663" s="6" t="s">
        <v>1099</v>
      </c>
      <c r="B663" s="7" t="s">
        <v>1100</v>
      </c>
      <c r="C663" s="6" t="s">
        <v>48</v>
      </c>
      <c r="D663" s="14">
        <v>36659</v>
      </c>
      <c r="E663" s="8">
        <v>26</v>
      </c>
      <c r="F663" s="6" t="s">
        <v>49</v>
      </c>
      <c r="G663" s="8">
        <v>3</v>
      </c>
      <c r="H663" s="6" t="s">
        <v>85</v>
      </c>
      <c r="I663" s="7" t="s">
        <v>148</v>
      </c>
      <c r="J663" s="7" t="s">
        <v>252</v>
      </c>
      <c r="K663" s="6" t="s">
        <v>38</v>
      </c>
      <c r="L663" s="6" t="s">
        <v>63</v>
      </c>
      <c r="M663" s="7" t="s">
        <v>150</v>
      </c>
      <c r="N663" s="6" t="s">
        <v>41</v>
      </c>
      <c r="O663" s="14">
        <v>45245</v>
      </c>
      <c r="P663" s="6" t="s">
        <v>44</v>
      </c>
      <c r="Q663" s="7" t="s">
        <v>44</v>
      </c>
      <c r="R663" s="6" t="s">
        <v>44</v>
      </c>
      <c r="S663" s="6" t="s">
        <v>56</v>
      </c>
      <c r="T663" s="9">
        <v>33500</v>
      </c>
      <c r="U663" s="9">
        <v>0</v>
      </c>
      <c r="V663" s="8">
        <v>7</v>
      </c>
      <c r="W663" s="8">
        <v>30</v>
      </c>
      <c r="X663" s="6" t="s">
        <v>44</v>
      </c>
      <c r="Y663" s="8">
        <v>0</v>
      </c>
      <c r="Z663" s="8">
        <v>1</v>
      </c>
      <c r="AA663" s="8">
        <v>0</v>
      </c>
      <c r="AB663" s="8">
        <v>0</v>
      </c>
      <c r="AC663" s="8">
        <v>3</v>
      </c>
      <c r="AD663" s="8">
        <v>7</v>
      </c>
      <c r="AE663" s="7" t="s">
        <v>45</v>
      </c>
      <c r="AG663">
        <f t="shared" ca="1" si="30"/>
        <v>2</v>
      </c>
      <c r="AH663" s="23" t="str" cm="1">
        <f t="array" ref="AH663">_xlfn.IFS(E663&gt;49,"50+",E663&gt;39,"40-49",E663&gt;29,"30-39",E663&gt;19,"20-29")</f>
        <v>20-29</v>
      </c>
      <c r="AI663" s="24" t="str" cm="1">
        <f t="array" aca="1" ref="AI663" ca="1">_xlfn.IFS(AG663&gt;10,"10+",AG663&gt;4,"5-10 YIL",AG663&gt;2,"3-5 YIL",AG663&gt;0.9,"1-3 YIL",AG663&lt;1,"0-1 YIL")</f>
        <v>1-3 YIL</v>
      </c>
      <c r="AJ663">
        <f t="shared" si="31"/>
        <v>2023</v>
      </c>
      <c r="AK663" t="e">
        <f t="shared" si="32"/>
        <v>#VALUE!</v>
      </c>
    </row>
    <row r="664" spans="1:37" x14ac:dyDescent="0.3">
      <c r="A664" s="2" t="s">
        <v>1101</v>
      </c>
      <c r="B664" s="3" t="s">
        <v>493</v>
      </c>
      <c r="C664" s="2" t="s">
        <v>33</v>
      </c>
      <c r="D664" s="13">
        <v>32898</v>
      </c>
      <c r="E664" s="4">
        <v>36</v>
      </c>
      <c r="F664" s="2" t="s">
        <v>49</v>
      </c>
      <c r="G664" s="4">
        <v>2</v>
      </c>
      <c r="H664" s="2" t="s">
        <v>35</v>
      </c>
      <c r="I664" s="3" t="s">
        <v>139</v>
      </c>
      <c r="J664" s="3" t="s">
        <v>161</v>
      </c>
      <c r="K664" s="2" t="s">
        <v>51</v>
      </c>
      <c r="L664" s="2" t="s">
        <v>63</v>
      </c>
      <c r="M664" s="3" t="s">
        <v>162</v>
      </c>
      <c r="N664" s="2" t="s">
        <v>41</v>
      </c>
      <c r="O664" s="13">
        <v>44465</v>
      </c>
      <c r="P664" s="2" t="s">
        <v>44</v>
      </c>
      <c r="Q664" s="3" t="s">
        <v>44</v>
      </c>
      <c r="R664" s="2" t="s">
        <v>44</v>
      </c>
      <c r="S664" s="2" t="s">
        <v>56</v>
      </c>
      <c r="T664" s="5">
        <v>84200</v>
      </c>
      <c r="U664" s="5">
        <v>0</v>
      </c>
      <c r="V664" s="4">
        <v>6</v>
      </c>
      <c r="W664" s="4">
        <v>30</v>
      </c>
      <c r="X664" s="2" t="s">
        <v>44</v>
      </c>
      <c r="Y664" s="4">
        <v>0</v>
      </c>
      <c r="Z664" s="4">
        <v>1</v>
      </c>
      <c r="AA664" s="4">
        <v>0</v>
      </c>
      <c r="AB664" s="4">
        <v>0</v>
      </c>
      <c r="AC664" s="4">
        <v>4</v>
      </c>
      <c r="AD664" s="4">
        <v>23</v>
      </c>
      <c r="AE664" s="3" t="s">
        <v>45</v>
      </c>
      <c r="AG664">
        <f t="shared" ca="1" si="30"/>
        <v>4</v>
      </c>
      <c r="AH664" s="23" t="str" cm="1">
        <f t="array" ref="AH664">_xlfn.IFS(E664&gt;49,"50+",E664&gt;39,"40-49",E664&gt;29,"30-39",E664&gt;19,"20-29")</f>
        <v>30-39</v>
      </c>
      <c r="AI664" s="24" t="str" cm="1">
        <f t="array" aca="1" ref="AI664" ca="1">_xlfn.IFS(AG664&gt;10,"10+",AG664&gt;4,"5-10 YIL",AG664&gt;2,"3-5 YIL",AG664&gt;0.9,"1-3 YIL",AG664&lt;1,"0-1 YIL")</f>
        <v>3-5 YIL</v>
      </c>
      <c r="AJ664">
        <f t="shared" si="31"/>
        <v>2021</v>
      </c>
      <c r="AK664" t="e">
        <f t="shared" si="32"/>
        <v>#VALUE!</v>
      </c>
    </row>
    <row r="665" spans="1:37" x14ac:dyDescent="0.3">
      <c r="A665" s="6" t="s">
        <v>1102</v>
      </c>
      <c r="B665" s="7" t="s">
        <v>307</v>
      </c>
      <c r="C665" s="6" t="s">
        <v>33</v>
      </c>
      <c r="D665" s="14">
        <v>37803</v>
      </c>
      <c r="E665" s="8">
        <v>23</v>
      </c>
      <c r="F665" s="6" t="s">
        <v>49</v>
      </c>
      <c r="G665" s="8">
        <v>1</v>
      </c>
      <c r="H665" s="6" t="s">
        <v>35</v>
      </c>
      <c r="I665" s="7" t="s">
        <v>36</v>
      </c>
      <c r="J665" s="7" t="s">
        <v>37</v>
      </c>
      <c r="K665" s="6" t="s">
        <v>38</v>
      </c>
      <c r="L665" s="6" t="s">
        <v>39</v>
      </c>
      <c r="M665" s="7" t="s">
        <v>40</v>
      </c>
      <c r="N665" s="6" t="s">
        <v>52</v>
      </c>
      <c r="O665" s="14">
        <v>45720</v>
      </c>
      <c r="P665" s="6" t="s">
        <v>44</v>
      </c>
      <c r="Q665" s="7" t="s">
        <v>44</v>
      </c>
      <c r="R665" s="6" t="s">
        <v>44</v>
      </c>
      <c r="S665" s="6" t="s">
        <v>56</v>
      </c>
      <c r="T665" s="9">
        <v>27500</v>
      </c>
      <c r="U665" s="9">
        <v>0</v>
      </c>
      <c r="V665" s="8">
        <v>19</v>
      </c>
      <c r="W665" s="8">
        <v>27</v>
      </c>
      <c r="X665" s="6" t="s">
        <v>57</v>
      </c>
      <c r="Y665" s="8">
        <v>2</v>
      </c>
      <c r="Z665" s="8">
        <v>8</v>
      </c>
      <c r="AA665" s="8">
        <v>1</v>
      </c>
      <c r="AB665" s="8">
        <v>0</v>
      </c>
      <c r="AC665" s="8">
        <v>4</v>
      </c>
      <c r="AD665" s="8">
        <v>39</v>
      </c>
      <c r="AE665" s="7" t="s">
        <v>45</v>
      </c>
      <c r="AG665">
        <f t="shared" ca="1" si="30"/>
        <v>1</v>
      </c>
      <c r="AH665" s="23" t="str" cm="1">
        <f t="array" ref="AH665">_xlfn.IFS(E665&gt;49,"50+",E665&gt;39,"40-49",E665&gt;29,"30-39",E665&gt;19,"20-29")</f>
        <v>20-29</v>
      </c>
      <c r="AI665" s="24" t="str" cm="1">
        <f t="array" aca="1" ref="AI665" ca="1">_xlfn.IFS(AG665&gt;10,"10+",AG665&gt;4,"5-10 YIL",AG665&gt;2,"3-5 YIL",AG665&gt;0.9,"1-3 YIL",AG665&lt;1,"0-1 YIL")</f>
        <v>1-3 YIL</v>
      </c>
      <c r="AJ665">
        <f t="shared" si="31"/>
        <v>2025</v>
      </c>
      <c r="AK665" t="e">
        <f t="shared" si="32"/>
        <v>#VALUE!</v>
      </c>
    </row>
    <row r="666" spans="1:37" x14ac:dyDescent="0.3">
      <c r="A666" s="2" t="s">
        <v>1103</v>
      </c>
      <c r="B666" s="3" t="s">
        <v>1104</v>
      </c>
      <c r="C666" s="2" t="s">
        <v>33</v>
      </c>
      <c r="D666" s="13">
        <v>37160</v>
      </c>
      <c r="E666" s="4">
        <v>25</v>
      </c>
      <c r="F666" s="2" t="s">
        <v>34</v>
      </c>
      <c r="G666" s="4">
        <v>0</v>
      </c>
      <c r="H666" s="2" t="s">
        <v>35</v>
      </c>
      <c r="I666" s="3" t="s">
        <v>139</v>
      </c>
      <c r="J666" s="3" t="s">
        <v>235</v>
      </c>
      <c r="K666" s="2" t="s">
        <v>38</v>
      </c>
      <c r="L666" s="2" t="s">
        <v>63</v>
      </c>
      <c r="M666" s="3" t="s">
        <v>162</v>
      </c>
      <c r="N666" s="2" t="s">
        <v>89</v>
      </c>
      <c r="O666" s="13">
        <v>45522</v>
      </c>
      <c r="P666" s="2" t="s">
        <v>44</v>
      </c>
      <c r="Q666" s="3" t="s">
        <v>44</v>
      </c>
      <c r="R666" s="2" t="s">
        <v>44</v>
      </c>
      <c r="S666" s="2" t="s">
        <v>56</v>
      </c>
      <c r="T666" s="5">
        <v>45200</v>
      </c>
      <c r="U666" s="5">
        <v>0</v>
      </c>
      <c r="V666" s="4">
        <v>7</v>
      </c>
      <c r="W666" s="4">
        <v>27</v>
      </c>
      <c r="X666" s="2" t="s">
        <v>57</v>
      </c>
      <c r="Y666" s="4">
        <v>3</v>
      </c>
      <c r="Z666" s="4">
        <v>2</v>
      </c>
      <c r="AA666" s="4">
        <v>0</v>
      </c>
      <c r="AB666" s="4">
        <v>0</v>
      </c>
      <c r="AC666" s="4">
        <v>2</v>
      </c>
      <c r="AD666" s="4">
        <v>17</v>
      </c>
      <c r="AE666" s="3" t="s">
        <v>45</v>
      </c>
      <c r="AG666">
        <f t="shared" ca="1" si="30"/>
        <v>1</v>
      </c>
      <c r="AH666" s="23" t="str" cm="1">
        <f t="array" ref="AH666">_xlfn.IFS(E666&gt;49,"50+",E666&gt;39,"40-49",E666&gt;29,"30-39",E666&gt;19,"20-29")</f>
        <v>20-29</v>
      </c>
      <c r="AI666" s="24" t="str" cm="1">
        <f t="array" aca="1" ref="AI666" ca="1">_xlfn.IFS(AG666&gt;10,"10+",AG666&gt;4,"5-10 YIL",AG666&gt;2,"3-5 YIL",AG666&gt;0.9,"1-3 YIL",AG666&lt;1,"0-1 YIL")</f>
        <v>1-3 YIL</v>
      </c>
      <c r="AJ666">
        <f t="shared" si="31"/>
        <v>2024</v>
      </c>
      <c r="AK666" t="e">
        <f t="shared" si="32"/>
        <v>#VALUE!</v>
      </c>
    </row>
    <row r="667" spans="1:37" x14ac:dyDescent="0.3">
      <c r="A667" s="6" t="s">
        <v>1105</v>
      </c>
      <c r="B667" s="7" t="s">
        <v>216</v>
      </c>
      <c r="C667" s="6" t="s">
        <v>48</v>
      </c>
      <c r="D667" s="14">
        <v>25991</v>
      </c>
      <c r="E667" s="8">
        <v>55</v>
      </c>
      <c r="F667" s="6" t="s">
        <v>49</v>
      </c>
      <c r="G667" s="8">
        <v>3</v>
      </c>
      <c r="H667" s="6" t="s">
        <v>85</v>
      </c>
      <c r="I667" s="7" t="s">
        <v>61</v>
      </c>
      <c r="J667" s="7" t="s">
        <v>124</v>
      </c>
      <c r="K667" s="6" t="s">
        <v>79</v>
      </c>
      <c r="L667" s="6" t="s">
        <v>63</v>
      </c>
      <c r="M667" s="7" t="s">
        <v>80</v>
      </c>
      <c r="N667" s="6" t="s">
        <v>41</v>
      </c>
      <c r="O667" s="14">
        <v>41564</v>
      </c>
      <c r="P667" s="6" t="s">
        <v>44</v>
      </c>
      <c r="Q667" s="7" t="s">
        <v>44</v>
      </c>
      <c r="R667" s="6" t="s">
        <v>44</v>
      </c>
      <c r="S667" s="6" t="s">
        <v>56</v>
      </c>
      <c r="T667" s="9">
        <v>109600</v>
      </c>
      <c r="U667" s="9">
        <v>0</v>
      </c>
      <c r="V667" s="8">
        <v>3</v>
      </c>
      <c r="W667" s="8">
        <v>30</v>
      </c>
      <c r="X667" s="6" t="s">
        <v>44</v>
      </c>
      <c r="Y667" s="8">
        <v>0</v>
      </c>
      <c r="Z667" s="8">
        <v>0</v>
      </c>
      <c r="AA667" s="8">
        <v>0</v>
      </c>
      <c r="AB667" s="8">
        <v>0</v>
      </c>
      <c r="AC667" s="8">
        <v>3</v>
      </c>
      <c r="AD667" s="8">
        <v>17</v>
      </c>
      <c r="AE667" s="7" t="s">
        <v>45</v>
      </c>
      <c r="AG667">
        <f t="shared" ca="1" si="30"/>
        <v>12</v>
      </c>
      <c r="AH667" s="23" t="str" cm="1">
        <f t="array" ref="AH667">_xlfn.IFS(E667&gt;49,"50+",E667&gt;39,"40-49",E667&gt;29,"30-39",E667&gt;19,"20-29")</f>
        <v>50+</v>
      </c>
      <c r="AI667" s="24" t="str" cm="1">
        <f t="array" aca="1" ref="AI667" ca="1">_xlfn.IFS(AG667&gt;10,"10+",AG667&gt;4,"5-10 YIL",AG667&gt;2,"3-5 YIL",AG667&gt;0.9,"1-3 YIL",AG667&lt;1,"0-1 YIL")</f>
        <v>10+</v>
      </c>
      <c r="AJ667">
        <f t="shared" si="31"/>
        <v>2013</v>
      </c>
      <c r="AK667" t="e">
        <f t="shared" si="32"/>
        <v>#VALUE!</v>
      </c>
    </row>
    <row r="668" spans="1:37" x14ac:dyDescent="0.3">
      <c r="A668" s="2" t="s">
        <v>1106</v>
      </c>
      <c r="B668" s="3" t="s">
        <v>913</v>
      </c>
      <c r="C668" s="2" t="s">
        <v>48</v>
      </c>
      <c r="D668" s="13">
        <v>34470</v>
      </c>
      <c r="E668" s="4">
        <v>32</v>
      </c>
      <c r="F668" s="2" t="s">
        <v>49</v>
      </c>
      <c r="G668" s="4">
        <v>3</v>
      </c>
      <c r="H668" s="2" t="s">
        <v>184</v>
      </c>
      <c r="I668" s="3" t="s">
        <v>139</v>
      </c>
      <c r="J668" s="3" t="s">
        <v>161</v>
      </c>
      <c r="K668" s="2" t="s">
        <v>51</v>
      </c>
      <c r="L668" s="2" t="s">
        <v>63</v>
      </c>
      <c r="M668" s="3" t="s">
        <v>162</v>
      </c>
      <c r="N668" s="2" t="s">
        <v>41</v>
      </c>
      <c r="O668" s="13">
        <v>42474</v>
      </c>
      <c r="P668" s="2" t="s">
        <v>44</v>
      </c>
      <c r="Q668" s="3" t="s">
        <v>44</v>
      </c>
      <c r="R668" s="2" t="s">
        <v>44</v>
      </c>
      <c r="S668" s="2" t="s">
        <v>56</v>
      </c>
      <c r="T668" s="5">
        <v>85100</v>
      </c>
      <c r="U668" s="5">
        <v>0</v>
      </c>
      <c r="V668" s="4">
        <v>8</v>
      </c>
      <c r="W668" s="4">
        <v>30</v>
      </c>
      <c r="X668" s="2" t="s">
        <v>44</v>
      </c>
      <c r="Y668" s="4">
        <v>0</v>
      </c>
      <c r="Z668" s="4">
        <v>0</v>
      </c>
      <c r="AA668" s="4">
        <v>0</v>
      </c>
      <c r="AB668" s="4">
        <v>0</v>
      </c>
      <c r="AC668" s="4">
        <v>3</v>
      </c>
      <c r="AD668" s="4">
        <v>9</v>
      </c>
      <c r="AE668" s="3" t="s">
        <v>73</v>
      </c>
      <c r="AG668">
        <f t="shared" ca="1" si="30"/>
        <v>10</v>
      </c>
      <c r="AH668" s="23" t="str" cm="1">
        <f t="array" ref="AH668">_xlfn.IFS(E668&gt;49,"50+",E668&gt;39,"40-49",E668&gt;29,"30-39",E668&gt;19,"20-29")</f>
        <v>30-39</v>
      </c>
      <c r="AI668" s="24" t="str" cm="1">
        <f t="array" aca="1" ref="AI668" ca="1">_xlfn.IFS(AG668&gt;10,"10+",AG668&gt;4,"5-10 YIL",AG668&gt;2,"3-5 YIL",AG668&gt;0.9,"1-3 YIL",AG668&lt;1,"0-1 YIL")</f>
        <v>5-10 YIL</v>
      </c>
      <c r="AJ668">
        <f t="shared" si="31"/>
        <v>2016</v>
      </c>
      <c r="AK668" t="e">
        <f t="shared" si="32"/>
        <v>#VALUE!</v>
      </c>
    </row>
    <row r="669" spans="1:37" x14ac:dyDescent="0.3">
      <c r="A669" s="6" t="s">
        <v>1107</v>
      </c>
      <c r="B669" s="7" t="s">
        <v>242</v>
      </c>
      <c r="C669" s="6" t="s">
        <v>48</v>
      </c>
      <c r="D669" s="14">
        <v>34561</v>
      </c>
      <c r="E669" s="8">
        <v>32</v>
      </c>
      <c r="F669" s="6" t="s">
        <v>49</v>
      </c>
      <c r="G669" s="8">
        <v>0</v>
      </c>
      <c r="H669" s="6" t="s">
        <v>35</v>
      </c>
      <c r="I669" s="7" t="s">
        <v>61</v>
      </c>
      <c r="J669" s="7" t="s">
        <v>107</v>
      </c>
      <c r="K669" s="6" t="s">
        <v>51</v>
      </c>
      <c r="L669" s="6" t="s">
        <v>63</v>
      </c>
      <c r="M669" s="7" t="s">
        <v>64</v>
      </c>
      <c r="N669" s="6" t="s">
        <v>89</v>
      </c>
      <c r="O669" s="14">
        <v>43047</v>
      </c>
      <c r="P669" s="6" t="s">
        <v>44</v>
      </c>
      <c r="Q669" s="7" t="s">
        <v>44</v>
      </c>
      <c r="R669" s="6" t="s">
        <v>44</v>
      </c>
      <c r="S669" s="6" t="s">
        <v>56</v>
      </c>
      <c r="T669" s="9">
        <v>62000</v>
      </c>
      <c r="U669" s="9">
        <v>0</v>
      </c>
      <c r="V669" s="8">
        <v>0</v>
      </c>
      <c r="W669" s="8">
        <v>27</v>
      </c>
      <c r="X669" s="6" t="s">
        <v>57</v>
      </c>
      <c r="Y669" s="8">
        <v>3</v>
      </c>
      <c r="Z669" s="8">
        <v>7</v>
      </c>
      <c r="AA669" s="8">
        <v>0</v>
      </c>
      <c r="AB669" s="8">
        <v>0</v>
      </c>
      <c r="AC669" s="8">
        <v>5</v>
      </c>
      <c r="AD669" s="8">
        <v>39</v>
      </c>
      <c r="AE669" s="7" t="s">
        <v>45</v>
      </c>
      <c r="AG669">
        <f t="shared" ca="1" si="30"/>
        <v>8</v>
      </c>
      <c r="AH669" s="23" t="str" cm="1">
        <f t="array" ref="AH669">_xlfn.IFS(E669&gt;49,"50+",E669&gt;39,"40-49",E669&gt;29,"30-39",E669&gt;19,"20-29")</f>
        <v>30-39</v>
      </c>
      <c r="AI669" s="24" t="str" cm="1">
        <f t="array" aca="1" ref="AI669" ca="1">_xlfn.IFS(AG669&gt;10,"10+",AG669&gt;4,"5-10 YIL",AG669&gt;2,"3-5 YIL",AG669&gt;0.9,"1-3 YIL",AG669&lt;1,"0-1 YIL")</f>
        <v>5-10 YIL</v>
      </c>
      <c r="AJ669">
        <f t="shared" si="31"/>
        <v>2017</v>
      </c>
      <c r="AK669" t="e">
        <f t="shared" si="32"/>
        <v>#VALUE!</v>
      </c>
    </row>
    <row r="670" spans="1:37" x14ac:dyDescent="0.3">
      <c r="A670" s="2" t="s">
        <v>1108</v>
      </c>
      <c r="B670" s="3" t="s">
        <v>1033</v>
      </c>
      <c r="C670" s="2" t="s">
        <v>48</v>
      </c>
      <c r="D670" s="13">
        <v>37181</v>
      </c>
      <c r="E670" s="4">
        <v>25</v>
      </c>
      <c r="F670" s="2" t="s">
        <v>34</v>
      </c>
      <c r="G670" s="4">
        <v>0</v>
      </c>
      <c r="H670" s="2" t="s">
        <v>35</v>
      </c>
      <c r="I670" s="3" t="s">
        <v>36</v>
      </c>
      <c r="J670" s="3" t="s">
        <v>37</v>
      </c>
      <c r="K670" s="2" t="s">
        <v>38</v>
      </c>
      <c r="L670" s="2" t="s">
        <v>39</v>
      </c>
      <c r="M670" s="3" t="s">
        <v>40</v>
      </c>
      <c r="N670" s="2" t="s">
        <v>41</v>
      </c>
      <c r="O670" s="13">
        <v>45462</v>
      </c>
      <c r="P670" s="2" t="s">
        <v>44</v>
      </c>
      <c r="Q670" s="3" t="s">
        <v>44</v>
      </c>
      <c r="R670" s="2" t="s">
        <v>44</v>
      </c>
      <c r="S670" s="2" t="s">
        <v>56</v>
      </c>
      <c r="T670" s="5">
        <v>28200</v>
      </c>
      <c r="U670" s="5">
        <v>0</v>
      </c>
      <c r="V670" s="4">
        <v>25</v>
      </c>
      <c r="W670" s="4">
        <v>28</v>
      </c>
      <c r="X670" s="2" t="s">
        <v>57</v>
      </c>
      <c r="Y670" s="4">
        <v>1</v>
      </c>
      <c r="Z670" s="4">
        <v>9</v>
      </c>
      <c r="AA670" s="4">
        <v>0</v>
      </c>
      <c r="AB670" s="4">
        <v>1</v>
      </c>
      <c r="AC670" s="4">
        <v>2</v>
      </c>
      <c r="AD670" s="4">
        <v>13</v>
      </c>
      <c r="AE670" s="3" t="s">
        <v>45</v>
      </c>
      <c r="AG670">
        <f t="shared" ca="1" si="30"/>
        <v>2</v>
      </c>
      <c r="AH670" s="23" t="str" cm="1">
        <f t="array" ref="AH670">_xlfn.IFS(E670&gt;49,"50+",E670&gt;39,"40-49",E670&gt;29,"30-39",E670&gt;19,"20-29")</f>
        <v>20-29</v>
      </c>
      <c r="AI670" s="24" t="str" cm="1">
        <f t="array" aca="1" ref="AI670" ca="1">_xlfn.IFS(AG670&gt;10,"10+",AG670&gt;4,"5-10 YIL",AG670&gt;2,"3-5 YIL",AG670&gt;0.9,"1-3 YIL",AG670&lt;1,"0-1 YIL")</f>
        <v>1-3 YIL</v>
      </c>
      <c r="AJ670">
        <f t="shared" si="31"/>
        <v>2024</v>
      </c>
      <c r="AK670" t="e">
        <f t="shared" si="32"/>
        <v>#VALUE!</v>
      </c>
    </row>
    <row r="671" spans="1:37" x14ac:dyDescent="0.3">
      <c r="A671" s="6" t="s">
        <v>1109</v>
      </c>
      <c r="B671" s="7" t="s">
        <v>855</v>
      </c>
      <c r="C671" s="6" t="s">
        <v>48</v>
      </c>
      <c r="D671" s="14">
        <v>37648</v>
      </c>
      <c r="E671" s="8">
        <v>23</v>
      </c>
      <c r="F671" s="6" t="s">
        <v>34</v>
      </c>
      <c r="G671" s="8">
        <v>0</v>
      </c>
      <c r="H671" s="6" t="s">
        <v>35</v>
      </c>
      <c r="I671" s="7" t="s">
        <v>36</v>
      </c>
      <c r="J671" s="7" t="s">
        <v>37</v>
      </c>
      <c r="K671" s="6" t="s">
        <v>38</v>
      </c>
      <c r="L671" s="6" t="s">
        <v>39</v>
      </c>
      <c r="M671" s="7" t="s">
        <v>40</v>
      </c>
      <c r="N671" s="6" t="s">
        <v>41</v>
      </c>
      <c r="O671" s="14">
        <v>45271</v>
      </c>
      <c r="P671" s="6" t="s">
        <v>44</v>
      </c>
      <c r="Q671" s="7" t="s">
        <v>44</v>
      </c>
      <c r="R671" s="6" t="s">
        <v>44</v>
      </c>
      <c r="S671" s="6" t="s">
        <v>56</v>
      </c>
      <c r="T671" s="9">
        <v>28200</v>
      </c>
      <c r="U671" s="9">
        <v>0</v>
      </c>
      <c r="V671" s="8">
        <v>44</v>
      </c>
      <c r="W671" s="8">
        <v>30</v>
      </c>
      <c r="X671" s="6" t="s">
        <v>44</v>
      </c>
      <c r="Y671" s="8">
        <v>0</v>
      </c>
      <c r="Z671" s="8">
        <v>0</v>
      </c>
      <c r="AA671" s="8">
        <v>0</v>
      </c>
      <c r="AB671" s="8">
        <v>0</v>
      </c>
      <c r="AC671" s="8">
        <v>4</v>
      </c>
      <c r="AD671" s="8">
        <v>27</v>
      </c>
      <c r="AE671" s="7" t="s">
        <v>45</v>
      </c>
      <c r="AG671">
        <f t="shared" ca="1" si="30"/>
        <v>2</v>
      </c>
      <c r="AH671" s="23" t="str" cm="1">
        <f t="array" ref="AH671">_xlfn.IFS(E671&gt;49,"50+",E671&gt;39,"40-49",E671&gt;29,"30-39",E671&gt;19,"20-29")</f>
        <v>20-29</v>
      </c>
      <c r="AI671" s="24" t="str" cm="1">
        <f t="array" aca="1" ref="AI671" ca="1">_xlfn.IFS(AG671&gt;10,"10+",AG671&gt;4,"5-10 YIL",AG671&gt;2,"3-5 YIL",AG671&gt;0.9,"1-3 YIL",AG671&lt;1,"0-1 YIL")</f>
        <v>1-3 YIL</v>
      </c>
      <c r="AJ671">
        <f t="shared" si="31"/>
        <v>2023</v>
      </c>
      <c r="AK671" t="e">
        <f t="shared" si="32"/>
        <v>#VALUE!</v>
      </c>
    </row>
    <row r="672" spans="1:37" x14ac:dyDescent="0.3">
      <c r="A672" s="2" t="s">
        <v>1110</v>
      </c>
      <c r="B672" s="3" t="s">
        <v>905</v>
      </c>
      <c r="C672" s="2" t="s">
        <v>33</v>
      </c>
      <c r="D672" s="13">
        <v>32073</v>
      </c>
      <c r="E672" s="4">
        <v>39</v>
      </c>
      <c r="F672" s="2" t="s">
        <v>34</v>
      </c>
      <c r="G672" s="4">
        <v>0</v>
      </c>
      <c r="H672" s="2" t="s">
        <v>35</v>
      </c>
      <c r="I672" s="3" t="s">
        <v>70</v>
      </c>
      <c r="J672" s="3" t="s">
        <v>71</v>
      </c>
      <c r="K672" s="2" t="s">
        <v>51</v>
      </c>
      <c r="L672" s="2" t="s">
        <v>63</v>
      </c>
      <c r="M672" s="3" t="s">
        <v>72</v>
      </c>
      <c r="N672" s="2" t="s">
        <v>41</v>
      </c>
      <c r="O672" s="13">
        <v>42980</v>
      </c>
      <c r="P672" s="2" t="s">
        <v>44</v>
      </c>
      <c r="Q672" s="3" t="s">
        <v>44</v>
      </c>
      <c r="R672" s="2" t="s">
        <v>44</v>
      </c>
      <c r="S672" s="2" t="s">
        <v>56</v>
      </c>
      <c r="T672" s="5">
        <v>63200</v>
      </c>
      <c r="U672" s="5">
        <v>5100</v>
      </c>
      <c r="V672" s="4">
        <v>7</v>
      </c>
      <c r="W672" s="4">
        <v>29</v>
      </c>
      <c r="X672" s="2" t="s">
        <v>57</v>
      </c>
      <c r="Y672" s="4">
        <v>1</v>
      </c>
      <c r="Z672" s="4">
        <v>8</v>
      </c>
      <c r="AA672" s="4">
        <v>0</v>
      </c>
      <c r="AB672" s="4">
        <v>0</v>
      </c>
      <c r="AC672" s="4">
        <v>4</v>
      </c>
      <c r="AD672" s="4">
        <v>38</v>
      </c>
      <c r="AE672" s="3" t="s">
        <v>45</v>
      </c>
      <c r="AG672">
        <f t="shared" ca="1" si="30"/>
        <v>8</v>
      </c>
      <c r="AH672" s="23" t="str" cm="1">
        <f t="array" ref="AH672">_xlfn.IFS(E672&gt;49,"50+",E672&gt;39,"40-49",E672&gt;29,"30-39",E672&gt;19,"20-29")</f>
        <v>30-39</v>
      </c>
      <c r="AI672" s="24" t="str" cm="1">
        <f t="array" aca="1" ref="AI672" ca="1">_xlfn.IFS(AG672&gt;10,"10+",AG672&gt;4,"5-10 YIL",AG672&gt;2,"3-5 YIL",AG672&gt;0.9,"1-3 YIL",AG672&lt;1,"0-1 YIL")</f>
        <v>5-10 YIL</v>
      </c>
      <c r="AJ672">
        <f t="shared" si="31"/>
        <v>2017</v>
      </c>
      <c r="AK672" t="e">
        <f t="shared" si="32"/>
        <v>#VALUE!</v>
      </c>
    </row>
    <row r="673" spans="1:37" x14ac:dyDescent="0.3">
      <c r="A673" s="6" t="s">
        <v>1111</v>
      </c>
      <c r="B673" s="7" t="s">
        <v>849</v>
      </c>
      <c r="C673" s="6" t="s">
        <v>48</v>
      </c>
      <c r="D673" s="14">
        <v>29178</v>
      </c>
      <c r="E673" s="8">
        <v>47</v>
      </c>
      <c r="F673" s="6" t="s">
        <v>34</v>
      </c>
      <c r="G673" s="8">
        <v>0</v>
      </c>
      <c r="H673" s="6" t="s">
        <v>35</v>
      </c>
      <c r="I673" s="7" t="s">
        <v>70</v>
      </c>
      <c r="J673" s="7" t="s">
        <v>71</v>
      </c>
      <c r="K673" s="6" t="s">
        <v>51</v>
      </c>
      <c r="L673" s="6" t="s">
        <v>63</v>
      </c>
      <c r="M673" s="7" t="s">
        <v>72</v>
      </c>
      <c r="N673" s="6" t="s">
        <v>41</v>
      </c>
      <c r="O673" s="14">
        <v>44924</v>
      </c>
      <c r="P673" s="14">
        <v>45080</v>
      </c>
      <c r="Q673" s="7" t="s">
        <v>121</v>
      </c>
      <c r="R673" s="6">
        <v>17</v>
      </c>
      <c r="S673" s="6" t="s">
        <v>43</v>
      </c>
      <c r="T673" s="9">
        <v>63300</v>
      </c>
      <c r="U673" s="9">
        <v>0</v>
      </c>
      <c r="V673" s="8">
        <v>4</v>
      </c>
      <c r="W673" s="8">
        <v>30</v>
      </c>
      <c r="X673" s="6" t="s">
        <v>44</v>
      </c>
      <c r="Y673" s="8">
        <v>0</v>
      </c>
      <c r="Z673" s="8">
        <v>10</v>
      </c>
      <c r="AA673" s="8">
        <v>0</v>
      </c>
      <c r="AB673" s="8">
        <v>0</v>
      </c>
      <c r="AC673" s="8">
        <v>3</v>
      </c>
      <c r="AD673" s="8">
        <v>9</v>
      </c>
      <c r="AE673" s="7" t="s">
        <v>58</v>
      </c>
      <c r="AG673">
        <f t="shared" ca="1" si="30"/>
        <v>3</v>
      </c>
      <c r="AH673" s="23" t="str" cm="1">
        <f t="array" ref="AH673">_xlfn.IFS(E673&gt;49,"50+",E673&gt;39,"40-49",E673&gt;29,"30-39",E673&gt;19,"20-29")</f>
        <v>40-49</v>
      </c>
      <c r="AI673" s="24" t="str" cm="1">
        <f t="array" aca="1" ref="AI673" ca="1">_xlfn.IFS(AG673&gt;10,"10+",AG673&gt;4,"5-10 YIL",AG673&gt;2,"3-5 YIL",AG673&gt;0.9,"1-3 YIL",AG673&lt;1,"0-1 YIL")</f>
        <v>3-5 YIL</v>
      </c>
      <c r="AJ673">
        <f t="shared" si="31"/>
        <v>2022</v>
      </c>
      <c r="AK673">
        <f t="shared" si="32"/>
        <v>2023</v>
      </c>
    </row>
    <row r="674" spans="1:37" x14ac:dyDescent="0.3">
      <c r="A674" s="2" t="s">
        <v>1112</v>
      </c>
      <c r="B674" s="3" t="s">
        <v>154</v>
      </c>
      <c r="C674" s="2" t="s">
        <v>48</v>
      </c>
      <c r="D674" s="13">
        <v>25676</v>
      </c>
      <c r="E674" s="4">
        <v>56</v>
      </c>
      <c r="F674" s="2" t="s">
        <v>34</v>
      </c>
      <c r="G674" s="4">
        <v>0</v>
      </c>
      <c r="H674" s="2" t="s">
        <v>35</v>
      </c>
      <c r="I674" s="3" t="s">
        <v>139</v>
      </c>
      <c r="J674" s="3" t="s">
        <v>140</v>
      </c>
      <c r="K674" s="2" t="s">
        <v>79</v>
      </c>
      <c r="L674" s="2" t="s">
        <v>63</v>
      </c>
      <c r="M674" s="3" t="s">
        <v>80</v>
      </c>
      <c r="N674" s="2" t="s">
        <v>67</v>
      </c>
      <c r="O674" s="13">
        <v>43750</v>
      </c>
      <c r="P674" s="2" t="s">
        <v>44</v>
      </c>
      <c r="Q674" s="3" t="s">
        <v>44</v>
      </c>
      <c r="R674" s="2" t="s">
        <v>44</v>
      </c>
      <c r="S674" s="2" t="s">
        <v>56</v>
      </c>
      <c r="T674" s="5">
        <v>123500</v>
      </c>
      <c r="U674" s="5">
        <v>0</v>
      </c>
      <c r="V674" s="4">
        <v>9</v>
      </c>
      <c r="W674" s="4">
        <v>30</v>
      </c>
      <c r="X674" s="2" t="s">
        <v>44</v>
      </c>
      <c r="Y674" s="4">
        <v>0</v>
      </c>
      <c r="Z674" s="4">
        <v>7</v>
      </c>
      <c r="AA674" s="4">
        <v>0</v>
      </c>
      <c r="AB674" s="4">
        <v>0</v>
      </c>
      <c r="AC674" s="4">
        <v>3</v>
      </c>
      <c r="AD674" s="4">
        <v>3</v>
      </c>
      <c r="AE674" s="3" t="s">
        <v>58</v>
      </c>
      <c r="AG674">
        <f t="shared" ca="1" si="30"/>
        <v>6</v>
      </c>
      <c r="AH674" s="23" t="str" cm="1">
        <f t="array" ref="AH674">_xlfn.IFS(E674&gt;49,"50+",E674&gt;39,"40-49",E674&gt;29,"30-39",E674&gt;19,"20-29")</f>
        <v>50+</v>
      </c>
      <c r="AI674" s="24" t="str" cm="1">
        <f t="array" aca="1" ref="AI674" ca="1">_xlfn.IFS(AG674&gt;10,"10+",AG674&gt;4,"5-10 YIL",AG674&gt;2,"3-5 YIL",AG674&gt;0.9,"1-3 YIL",AG674&lt;1,"0-1 YIL")</f>
        <v>5-10 YIL</v>
      </c>
      <c r="AJ674">
        <f t="shared" si="31"/>
        <v>2019</v>
      </c>
      <c r="AK674" t="e">
        <f t="shared" si="32"/>
        <v>#VALUE!</v>
      </c>
    </row>
    <row r="675" spans="1:37" x14ac:dyDescent="0.3">
      <c r="A675" s="6" t="s">
        <v>1113</v>
      </c>
      <c r="B675" s="7" t="s">
        <v>569</v>
      </c>
      <c r="C675" s="6" t="s">
        <v>48</v>
      </c>
      <c r="D675" s="14">
        <v>36589</v>
      </c>
      <c r="E675" s="8">
        <v>26</v>
      </c>
      <c r="F675" s="6" t="s">
        <v>49</v>
      </c>
      <c r="G675" s="8">
        <v>1</v>
      </c>
      <c r="H675" s="6" t="s">
        <v>35</v>
      </c>
      <c r="I675" s="7" t="s">
        <v>36</v>
      </c>
      <c r="J675" s="7" t="s">
        <v>37</v>
      </c>
      <c r="K675" s="6" t="s">
        <v>38</v>
      </c>
      <c r="L675" s="6" t="s">
        <v>39</v>
      </c>
      <c r="M675" s="7" t="s">
        <v>40</v>
      </c>
      <c r="N675" s="6" t="s">
        <v>41</v>
      </c>
      <c r="O675" s="14">
        <v>45202</v>
      </c>
      <c r="P675" s="6" t="s">
        <v>44</v>
      </c>
      <c r="Q675" s="7" t="s">
        <v>44</v>
      </c>
      <c r="R675" s="6" t="s">
        <v>44</v>
      </c>
      <c r="S675" s="6" t="s">
        <v>56</v>
      </c>
      <c r="T675" s="9">
        <v>25700</v>
      </c>
      <c r="U675" s="9">
        <v>0</v>
      </c>
      <c r="V675" s="8">
        <v>21</v>
      </c>
      <c r="W675" s="8">
        <v>27</v>
      </c>
      <c r="X675" s="6" t="s">
        <v>57</v>
      </c>
      <c r="Y675" s="8">
        <v>3</v>
      </c>
      <c r="Z675" s="8">
        <v>2</v>
      </c>
      <c r="AA675" s="8">
        <v>0</v>
      </c>
      <c r="AB675" s="8">
        <v>0</v>
      </c>
      <c r="AC675" s="8">
        <v>3</v>
      </c>
      <c r="AD675" s="8">
        <v>2</v>
      </c>
      <c r="AE675" s="7" t="s">
        <v>73</v>
      </c>
      <c r="AG675">
        <f t="shared" ca="1" si="30"/>
        <v>2</v>
      </c>
      <c r="AH675" s="23" t="str" cm="1">
        <f t="array" ref="AH675">_xlfn.IFS(E675&gt;49,"50+",E675&gt;39,"40-49",E675&gt;29,"30-39",E675&gt;19,"20-29")</f>
        <v>20-29</v>
      </c>
      <c r="AI675" s="24" t="str" cm="1">
        <f t="array" aca="1" ref="AI675" ca="1">_xlfn.IFS(AG675&gt;10,"10+",AG675&gt;4,"5-10 YIL",AG675&gt;2,"3-5 YIL",AG675&gt;0.9,"1-3 YIL",AG675&lt;1,"0-1 YIL")</f>
        <v>1-3 YIL</v>
      </c>
      <c r="AJ675">
        <f t="shared" si="31"/>
        <v>2023</v>
      </c>
      <c r="AK675" t="e">
        <f t="shared" si="32"/>
        <v>#VALUE!</v>
      </c>
    </row>
    <row r="676" spans="1:37" x14ac:dyDescent="0.3">
      <c r="A676" s="2" t="s">
        <v>1114</v>
      </c>
      <c r="B676" s="3" t="s">
        <v>575</v>
      </c>
      <c r="C676" s="2" t="s">
        <v>33</v>
      </c>
      <c r="D676" s="13">
        <v>32703</v>
      </c>
      <c r="E676" s="4">
        <v>37</v>
      </c>
      <c r="F676" s="2" t="s">
        <v>49</v>
      </c>
      <c r="G676" s="4">
        <v>3</v>
      </c>
      <c r="H676" s="2" t="s">
        <v>85</v>
      </c>
      <c r="I676" s="3" t="s">
        <v>36</v>
      </c>
      <c r="J676" s="3" t="s">
        <v>50</v>
      </c>
      <c r="K676" s="2" t="s">
        <v>51</v>
      </c>
      <c r="L676" s="2" t="s">
        <v>39</v>
      </c>
      <c r="M676" s="3" t="s">
        <v>40</v>
      </c>
      <c r="N676" s="2" t="s">
        <v>89</v>
      </c>
      <c r="O676" s="13">
        <v>42146</v>
      </c>
      <c r="P676" s="2" t="s">
        <v>44</v>
      </c>
      <c r="Q676" s="3" t="s">
        <v>44</v>
      </c>
      <c r="R676" s="2" t="s">
        <v>44</v>
      </c>
      <c r="S676" s="2" t="s">
        <v>56</v>
      </c>
      <c r="T676" s="5">
        <v>45700</v>
      </c>
      <c r="U676" s="5">
        <v>0</v>
      </c>
      <c r="V676" s="4">
        <v>39</v>
      </c>
      <c r="W676" s="4">
        <v>29</v>
      </c>
      <c r="X676" s="2" t="s">
        <v>57</v>
      </c>
      <c r="Y676" s="4">
        <v>1</v>
      </c>
      <c r="Z676" s="4">
        <v>4</v>
      </c>
      <c r="AA676" s="4">
        <v>0</v>
      </c>
      <c r="AB676" s="4">
        <v>0</v>
      </c>
      <c r="AC676" s="4">
        <v>3</v>
      </c>
      <c r="AD676" s="4">
        <v>11</v>
      </c>
      <c r="AE676" s="3" t="s">
        <v>58</v>
      </c>
      <c r="AG676">
        <f t="shared" ca="1" si="30"/>
        <v>11</v>
      </c>
      <c r="AH676" s="23" t="str" cm="1">
        <f t="array" ref="AH676">_xlfn.IFS(E676&gt;49,"50+",E676&gt;39,"40-49",E676&gt;29,"30-39",E676&gt;19,"20-29")</f>
        <v>30-39</v>
      </c>
      <c r="AI676" s="24" t="str" cm="1">
        <f t="array" aca="1" ref="AI676" ca="1">_xlfn.IFS(AG676&gt;10,"10+",AG676&gt;4,"5-10 YIL",AG676&gt;2,"3-5 YIL",AG676&gt;0.9,"1-3 YIL",AG676&lt;1,"0-1 YIL")</f>
        <v>10+</v>
      </c>
      <c r="AJ676">
        <f t="shared" si="31"/>
        <v>2015</v>
      </c>
      <c r="AK676" t="e">
        <f t="shared" si="32"/>
        <v>#VALUE!</v>
      </c>
    </row>
    <row r="677" spans="1:37" x14ac:dyDescent="0.3">
      <c r="A677" s="6" t="s">
        <v>1115</v>
      </c>
      <c r="B677" s="7" t="s">
        <v>234</v>
      </c>
      <c r="C677" s="6" t="s">
        <v>33</v>
      </c>
      <c r="D677" s="14">
        <v>36499</v>
      </c>
      <c r="E677" s="8">
        <v>27</v>
      </c>
      <c r="F677" s="6" t="s">
        <v>49</v>
      </c>
      <c r="G677" s="8">
        <v>1</v>
      </c>
      <c r="H677" s="6" t="s">
        <v>85</v>
      </c>
      <c r="I677" s="7" t="s">
        <v>36</v>
      </c>
      <c r="J677" s="7" t="s">
        <v>37</v>
      </c>
      <c r="K677" s="6" t="s">
        <v>38</v>
      </c>
      <c r="L677" s="6" t="s">
        <v>39</v>
      </c>
      <c r="M677" s="7" t="s">
        <v>40</v>
      </c>
      <c r="N677" s="6" t="s">
        <v>89</v>
      </c>
      <c r="O677" s="14">
        <v>45859</v>
      </c>
      <c r="P677" s="14">
        <v>45985</v>
      </c>
      <c r="Q677" s="7" t="s">
        <v>53</v>
      </c>
      <c r="R677" s="6">
        <v>4</v>
      </c>
      <c r="S677" s="6" t="s">
        <v>43</v>
      </c>
      <c r="T677" s="9">
        <v>24500</v>
      </c>
      <c r="U677" s="9">
        <v>0</v>
      </c>
      <c r="V677" s="8">
        <v>34</v>
      </c>
      <c r="W677" s="8">
        <v>28</v>
      </c>
      <c r="X677" s="6" t="s">
        <v>57</v>
      </c>
      <c r="Y677" s="8">
        <v>2</v>
      </c>
      <c r="Z677" s="8">
        <v>0</v>
      </c>
      <c r="AA677" s="8">
        <v>0</v>
      </c>
      <c r="AB677" s="8">
        <v>0</v>
      </c>
      <c r="AC677" s="8">
        <v>4</v>
      </c>
      <c r="AD677" s="8">
        <v>17</v>
      </c>
      <c r="AE677" s="7" t="s">
        <v>45</v>
      </c>
      <c r="AG677">
        <f t="shared" ca="1" si="30"/>
        <v>0</v>
      </c>
      <c r="AH677" s="23" t="str" cm="1">
        <f t="array" ref="AH677">_xlfn.IFS(E677&gt;49,"50+",E677&gt;39,"40-49",E677&gt;29,"30-39",E677&gt;19,"20-29")</f>
        <v>20-29</v>
      </c>
      <c r="AI677" s="24" t="str" cm="1">
        <f t="array" aca="1" ref="AI677" ca="1">_xlfn.IFS(AG677&gt;10,"10+",AG677&gt;4,"5-10 YIL",AG677&gt;2,"3-5 YIL",AG677&gt;0.9,"1-3 YIL",AG677&lt;1,"0-1 YIL")</f>
        <v>0-1 YIL</v>
      </c>
      <c r="AJ677">
        <f t="shared" si="31"/>
        <v>2025</v>
      </c>
      <c r="AK677">
        <f t="shared" si="32"/>
        <v>2025</v>
      </c>
    </row>
    <row r="678" spans="1:37" x14ac:dyDescent="0.3">
      <c r="A678" s="2" t="s">
        <v>1116</v>
      </c>
      <c r="B678" s="3" t="s">
        <v>899</v>
      </c>
      <c r="C678" s="2" t="s">
        <v>48</v>
      </c>
      <c r="D678" s="13">
        <v>36671</v>
      </c>
      <c r="E678" s="4">
        <v>26</v>
      </c>
      <c r="F678" s="2" t="s">
        <v>34</v>
      </c>
      <c r="G678" s="4">
        <v>0</v>
      </c>
      <c r="H678" s="2" t="s">
        <v>35</v>
      </c>
      <c r="I678" s="3" t="s">
        <v>36</v>
      </c>
      <c r="J678" s="3" t="s">
        <v>37</v>
      </c>
      <c r="K678" s="2" t="s">
        <v>38</v>
      </c>
      <c r="L678" s="2" t="s">
        <v>39</v>
      </c>
      <c r="M678" s="3" t="s">
        <v>40</v>
      </c>
      <c r="N678" s="2" t="s">
        <v>67</v>
      </c>
      <c r="O678" s="13">
        <v>45792</v>
      </c>
      <c r="P678" s="2" t="s">
        <v>44</v>
      </c>
      <c r="Q678" s="3" t="s">
        <v>44</v>
      </c>
      <c r="R678" s="2" t="s">
        <v>44</v>
      </c>
      <c r="S678" s="2" t="s">
        <v>56</v>
      </c>
      <c r="T678" s="5">
        <v>28000</v>
      </c>
      <c r="U678" s="5">
        <v>0</v>
      </c>
      <c r="V678" s="4">
        <v>28</v>
      </c>
      <c r="W678" s="4">
        <v>30</v>
      </c>
      <c r="X678" s="2" t="s">
        <v>44</v>
      </c>
      <c r="Y678" s="4">
        <v>0</v>
      </c>
      <c r="Z678" s="4">
        <v>10</v>
      </c>
      <c r="AA678" s="4">
        <v>0</v>
      </c>
      <c r="AB678" s="4">
        <v>0</v>
      </c>
      <c r="AC678" s="4">
        <v>2</v>
      </c>
      <c r="AD678" s="4">
        <v>2</v>
      </c>
      <c r="AE678" s="3" t="s">
        <v>45</v>
      </c>
      <c r="AG678">
        <f t="shared" ca="1" si="30"/>
        <v>1</v>
      </c>
      <c r="AH678" s="23" t="str" cm="1">
        <f t="array" ref="AH678">_xlfn.IFS(E678&gt;49,"50+",E678&gt;39,"40-49",E678&gt;29,"30-39",E678&gt;19,"20-29")</f>
        <v>20-29</v>
      </c>
      <c r="AI678" s="24" t="str" cm="1">
        <f t="array" aca="1" ref="AI678" ca="1">_xlfn.IFS(AG678&gt;10,"10+",AG678&gt;4,"5-10 YIL",AG678&gt;2,"3-5 YIL",AG678&gt;0.9,"1-3 YIL",AG678&lt;1,"0-1 YIL")</f>
        <v>1-3 YIL</v>
      </c>
      <c r="AJ678">
        <f t="shared" si="31"/>
        <v>2025</v>
      </c>
      <c r="AK678" t="e">
        <f t="shared" si="32"/>
        <v>#VALUE!</v>
      </c>
    </row>
    <row r="679" spans="1:37" x14ac:dyDescent="0.3">
      <c r="A679" s="6" t="s">
        <v>1117</v>
      </c>
      <c r="B679" s="7" t="s">
        <v>1118</v>
      </c>
      <c r="C679" s="6" t="s">
        <v>48</v>
      </c>
      <c r="D679" s="14">
        <v>37354</v>
      </c>
      <c r="E679" s="8">
        <v>24</v>
      </c>
      <c r="F679" s="6" t="s">
        <v>49</v>
      </c>
      <c r="G679" s="8">
        <v>3</v>
      </c>
      <c r="H679" s="6" t="s">
        <v>88</v>
      </c>
      <c r="I679" s="7" t="s">
        <v>36</v>
      </c>
      <c r="J679" s="7" t="s">
        <v>37</v>
      </c>
      <c r="K679" s="6" t="s">
        <v>38</v>
      </c>
      <c r="L679" s="6" t="s">
        <v>39</v>
      </c>
      <c r="M679" s="7" t="s">
        <v>40</v>
      </c>
      <c r="N679" s="6" t="s">
        <v>67</v>
      </c>
      <c r="O679" s="14">
        <v>45744</v>
      </c>
      <c r="P679" s="6" t="s">
        <v>44</v>
      </c>
      <c r="Q679" s="7" t="s">
        <v>44</v>
      </c>
      <c r="R679" s="6" t="s">
        <v>44</v>
      </c>
      <c r="S679" s="6" t="s">
        <v>56</v>
      </c>
      <c r="T679" s="9">
        <v>28600</v>
      </c>
      <c r="U679" s="9">
        <v>0</v>
      </c>
      <c r="V679" s="8">
        <v>39</v>
      </c>
      <c r="W679" s="8">
        <v>29</v>
      </c>
      <c r="X679" s="6" t="s">
        <v>57</v>
      </c>
      <c r="Y679" s="8">
        <v>1</v>
      </c>
      <c r="Z679" s="8">
        <v>5</v>
      </c>
      <c r="AA679" s="8">
        <v>0</v>
      </c>
      <c r="AB679" s="8">
        <v>0</v>
      </c>
      <c r="AC679" s="8">
        <v>3</v>
      </c>
      <c r="AD679" s="8">
        <v>18</v>
      </c>
      <c r="AE679" s="7" t="s">
        <v>45</v>
      </c>
      <c r="AG679">
        <f t="shared" ca="1" si="30"/>
        <v>1</v>
      </c>
      <c r="AH679" s="23" t="str" cm="1">
        <f t="array" ref="AH679">_xlfn.IFS(E679&gt;49,"50+",E679&gt;39,"40-49",E679&gt;29,"30-39",E679&gt;19,"20-29")</f>
        <v>20-29</v>
      </c>
      <c r="AI679" s="24" t="str" cm="1">
        <f t="array" aca="1" ref="AI679" ca="1">_xlfn.IFS(AG679&gt;10,"10+",AG679&gt;4,"5-10 YIL",AG679&gt;2,"3-5 YIL",AG679&gt;0.9,"1-3 YIL",AG679&lt;1,"0-1 YIL")</f>
        <v>1-3 YIL</v>
      </c>
      <c r="AJ679">
        <f t="shared" si="31"/>
        <v>2025</v>
      </c>
      <c r="AK679" t="e">
        <f t="shared" si="32"/>
        <v>#VALUE!</v>
      </c>
    </row>
    <row r="680" spans="1:37" x14ac:dyDescent="0.3">
      <c r="A680" s="2" t="s">
        <v>1119</v>
      </c>
      <c r="B680" s="3" t="s">
        <v>1120</v>
      </c>
      <c r="C680" s="2" t="s">
        <v>33</v>
      </c>
      <c r="D680" s="13">
        <v>33574</v>
      </c>
      <c r="E680" s="4">
        <v>35</v>
      </c>
      <c r="F680" s="2" t="s">
        <v>49</v>
      </c>
      <c r="G680" s="4">
        <v>3</v>
      </c>
      <c r="H680" s="2" t="s">
        <v>35</v>
      </c>
      <c r="I680" s="3" t="s">
        <v>36</v>
      </c>
      <c r="J680" s="3" t="s">
        <v>78</v>
      </c>
      <c r="K680" s="2" t="s">
        <v>79</v>
      </c>
      <c r="L680" s="2" t="s">
        <v>63</v>
      </c>
      <c r="M680" s="3" t="s">
        <v>80</v>
      </c>
      <c r="N680" s="2" t="s">
        <v>95</v>
      </c>
      <c r="O680" s="13">
        <v>41348</v>
      </c>
      <c r="P680" s="2" t="s">
        <v>44</v>
      </c>
      <c r="Q680" s="3" t="s">
        <v>44</v>
      </c>
      <c r="R680" s="2" t="s">
        <v>44</v>
      </c>
      <c r="S680" s="2" t="s">
        <v>56</v>
      </c>
      <c r="T680" s="5">
        <v>106000</v>
      </c>
      <c r="U680" s="5">
        <v>0</v>
      </c>
      <c r="V680" s="4">
        <v>9</v>
      </c>
      <c r="W680" s="4">
        <v>29</v>
      </c>
      <c r="X680" s="2" t="s">
        <v>57</v>
      </c>
      <c r="Y680" s="4">
        <v>1</v>
      </c>
      <c r="Z680" s="4">
        <v>4</v>
      </c>
      <c r="AA680" s="4">
        <v>0</v>
      </c>
      <c r="AB680" s="4">
        <v>0</v>
      </c>
      <c r="AC680" s="4">
        <v>3</v>
      </c>
      <c r="AD680" s="4">
        <v>11</v>
      </c>
      <c r="AE680" s="3" t="s">
        <v>82</v>
      </c>
      <c r="AG680">
        <f t="shared" ca="1" si="30"/>
        <v>13</v>
      </c>
      <c r="AH680" s="23" t="str" cm="1">
        <f t="array" ref="AH680">_xlfn.IFS(E680&gt;49,"50+",E680&gt;39,"40-49",E680&gt;29,"30-39",E680&gt;19,"20-29")</f>
        <v>30-39</v>
      </c>
      <c r="AI680" s="24" t="str" cm="1">
        <f t="array" aca="1" ref="AI680" ca="1">_xlfn.IFS(AG680&gt;10,"10+",AG680&gt;4,"5-10 YIL",AG680&gt;2,"3-5 YIL",AG680&gt;0.9,"1-3 YIL",AG680&lt;1,"0-1 YIL")</f>
        <v>10+</v>
      </c>
      <c r="AJ680">
        <f t="shared" si="31"/>
        <v>2013</v>
      </c>
      <c r="AK680" t="e">
        <f t="shared" si="32"/>
        <v>#VALUE!</v>
      </c>
    </row>
    <row r="681" spans="1:37" x14ac:dyDescent="0.3">
      <c r="A681" s="6" t="s">
        <v>1121</v>
      </c>
      <c r="B681" s="7" t="s">
        <v>918</v>
      </c>
      <c r="C681" s="6" t="s">
        <v>33</v>
      </c>
      <c r="D681" s="14">
        <v>36470</v>
      </c>
      <c r="E681" s="8">
        <v>27</v>
      </c>
      <c r="F681" s="6" t="s">
        <v>34</v>
      </c>
      <c r="G681" s="8">
        <v>0</v>
      </c>
      <c r="H681" s="6" t="s">
        <v>35</v>
      </c>
      <c r="I681" s="7" t="s">
        <v>36</v>
      </c>
      <c r="J681" s="7" t="s">
        <v>37</v>
      </c>
      <c r="K681" s="6" t="s">
        <v>38</v>
      </c>
      <c r="L681" s="6" t="s">
        <v>39</v>
      </c>
      <c r="M681" s="7" t="s">
        <v>40</v>
      </c>
      <c r="N681" s="6" t="s">
        <v>41</v>
      </c>
      <c r="O681" s="14">
        <v>45487</v>
      </c>
      <c r="P681" s="6" t="s">
        <v>44</v>
      </c>
      <c r="Q681" s="7" t="s">
        <v>44</v>
      </c>
      <c r="R681" s="6" t="s">
        <v>44</v>
      </c>
      <c r="S681" s="6" t="s">
        <v>56</v>
      </c>
      <c r="T681" s="9">
        <v>24400</v>
      </c>
      <c r="U681" s="9">
        <v>0</v>
      </c>
      <c r="V681" s="8">
        <v>44</v>
      </c>
      <c r="W681" s="8">
        <v>29</v>
      </c>
      <c r="X681" s="6" t="s">
        <v>112</v>
      </c>
      <c r="Y681" s="8">
        <v>0</v>
      </c>
      <c r="Z681" s="8">
        <v>6</v>
      </c>
      <c r="AA681" s="8">
        <v>0</v>
      </c>
      <c r="AB681" s="8">
        <v>1</v>
      </c>
      <c r="AC681" s="8">
        <v>3</v>
      </c>
      <c r="AD681" s="8">
        <v>18</v>
      </c>
      <c r="AE681" s="7" t="s">
        <v>45</v>
      </c>
      <c r="AG681">
        <f t="shared" ca="1" si="30"/>
        <v>1</v>
      </c>
      <c r="AH681" s="23" t="str" cm="1">
        <f t="array" ref="AH681">_xlfn.IFS(E681&gt;49,"50+",E681&gt;39,"40-49",E681&gt;29,"30-39",E681&gt;19,"20-29")</f>
        <v>20-29</v>
      </c>
      <c r="AI681" s="24" t="str" cm="1">
        <f t="array" aca="1" ref="AI681" ca="1">_xlfn.IFS(AG681&gt;10,"10+",AG681&gt;4,"5-10 YIL",AG681&gt;2,"3-5 YIL",AG681&gt;0.9,"1-3 YIL",AG681&lt;1,"0-1 YIL")</f>
        <v>1-3 YIL</v>
      </c>
      <c r="AJ681">
        <f t="shared" si="31"/>
        <v>2024</v>
      </c>
      <c r="AK681" t="e">
        <f t="shared" si="32"/>
        <v>#VALUE!</v>
      </c>
    </row>
    <row r="682" spans="1:37" x14ac:dyDescent="0.3">
      <c r="A682" s="2" t="s">
        <v>1122</v>
      </c>
      <c r="B682" s="3" t="s">
        <v>1123</v>
      </c>
      <c r="C682" s="2" t="s">
        <v>48</v>
      </c>
      <c r="D682" s="13">
        <v>30491</v>
      </c>
      <c r="E682" s="4">
        <v>43</v>
      </c>
      <c r="F682" s="2" t="s">
        <v>49</v>
      </c>
      <c r="G682" s="4">
        <v>0</v>
      </c>
      <c r="H682" s="2" t="s">
        <v>35</v>
      </c>
      <c r="I682" s="3" t="s">
        <v>139</v>
      </c>
      <c r="J682" s="3" t="s">
        <v>161</v>
      </c>
      <c r="K682" s="2" t="s">
        <v>51</v>
      </c>
      <c r="L682" s="2" t="s">
        <v>63</v>
      </c>
      <c r="M682" s="3" t="s">
        <v>162</v>
      </c>
      <c r="N682" s="2" t="s">
        <v>95</v>
      </c>
      <c r="O682" s="13">
        <v>43024</v>
      </c>
      <c r="P682" s="13">
        <v>43761</v>
      </c>
      <c r="Q682" s="3" t="s">
        <v>177</v>
      </c>
      <c r="R682" s="2">
        <v>3</v>
      </c>
      <c r="S682" s="2" t="s">
        <v>43</v>
      </c>
      <c r="T682" s="5">
        <v>79300</v>
      </c>
      <c r="U682" s="5">
        <v>0</v>
      </c>
      <c r="V682" s="4">
        <v>2</v>
      </c>
      <c r="W682" s="4">
        <v>29</v>
      </c>
      <c r="X682" s="2" t="s">
        <v>81</v>
      </c>
      <c r="Y682" s="4">
        <v>0</v>
      </c>
      <c r="Z682" s="4">
        <v>7</v>
      </c>
      <c r="AA682" s="4">
        <v>1</v>
      </c>
      <c r="AB682" s="4">
        <v>0</v>
      </c>
      <c r="AC682" s="4">
        <v>2</v>
      </c>
      <c r="AD682" s="4">
        <v>10</v>
      </c>
      <c r="AE682" s="3" t="s">
        <v>82</v>
      </c>
      <c r="AG682">
        <f t="shared" ca="1" si="30"/>
        <v>8</v>
      </c>
      <c r="AH682" s="23" t="str" cm="1">
        <f t="array" ref="AH682">_xlfn.IFS(E682&gt;49,"50+",E682&gt;39,"40-49",E682&gt;29,"30-39",E682&gt;19,"20-29")</f>
        <v>40-49</v>
      </c>
      <c r="AI682" s="24" t="str" cm="1">
        <f t="array" aca="1" ref="AI682" ca="1">_xlfn.IFS(AG682&gt;10,"10+",AG682&gt;4,"5-10 YIL",AG682&gt;2,"3-5 YIL",AG682&gt;0.9,"1-3 YIL",AG682&lt;1,"0-1 YIL")</f>
        <v>5-10 YIL</v>
      </c>
      <c r="AJ682">
        <f t="shared" si="31"/>
        <v>2017</v>
      </c>
      <c r="AK682">
        <f t="shared" si="32"/>
        <v>2019</v>
      </c>
    </row>
    <row r="683" spans="1:37" x14ac:dyDescent="0.3">
      <c r="A683" s="6" t="s">
        <v>1124</v>
      </c>
      <c r="B683" s="7" t="s">
        <v>192</v>
      </c>
      <c r="C683" s="6" t="s">
        <v>33</v>
      </c>
      <c r="D683" s="14">
        <v>35448</v>
      </c>
      <c r="E683" s="8">
        <v>29</v>
      </c>
      <c r="F683" s="6" t="s">
        <v>34</v>
      </c>
      <c r="G683" s="8">
        <v>0</v>
      </c>
      <c r="H683" s="6" t="s">
        <v>35</v>
      </c>
      <c r="I683" s="7" t="s">
        <v>61</v>
      </c>
      <c r="J683" s="7" t="s">
        <v>107</v>
      </c>
      <c r="K683" s="6" t="s">
        <v>51</v>
      </c>
      <c r="L683" s="6" t="s">
        <v>63</v>
      </c>
      <c r="M683" s="7" t="s">
        <v>64</v>
      </c>
      <c r="N683" s="6" t="s">
        <v>67</v>
      </c>
      <c r="O683" s="14">
        <v>44267</v>
      </c>
      <c r="P683" s="6" t="s">
        <v>44</v>
      </c>
      <c r="Q683" s="7" t="s">
        <v>44</v>
      </c>
      <c r="R683" s="6" t="s">
        <v>44</v>
      </c>
      <c r="S683" s="6" t="s">
        <v>56</v>
      </c>
      <c r="T683" s="9">
        <v>62600</v>
      </c>
      <c r="U683" s="9">
        <v>6500</v>
      </c>
      <c r="V683" s="8">
        <v>4</v>
      </c>
      <c r="W683" s="8">
        <v>30</v>
      </c>
      <c r="X683" s="6" t="s">
        <v>44</v>
      </c>
      <c r="Y683" s="8">
        <v>0</v>
      </c>
      <c r="Z683" s="8">
        <v>14</v>
      </c>
      <c r="AA683" s="8">
        <v>0</v>
      </c>
      <c r="AB683" s="8">
        <v>0</v>
      </c>
      <c r="AC683" s="8">
        <v>3</v>
      </c>
      <c r="AD683" s="8">
        <v>10</v>
      </c>
      <c r="AE683" s="7" t="s">
        <v>73</v>
      </c>
      <c r="AG683">
        <f t="shared" ca="1" si="30"/>
        <v>5</v>
      </c>
      <c r="AH683" s="23" t="str" cm="1">
        <f t="array" ref="AH683">_xlfn.IFS(E683&gt;49,"50+",E683&gt;39,"40-49",E683&gt;29,"30-39",E683&gt;19,"20-29")</f>
        <v>20-29</v>
      </c>
      <c r="AI683" s="24" t="str" cm="1">
        <f t="array" aca="1" ref="AI683" ca="1">_xlfn.IFS(AG683&gt;10,"10+",AG683&gt;4,"5-10 YIL",AG683&gt;2,"3-5 YIL",AG683&gt;0.9,"1-3 YIL",AG683&lt;1,"0-1 YIL")</f>
        <v>5-10 YIL</v>
      </c>
      <c r="AJ683">
        <f t="shared" si="31"/>
        <v>2021</v>
      </c>
      <c r="AK683" t="e">
        <f t="shared" si="32"/>
        <v>#VALUE!</v>
      </c>
    </row>
    <row r="684" spans="1:37" x14ac:dyDescent="0.3">
      <c r="A684" s="2" t="s">
        <v>1125</v>
      </c>
      <c r="B684" s="3" t="s">
        <v>1071</v>
      </c>
      <c r="C684" s="2" t="s">
        <v>48</v>
      </c>
      <c r="D684" s="13">
        <v>32693</v>
      </c>
      <c r="E684" s="4">
        <v>37</v>
      </c>
      <c r="F684" s="2" t="s">
        <v>49</v>
      </c>
      <c r="G684" s="4">
        <v>0</v>
      </c>
      <c r="H684" s="2" t="s">
        <v>35</v>
      </c>
      <c r="I684" s="3" t="s">
        <v>36</v>
      </c>
      <c r="J684" s="3" t="s">
        <v>50</v>
      </c>
      <c r="K684" s="2" t="s">
        <v>51</v>
      </c>
      <c r="L684" s="2" t="s">
        <v>39</v>
      </c>
      <c r="M684" s="3" t="s">
        <v>40</v>
      </c>
      <c r="N684" s="2" t="s">
        <v>41</v>
      </c>
      <c r="O684" s="13">
        <v>42611</v>
      </c>
      <c r="P684" s="2" t="s">
        <v>44</v>
      </c>
      <c r="Q684" s="3" t="s">
        <v>44</v>
      </c>
      <c r="R684" s="2" t="s">
        <v>44</v>
      </c>
      <c r="S684" s="2" t="s">
        <v>56</v>
      </c>
      <c r="T684" s="5">
        <v>41400</v>
      </c>
      <c r="U684" s="5">
        <v>0</v>
      </c>
      <c r="V684" s="4">
        <v>35</v>
      </c>
      <c r="W684" s="4">
        <v>30</v>
      </c>
      <c r="X684" s="2" t="s">
        <v>44</v>
      </c>
      <c r="Y684" s="4">
        <v>0</v>
      </c>
      <c r="Z684" s="4">
        <v>2</v>
      </c>
      <c r="AA684" s="4">
        <v>0</v>
      </c>
      <c r="AB684" s="4">
        <v>0</v>
      </c>
      <c r="AC684" s="4">
        <v>3</v>
      </c>
      <c r="AD684" s="4">
        <v>5</v>
      </c>
      <c r="AE684" s="3" t="s">
        <v>82</v>
      </c>
      <c r="AG684">
        <f t="shared" ca="1" si="30"/>
        <v>9</v>
      </c>
      <c r="AH684" s="23" t="str" cm="1">
        <f t="array" ref="AH684">_xlfn.IFS(E684&gt;49,"50+",E684&gt;39,"40-49",E684&gt;29,"30-39",E684&gt;19,"20-29")</f>
        <v>30-39</v>
      </c>
      <c r="AI684" s="24" t="str" cm="1">
        <f t="array" aca="1" ref="AI684" ca="1">_xlfn.IFS(AG684&gt;10,"10+",AG684&gt;4,"5-10 YIL",AG684&gt;2,"3-5 YIL",AG684&gt;0.9,"1-3 YIL",AG684&lt;1,"0-1 YIL")</f>
        <v>5-10 YIL</v>
      </c>
      <c r="AJ684">
        <f t="shared" si="31"/>
        <v>2016</v>
      </c>
      <c r="AK684" t="e">
        <f t="shared" si="32"/>
        <v>#VALUE!</v>
      </c>
    </row>
    <row r="685" spans="1:37" x14ac:dyDescent="0.3">
      <c r="A685" s="6" t="s">
        <v>1126</v>
      </c>
      <c r="B685" s="7" t="s">
        <v>706</v>
      </c>
      <c r="C685" s="6" t="s">
        <v>48</v>
      </c>
      <c r="D685" s="14">
        <v>34965</v>
      </c>
      <c r="E685" s="8">
        <v>31</v>
      </c>
      <c r="F685" s="6" t="s">
        <v>49</v>
      </c>
      <c r="G685" s="8">
        <v>2</v>
      </c>
      <c r="H685" s="6" t="s">
        <v>35</v>
      </c>
      <c r="I685" s="7" t="s">
        <v>61</v>
      </c>
      <c r="J685" s="7" t="s">
        <v>107</v>
      </c>
      <c r="K685" s="6" t="s">
        <v>51</v>
      </c>
      <c r="L685" s="6" t="s">
        <v>63</v>
      </c>
      <c r="M685" s="7" t="s">
        <v>64</v>
      </c>
      <c r="N685" s="6" t="s">
        <v>95</v>
      </c>
      <c r="O685" s="14">
        <v>44010</v>
      </c>
      <c r="P685" s="14">
        <v>44979</v>
      </c>
      <c r="Q685" s="7" t="s">
        <v>42</v>
      </c>
      <c r="R685" s="6">
        <v>3</v>
      </c>
      <c r="S685" s="6" t="s">
        <v>43</v>
      </c>
      <c r="T685" s="9">
        <v>58000</v>
      </c>
      <c r="U685" s="9">
        <v>7800</v>
      </c>
      <c r="V685" s="8">
        <v>3</v>
      </c>
      <c r="W685" s="8">
        <v>30</v>
      </c>
      <c r="X685" s="6" t="s">
        <v>44</v>
      </c>
      <c r="Y685" s="8">
        <v>0</v>
      </c>
      <c r="Z685" s="8">
        <v>0</v>
      </c>
      <c r="AA685" s="8">
        <v>0</v>
      </c>
      <c r="AB685" s="8">
        <v>0</v>
      </c>
      <c r="AC685" s="8">
        <v>3</v>
      </c>
      <c r="AD685" s="8">
        <v>18</v>
      </c>
      <c r="AE685" s="7" t="s">
        <v>96</v>
      </c>
      <c r="AG685">
        <f t="shared" ca="1" si="30"/>
        <v>6</v>
      </c>
      <c r="AH685" s="23" t="str" cm="1">
        <f t="array" ref="AH685">_xlfn.IFS(E685&gt;49,"50+",E685&gt;39,"40-49",E685&gt;29,"30-39",E685&gt;19,"20-29")</f>
        <v>30-39</v>
      </c>
      <c r="AI685" s="24" t="str" cm="1">
        <f t="array" aca="1" ref="AI685" ca="1">_xlfn.IFS(AG685&gt;10,"10+",AG685&gt;4,"5-10 YIL",AG685&gt;2,"3-5 YIL",AG685&gt;0.9,"1-3 YIL",AG685&lt;1,"0-1 YIL")</f>
        <v>5-10 YIL</v>
      </c>
      <c r="AJ685">
        <f t="shared" si="31"/>
        <v>2020</v>
      </c>
      <c r="AK685">
        <f t="shared" si="32"/>
        <v>2023</v>
      </c>
    </row>
    <row r="686" spans="1:37" x14ac:dyDescent="0.3">
      <c r="A686" s="2" t="s">
        <v>1127</v>
      </c>
      <c r="B686" s="3" t="s">
        <v>300</v>
      </c>
      <c r="C686" s="2" t="s">
        <v>48</v>
      </c>
      <c r="D686" s="13">
        <v>35917</v>
      </c>
      <c r="E686" s="4">
        <v>28</v>
      </c>
      <c r="F686" s="2" t="s">
        <v>49</v>
      </c>
      <c r="G686" s="4">
        <v>1</v>
      </c>
      <c r="H686" s="2" t="s">
        <v>35</v>
      </c>
      <c r="I686" s="3" t="s">
        <v>36</v>
      </c>
      <c r="J686" s="3" t="s">
        <v>37</v>
      </c>
      <c r="K686" s="2" t="s">
        <v>38</v>
      </c>
      <c r="L686" s="2" t="s">
        <v>39</v>
      </c>
      <c r="M686" s="3" t="s">
        <v>40</v>
      </c>
      <c r="N686" s="2" t="s">
        <v>95</v>
      </c>
      <c r="O686" s="13">
        <v>45262</v>
      </c>
      <c r="P686" s="13">
        <v>45630</v>
      </c>
      <c r="Q686" s="3" t="s">
        <v>53</v>
      </c>
      <c r="R686" s="2">
        <v>4</v>
      </c>
      <c r="S686" s="2" t="s">
        <v>43</v>
      </c>
      <c r="T686" s="5">
        <v>24500</v>
      </c>
      <c r="U686" s="5">
        <v>0</v>
      </c>
      <c r="V686" s="4">
        <v>16</v>
      </c>
      <c r="W686" s="4">
        <v>29</v>
      </c>
      <c r="X686" s="2" t="s">
        <v>81</v>
      </c>
      <c r="Y686" s="4">
        <v>0</v>
      </c>
      <c r="Z686" s="4">
        <v>5</v>
      </c>
      <c r="AA686" s="4">
        <v>1</v>
      </c>
      <c r="AB686" s="4">
        <v>0</v>
      </c>
      <c r="AC686" s="4">
        <v>4</v>
      </c>
      <c r="AD686" s="4">
        <v>18</v>
      </c>
      <c r="AE686" s="3" t="s">
        <v>58</v>
      </c>
      <c r="AG686">
        <f t="shared" ca="1" si="30"/>
        <v>2</v>
      </c>
      <c r="AH686" s="23" t="str" cm="1">
        <f t="array" ref="AH686">_xlfn.IFS(E686&gt;49,"50+",E686&gt;39,"40-49",E686&gt;29,"30-39",E686&gt;19,"20-29")</f>
        <v>20-29</v>
      </c>
      <c r="AI686" s="24" t="str" cm="1">
        <f t="array" aca="1" ref="AI686" ca="1">_xlfn.IFS(AG686&gt;10,"10+",AG686&gt;4,"5-10 YIL",AG686&gt;2,"3-5 YIL",AG686&gt;0.9,"1-3 YIL",AG686&lt;1,"0-1 YIL")</f>
        <v>1-3 YIL</v>
      </c>
      <c r="AJ686">
        <f t="shared" si="31"/>
        <v>2023</v>
      </c>
      <c r="AK686">
        <f t="shared" si="32"/>
        <v>2024</v>
      </c>
    </row>
    <row r="687" spans="1:37" x14ac:dyDescent="0.3">
      <c r="A687" s="6" t="s">
        <v>1128</v>
      </c>
      <c r="B687" s="7" t="s">
        <v>620</v>
      </c>
      <c r="C687" s="6" t="s">
        <v>48</v>
      </c>
      <c r="D687" s="14">
        <v>28479</v>
      </c>
      <c r="E687" s="8">
        <v>49</v>
      </c>
      <c r="F687" s="6" t="s">
        <v>49</v>
      </c>
      <c r="G687" s="8">
        <v>1</v>
      </c>
      <c r="H687" s="6" t="s">
        <v>85</v>
      </c>
      <c r="I687" s="7" t="s">
        <v>36</v>
      </c>
      <c r="J687" s="7" t="s">
        <v>78</v>
      </c>
      <c r="K687" s="6" t="s">
        <v>79</v>
      </c>
      <c r="L687" s="6" t="s">
        <v>63</v>
      </c>
      <c r="M687" s="7" t="s">
        <v>80</v>
      </c>
      <c r="N687" s="6" t="s">
        <v>41</v>
      </c>
      <c r="O687" s="14">
        <v>41465</v>
      </c>
      <c r="P687" s="14">
        <v>42840</v>
      </c>
      <c r="Q687" s="7" t="s">
        <v>42</v>
      </c>
      <c r="R687" s="6">
        <v>3</v>
      </c>
      <c r="S687" s="6" t="s">
        <v>43</v>
      </c>
      <c r="T687" s="9">
        <v>92100</v>
      </c>
      <c r="U687" s="9">
        <v>0</v>
      </c>
      <c r="V687" s="8">
        <v>7</v>
      </c>
      <c r="W687" s="8">
        <v>28</v>
      </c>
      <c r="X687" s="6" t="s">
        <v>57</v>
      </c>
      <c r="Y687" s="8">
        <v>2</v>
      </c>
      <c r="Z687" s="8">
        <v>3</v>
      </c>
      <c r="AA687" s="8">
        <v>0</v>
      </c>
      <c r="AB687" s="8">
        <v>0</v>
      </c>
      <c r="AC687" s="8">
        <v>3</v>
      </c>
      <c r="AD687" s="8">
        <v>12</v>
      </c>
      <c r="AE687" s="7" t="s">
        <v>82</v>
      </c>
      <c r="AG687">
        <f t="shared" ca="1" si="30"/>
        <v>12</v>
      </c>
      <c r="AH687" s="23" t="str" cm="1">
        <f t="array" ref="AH687">_xlfn.IFS(E687&gt;49,"50+",E687&gt;39,"40-49",E687&gt;29,"30-39",E687&gt;19,"20-29")</f>
        <v>40-49</v>
      </c>
      <c r="AI687" s="24" t="str" cm="1">
        <f t="array" aca="1" ref="AI687" ca="1">_xlfn.IFS(AG687&gt;10,"10+",AG687&gt;4,"5-10 YIL",AG687&gt;2,"3-5 YIL",AG687&gt;0.9,"1-3 YIL",AG687&lt;1,"0-1 YIL")</f>
        <v>10+</v>
      </c>
      <c r="AJ687">
        <f t="shared" si="31"/>
        <v>2013</v>
      </c>
      <c r="AK687">
        <f t="shared" si="32"/>
        <v>2017</v>
      </c>
    </row>
    <row r="688" spans="1:37" x14ac:dyDescent="0.3">
      <c r="A688" s="2" t="s">
        <v>1129</v>
      </c>
      <c r="B688" s="3" t="s">
        <v>853</v>
      </c>
      <c r="C688" s="2" t="s">
        <v>33</v>
      </c>
      <c r="D688" s="13">
        <v>37584</v>
      </c>
      <c r="E688" s="4">
        <v>24</v>
      </c>
      <c r="F688" s="2" t="s">
        <v>49</v>
      </c>
      <c r="G688" s="4">
        <v>1</v>
      </c>
      <c r="H688" s="2" t="s">
        <v>35</v>
      </c>
      <c r="I688" s="3" t="s">
        <v>36</v>
      </c>
      <c r="J688" s="3" t="s">
        <v>37</v>
      </c>
      <c r="K688" s="2" t="s">
        <v>38</v>
      </c>
      <c r="L688" s="2" t="s">
        <v>39</v>
      </c>
      <c r="M688" s="3" t="s">
        <v>40</v>
      </c>
      <c r="N688" s="2" t="s">
        <v>41</v>
      </c>
      <c r="O688" s="13">
        <v>45147</v>
      </c>
      <c r="P688" s="2" t="s">
        <v>44</v>
      </c>
      <c r="Q688" s="3" t="s">
        <v>44</v>
      </c>
      <c r="R688" s="2" t="s">
        <v>44</v>
      </c>
      <c r="S688" s="2" t="s">
        <v>56</v>
      </c>
      <c r="T688" s="5">
        <v>28500</v>
      </c>
      <c r="U688" s="5">
        <v>0</v>
      </c>
      <c r="V688" s="4">
        <v>10</v>
      </c>
      <c r="W688" s="4">
        <v>30</v>
      </c>
      <c r="X688" s="2" t="s">
        <v>44</v>
      </c>
      <c r="Y688" s="4">
        <v>0</v>
      </c>
      <c r="Z688" s="4">
        <v>1</v>
      </c>
      <c r="AA688" s="4">
        <v>0</v>
      </c>
      <c r="AB688" s="4">
        <v>0</v>
      </c>
      <c r="AC688" s="4">
        <v>2</v>
      </c>
      <c r="AD688" s="4">
        <v>18</v>
      </c>
      <c r="AE688" s="3" t="s">
        <v>96</v>
      </c>
      <c r="AG688">
        <f t="shared" ca="1" si="30"/>
        <v>2</v>
      </c>
      <c r="AH688" s="23" t="str" cm="1">
        <f t="array" ref="AH688">_xlfn.IFS(E688&gt;49,"50+",E688&gt;39,"40-49",E688&gt;29,"30-39",E688&gt;19,"20-29")</f>
        <v>20-29</v>
      </c>
      <c r="AI688" s="24" t="str" cm="1">
        <f t="array" aca="1" ref="AI688" ca="1">_xlfn.IFS(AG688&gt;10,"10+",AG688&gt;4,"5-10 YIL",AG688&gt;2,"3-5 YIL",AG688&gt;0.9,"1-3 YIL",AG688&lt;1,"0-1 YIL")</f>
        <v>1-3 YIL</v>
      </c>
      <c r="AJ688">
        <f t="shared" si="31"/>
        <v>2023</v>
      </c>
      <c r="AK688" t="e">
        <f t="shared" si="32"/>
        <v>#VALUE!</v>
      </c>
    </row>
    <row r="689" spans="1:37" x14ac:dyDescent="0.3">
      <c r="A689" s="6" t="s">
        <v>1130</v>
      </c>
      <c r="B689" s="7" t="s">
        <v>505</v>
      </c>
      <c r="C689" s="6" t="s">
        <v>48</v>
      </c>
      <c r="D689" s="14">
        <v>38063</v>
      </c>
      <c r="E689" s="8">
        <v>22</v>
      </c>
      <c r="F689" s="6" t="s">
        <v>49</v>
      </c>
      <c r="G689" s="8">
        <v>0</v>
      </c>
      <c r="H689" s="6" t="s">
        <v>35</v>
      </c>
      <c r="I689" s="7" t="s">
        <v>139</v>
      </c>
      <c r="J689" s="7" t="s">
        <v>235</v>
      </c>
      <c r="K689" s="6" t="s">
        <v>38</v>
      </c>
      <c r="L689" s="6" t="s">
        <v>63</v>
      </c>
      <c r="M689" s="7" t="s">
        <v>162</v>
      </c>
      <c r="N689" s="6" t="s">
        <v>41</v>
      </c>
      <c r="O689" s="14">
        <v>46124</v>
      </c>
      <c r="P689" s="14">
        <v>46171</v>
      </c>
      <c r="Q689" s="7" t="s">
        <v>53</v>
      </c>
      <c r="R689" s="6">
        <v>4</v>
      </c>
      <c r="S689" s="6" t="s">
        <v>43</v>
      </c>
      <c r="T689" s="9">
        <v>47000</v>
      </c>
      <c r="U689" s="9">
        <v>0</v>
      </c>
      <c r="V689" s="8">
        <v>7</v>
      </c>
      <c r="W689" s="8">
        <v>30</v>
      </c>
      <c r="X689" s="6" t="s">
        <v>44</v>
      </c>
      <c r="Y689" s="8">
        <v>0</v>
      </c>
      <c r="Z689" s="8">
        <v>0</v>
      </c>
      <c r="AA689" s="8">
        <v>0</v>
      </c>
      <c r="AB689" s="8">
        <v>0</v>
      </c>
      <c r="AC689" s="8">
        <v>3</v>
      </c>
      <c r="AD689" s="8">
        <v>10</v>
      </c>
      <c r="AE689" s="7" t="s">
        <v>58</v>
      </c>
      <c r="AG689">
        <f t="shared" ca="1" si="30"/>
        <v>0</v>
      </c>
      <c r="AH689" s="23" t="str" cm="1">
        <f t="array" ref="AH689">_xlfn.IFS(E689&gt;49,"50+",E689&gt;39,"40-49",E689&gt;29,"30-39",E689&gt;19,"20-29")</f>
        <v>20-29</v>
      </c>
      <c r="AI689" s="24" t="str" cm="1">
        <f t="array" aca="1" ref="AI689" ca="1">_xlfn.IFS(AG689&gt;10,"10+",AG689&gt;4,"5-10 YIL",AG689&gt;2,"3-5 YIL",AG689&gt;0.9,"1-3 YIL",AG689&lt;1,"0-1 YIL")</f>
        <v>0-1 YIL</v>
      </c>
      <c r="AJ689">
        <f t="shared" si="31"/>
        <v>2026</v>
      </c>
      <c r="AK689">
        <f t="shared" si="32"/>
        <v>2026</v>
      </c>
    </row>
    <row r="690" spans="1:37" x14ac:dyDescent="0.3">
      <c r="A690" s="2" t="s">
        <v>1131</v>
      </c>
      <c r="B690" s="3" t="s">
        <v>616</v>
      </c>
      <c r="C690" s="2" t="s">
        <v>48</v>
      </c>
      <c r="D690" s="13">
        <v>28890</v>
      </c>
      <c r="E690" s="4">
        <v>47</v>
      </c>
      <c r="F690" s="2" t="s">
        <v>49</v>
      </c>
      <c r="G690" s="4">
        <v>1</v>
      </c>
      <c r="H690" s="2" t="s">
        <v>85</v>
      </c>
      <c r="I690" s="3" t="s">
        <v>139</v>
      </c>
      <c r="J690" s="3" t="s">
        <v>161</v>
      </c>
      <c r="K690" s="2" t="s">
        <v>51</v>
      </c>
      <c r="L690" s="2" t="s">
        <v>63</v>
      </c>
      <c r="M690" s="3" t="s">
        <v>162</v>
      </c>
      <c r="N690" s="2" t="s">
        <v>95</v>
      </c>
      <c r="O690" s="13">
        <v>43547</v>
      </c>
      <c r="P690" s="13">
        <v>43702</v>
      </c>
      <c r="Q690" s="3" t="s">
        <v>53</v>
      </c>
      <c r="R690" s="2">
        <v>4</v>
      </c>
      <c r="S690" s="2" t="s">
        <v>43</v>
      </c>
      <c r="T690" s="5">
        <v>83900</v>
      </c>
      <c r="U690" s="5">
        <v>0</v>
      </c>
      <c r="V690" s="4">
        <v>9</v>
      </c>
      <c r="W690" s="4">
        <v>30</v>
      </c>
      <c r="X690" s="2" t="s">
        <v>44</v>
      </c>
      <c r="Y690" s="4">
        <v>0</v>
      </c>
      <c r="Z690" s="4">
        <v>6</v>
      </c>
      <c r="AA690" s="4">
        <v>0</v>
      </c>
      <c r="AB690" s="4">
        <v>0</v>
      </c>
      <c r="AC690" s="4">
        <v>3</v>
      </c>
      <c r="AD690" s="4">
        <v>2</v>
      </c>
      <c r="AE690" s="3" t="s">
        <v>45</v>
      </c>
      <c r="AG690">
        <f t="shared" ca="1" si="30"/>
        <v>7</v>
      </c>
      <c r="AH690" s="23" t="str" cm="1">
        <f t="array" ref="AH690">_xlfn.IFS(E690&gt;49,"50+",E690&gt;39,"40-49",E690&gt;29,"30-39",E690&gt;19,"20-29")</f>
        <v>40-49</v>
      </c>
      <c r="AI690" s="24" t="str" cm="1">
        <f t="array" aca="1" ref="AI690" ca="1">_xlfn.IFS(AG690&gt;10,"10+",AG690&gt;4,"5-10 YIL",AG690&gt;2,"3-5 YIL",AG690&gt;0.9,"1-3 YIL",AG690&lt;1,"0-1 YIL")</f>
        <v>5-10 YIL</v>
      </c>
      <c r="AJ690">
        <f t="shared" si="31"/>
        <v>2019</v>
      </c>
      <c r="AK690">
        <f t="shared" si="32"/>
        <v>2019</v>
      </c>
    </row>
    <row r="691" spans="1:37" x14ac:dyDescent="0.3">
      <c r="A691" s="6" t="s">
        <v>1132</v>
      </c>
      <c r="B691" s="7" t="s">
        <v>701</v>
      </c>
      <c r="C691" s="6" t="s">
        <v>48</v>
      </c>
      <c r="D691" s="14">
        <v>35513</v>
      </c>
      <c r="E691" s="8">
        <v>29</v>
      </c>
      <c r="F691" s="6" t="s">
        <v>34</v>
      </c>
      <c r="G691" s="8">
        <v>0</v>
      </c>
      <c r="H691" s="6" t="s">
        <v>35</v>
      </c>
      <c r="I691" s="7" t="s">
        <v>36</v>
      </c>
      <c r="J691" s="7" t="s">
        <v>37</v>
      </c>
      <c r="K691" s="6" t="s">
        <v>38</v>
      </c>
      <c r="L691" s="6" t="s">
        <v>39</v>
      </c>
      <c r="M691" s="7" t="s">
        <v>40</v>
      </c>
      <c r="N691" s="6" t="s">
        <v>41</v>
      </c>
      <c r="O691" s="14">
        <v>45216</v>
      </c>
      <c r="P691" s="6" t="s">
        <v>44</v>
      </c>
      <c r="Q691" s="7" t="s">
        <v>44</v>
      </c>
      <c r="R691" s="6" t="s">
        <v>44</v>
      </c>
      <c r="S691" s="6" t="s">
        <v>56</v>
      </c>
      <c r="T691" s="9">
        <v>24500</v>
      </c>
      <c r="U691" s="9">
        <v>0</v>
      </c>
      <c r="V691" s="8">
        <v>43</v>
      </c>
      <c r="W691" s="8">
        <v>30</v>
      </c>
      <c r="X691" s="6" t="s">
        <v>44</v>
      </c>
      <c r="Y691" s="8">
        <v>0</v>
      </c>
      <c r="Z691" s="8">
        <v>14</v>
      </c>
      <c r="AA691" s="8">
        <v>0</v>
      </c>
      <c r="AB691" s="8">
        <v>0</v>
      </c>
      <c r="AC691" s="8">
        <v>4</v>
      </c>
      <c r="AD691" s="8">
        <v>22</v>
      </c>
      <c r="AE691" s="7" t="s">
        <v>45</v>
      </c>
      <c r="AG691">
        <f t="shared" ca="1" si="30"/>
        <v>2</v>
      </c>
      <c r="AH691" s="23" t="str" cm="1">
        <f t="array" ref="AH691">_xlfn.IFS(E691&gt;49,"50+",E691&gt;39,"40-49",E691&gt;29,"30-39",E691&gt;19,"20-29")</f>
        <v>20-29</v>
      </c>
      <c r="AI691" s="24" t="str" cm="1">
        <f t="array" aca="1" ref="AI691" ca="1">_xlfn.IFS(AG691&gt;10,"10+",AG691&gt;4,"5-10 YIL",AG691&gt;2,"3-5 YIL",AG691&gt;0.9,"1-3 YIL",AG691&lt;1,"0-1 YIL")</f>
        <v>1-3 YIL</v>
      </c>
      <c r="AJ691">
        <f t="shared" si="31"/>
        <v>2023</v>
      </c>
      <c r="AK691" t="e">
        <f t="shared" si="32"/>
        <v>#VALUE!</v>
      </c>
    </row>
    <row r="692" spans="1:37" x14ac:dyDescent="0.3">
      <c r="A692" s="2" t="s">
        <v>1133</v>
      </c>
      <c r="B692" s="3" t="s">
        <v>176</v>
      </c>
      <c r="C692" s="2" t="s">
        <v>48</v>
      </c>
      <c r="D692" s="13">
        <v>34961</v>
      </c>
      <c r="E692" s="4">
        <v>31</v>
      </c>
      <c r="F692" s="2" t="s">
        <v>49</v>
      </c>
      <c r="G692" s="4">
        <v>1</v>
      </c>
      <c r="H692" s="2" t="s">
        <v>88</v>
      </c>
      <c r="I692" s="3" t="s">
        <v>148</v>
      </c>
      <c r="J692" s="3" t="s">
        <v>149</v>
      </c>
      <c r="K692" s="2" t="s">
        <v>51</v>
      </c>
      <c r="L692" s="2" t="s">
        <v>63</v>
      </c>
      <c r="M692" s="3" t="s">
        <v>150</v>
      </c>
      <c r="N692" s="2" t="s">
        <v>41</v>
      </c>
      <c r="O692" s="13">
        <v>42997</v>
      </c>
      <c r="P692" s="2" t="s">
        <v>44</v>
      </c>
      <c r="Q692" s="3" t="s">
        <v>44</v>
      </c>
      <c r="R692" s="2" t="s">
        <v>44</v>
      </c>
      <c r="S692" s="2" t="s">
        <v>56</v>
      </c>
      <c r="T692" s="5">
        <v>59400</v>
      </c>
      <c r="U692" s="5">
        <v>7600</v>
      </c>
      <c r="V692" s="4">
        <v>7</v>
      </c>
      <c r="W692" s="4">
        <v>30</v>
      </c>
      <c r="X692" s="2" t="s">
        <v>44</v>
      </c>
      <c r="Y692" s="4">
        <v>0</v>
      </c>
      <c r="Z692" s="4">
        <v>9</v>
      </c>
      <c r="AA692" s="4">
        <v>0</v>
      </c>
      <c r="AB692" s="4">
        <v>0</v>
      </c>
      <c r="AC692" s="4">
        <v>4</v>
      </c>
      <c r="AD692" s="4">
        <v>13</v>
      </c>
      <c r="AE692" s="3" t="s">
        <v>82</v>
      </c>
      <c r="AG692">
        <f t="shared" ca="1" si="30"/>
        <v>8</v>
      </c>
      <c r="AH692" s="23" t="str" cm="1">
        <f t="array" ref="AH692">_xlfn.IFS(E692&gt;49,"50+",E692&gt;39,"40-49",E692&gt;29,"30-39",E692&gt;19,"20-29")</f>
        <v>30-39</v>
      </c>
      <c r="AI692" s="24" t="str" cm="1">
        <f t="array" aca="1" ref="AI692" ca="1">_xlfn.IFS(AG692&gt;10,"10+",AG692&gt;4,"5-10 YIL",AG692&gt;2,"3-5 YIL",AG692&gt;0.9,"1-3 YIL",AG692&lt;1,"0-1 YIL")</f>
        <v>5-10 YIL</v>
      </c>
      <c r="AJ692">
        <f t="shared" si="31"/>
        <v>2017</v>
      </c>
      <c r="AK692" t="e">
        <f t="shared" si="32"/>
        <v>#VALUE!</v>
      </c>
    </row>
    <row r="693" spans="1:37" x14ac:dyDescent="0.3">
      <c r="A693" s="6" t="s">
        <v>1134</v>
      </c>
      <c r="B693" s="7" t="s">
        <v>265</v>
      </c>
      <c r="C693" s="6" t="s">
        <v>48</v>
      </c>
      <c r="D693" s="14">
        <v>36055</v>
      </c>
      <c r="E693" s="8">
        <v>28</v>
      </c>
      <c r="F693" s="6" t="s">
        <v>49</v>
      </c>
      <c r="G693" s="8">
        <v>1</v>
      </c>
      <c r="H693" s="6" t="s">
        <v>35</v>
      </c>
      <c r="I693" s="7" t="s">
        <v>36</v>
      </c>
      <c r="J693" s="7" t="s">
        <v>37</v>
      </c>
      <c r="K693" s="6" t="s">
        <v>38</v>
      </c>
      <c r="L693" s="6" t="s">
        <v>39</v>
      </c>
      <c r="M693" s="7" t="s">
        <v>40</v>
      </c>
      <c r="N693" s="6" t="s">
        <v>41</v>
      </c>
      <c r="O693" s="14">
        <v>45147</v>
      </c>
      <c r="P693" s="6" t="s">
        <v>44</v>
      </c>
      <c r="Q693" s="7" t="s">
        <v>44</v>
      </c>
      <c r="R693" s="6" t="s">
        <v>44</v>
      </c>
      <c r="S693" s="6" t="s">
        <v>56</v>
      </c>
      <c r="T693" s="9">
        <v>27600</v>
      </c>
      <c r="U693" s="9">
        <v>0</v>
      </c>
      <c r="V693" s="8">
        <v>29</v>
      </c>
      <c r="W693" s="8">
        <v>28</v>
      </c>
      <c r="X693" s="6" t="s">
        <v>57</v>
      </c>
      <c r="Y693" s="8">
        <v>2</v>
      </c>
      <c r="Z693" s="8">
        <v>6</v>
      </c>
      <c r="AA693" s="8">
        <v>0</v>
      </c>
      <c r="AB693" s="8">
        <v>0</v>
      </c>
      <c r="AC693" s="8">
        <v>2</v>
      </c>
      <c r="AD693" s="8">
        <v>13</v>
      </c>
      <c r="AE693" s="7" t="s">
        <v>73</v>
      </c>
      <c r="AG693">
        <f t="shared" ca="1" si="30"/>
        <v>2</v>
      </c>
      <c r="AH693" s="23" t="str" cm="1">
        <f t="array" ref="AH693">_xlfn.IFS(E693&gt;49,"50+",E693&gt;39,"40-49",E693&gt;29,"30-39",E693&gt;19,"20-29")</f>
        <v>20-29</v>
      </c>
      <c r="AI693" s="24" t="str" cm="1">
        <f t="array" aca="1" ref="AI693" ca="1">_xlfn.IFS(AG693&gt;10,"10+",AG693&gt;4,"5-10 YIL",AG693&gt;2,"3-5 YIL",AG693&gt;0.9,"1-3 YIL",AG693&lt;1,"0-1 YIL")</f>
        <v>1-3 YIL</v>
      </c>
      <c r="AJ693">
        <f t="shared" si="31"/>
        <v>2023</v>
      </c>
      <c r="AK693" t="e">
        <f t="shared" si="32"/>
        <v>#VALUE!</v>
      </c>
    </row>
    <row r="694" spans="1:37" x14ac:dyDescent="0.3">
      <c r="A694" s="2" t="s">
        <v>1135</v>
      </c>
      <c r="B694" s="3" t="s">
        <v>1059</v>
      </c>
      <c r="C694" s="2" t="s">
        <v>33</v>
      </c>
      <c r="D694" s="13">
        <v>37578</v>
      </c>
      <c r="E694" s="4">
        <v>24</v>
      </c>
      <c r="F694" s="2" t="s">
        <v>34</v>
      </c>
      <c r="G694" s="4">
        <v>0</v>
      </c>
      <c r="H694" s="2" t="s">
        <v>35</v>
      </c>
      <c r="I694" s="3" t="s">
        <v>36</v>
      </c>
      <c r="J694" s="3" t="s">
        <v>37</v>
      </c>
      <c r="K694" s="2" t="s">
        <v>38</v>
      </c>
      <c r="L694" s="2" t="s">
        <v>39</v>
      </c>
      <c r="M694" s="3" t="s">
        <v>40</v>
      </c>
      <c r="N694" s="2" t="s">
        <v>89</v>
      </c>
      <c r="O694" s="13">
        <v>45878</v>
      </c>
      <c r="P694" s="2" t="s">
        <v>44</v>
      </c>
      <c r="Q694" s="3" t="s">
        <v>44</v>
      </c>
      <c r="R694" s="2" t="s">
        <v>44</v>
      </c>
      <c r="S694" s="2" t="s">
        <v>56</v>
      </c>
      <c r="T694" s="5">
        <v>25900</v>
      </c>
      <c r="U694" s="5">
        <v>0</v>
      </c>
      <c r="V694" s="4">
        <v>21</v>
      </c>
      <c r="W694" s="4">
        <v>30</v>
      </c>
      <c r="X694" s="2" t="s">
        <v>44</v>
      </c>
      <c r="Y694" s="4">
        <v>0</v>
      </c>
      <c r="Z694" s="4">
        <v>0</v>
      </c>
      <c r="AA694" s="4">
        <v>0</v>
      </c>
      <c r="AB694" s="4">
        <v>0</v>
      </c>
      <c r="AC694" s="4">
        <v>2</v>
      </c>
      <c r="AD694" s="4">
        <v>17</v>
      </c>
      <c r="AE694" s="3" t="s">
        <v>58</v>
      </c>
      <c r="AG694">
        <f t="shared" ca="1" si="30"/>
        <v>0</v>
      </c>
      <c r="AH694" s="23" t="str" cm="1">
        <f t="array" ref="AH694">_xlfn.IFS(E694&gt;49,"50+",E694&gt;39,"40-49",E694&gt;29,"30-39",E694&gt;19,"20-29")</f>
        <v>20-29</v>
      </c>
      <c r="AI694" s="24" t="str" cm="1">
        <f t="array" aca="1" ref="AI694" ca="1">_xlfn.IFS(AG694&gt;10,"10+",AG694&gt;4,"5-10 YIL",AG694&gt;2,"3-5 YIL",AG694&gt;0.9,"1-3 YIL",AG694&lt;1,"0-1 YIL")</f>
        <v>0-1 YIL</v>
      </c>
      <c r="AJ694">
        <f t="shared" si="31"/>
        <v>2025</v>
      </c>
      <c r="AK694" t="e">
        <f t="shared" si="32"/>
        <v>#VALUE!</v>
      </c>
    </row>
    <row r="695" spans="1:37" x14ac:dyDescent="0.3">
      <c r="A695" s="6" t="s">
        <v>1136</v>
      </c>
      <c r="B695" s="7" t="s">
        <v>205</v>
      </c>
      <c r="C695" s="6" t="s">
        <v>48</v>
      </c>
      <c r="D695" s="14">
        <v>31940</v>
      </c>
      <c r="E695" s="8">
        <v>39</v>
      </c>
      <c r="F695" s="6" t="s">
        <v>49</v>
      </c>
      <c r="G695" s="8">
        <v>3</v>
      </c>
      <c r="H695" s="6" t="s">
        <v>35</v>
      </c>
      <c r="I695" s="7" t="s">
        <v>139</v>
      </c>
      <c r="J695" s="7" t="s">
        <v>161</v>
      </c>
      <c r="K695" s="6" t="s">
        <v>51</v>
      </c>
      <c r="L695" s="6" t="s">
        <v>63</v>
      </c>
      <c r="M695" s="7" t="s">
        <v>162</v>
      </c>
      <c r="N695" s="6" t="s">
        <v>67</v>
      </c>
      <c r="O695" s="14">
        <v>44132</v>
      </c>
      <c r="P695" s="6" t="s">
        <v>44</v>
      </c>
      <c r="Q695" s="7" t="s">
        <v>44</v>
      </c>
      <c r="R695" s="6" t="s">
        <v>44</v>
      </c>
      <c r="S695" s="6" t="s">
        <v>56</v>
      </c>
      <c r="T695" s="9">
        <v>86200</v>
      </c>
      <c r="U695" s="9">
        <v>0</v>
      </c>
      <c r="V695" s="8">
        <v>2</v>
      </c>
      <c r="W695" s="8">
        <v>30</v>
      </c>
      <c r="X695" s="6" t="s">
        <v>44</v>
      </c>
      <c r="Y695" s="8">
        <v>0</v>
      </c>
      <c r="Z695" s="8">
        <v>10</v>
      </c>
      <c r="AA695" s="8">
        <v>0</v>
      </c>
      <c r="AB695" s="8">
        <v>0</v>
      </c>
      <c r="AC695" s="8">
        <v>3</v>
      </c>
      <c r="AD695" s="8">
        <v>12</v>
      </c>
      <c r="AE695" s="7" t="s">
        <v>58</v>
      </c>
      <c r="AG695">
        <f t="shared" ca="1" si="30"/>
        <v>5</v>
      </c>
      <c r="AH695" s="23" t="str" cm="1">
        <f t="array" ref="AH695">_xlfn.IFS(E695&gt;49,"50+",E695&gt;39,"40-49",E695&gt;29,"30-39",E695&gt;19,"20-29")</f>
        <v>30-39</v>
      </c>
      <c r="AI695" s="24" t="str" cm="1">
        <f t="array" aca="1" ref="AI695" ca="1">_xlfn.IFS(AG695&gt;10,"10+",AG695&gt;4,"5-10 YIL",AG695&gt;2,"3-5 YIL",AG695&gt;0.9,"1-3 YIL",AG695&lt;1,"0-1 YIL")</f>
        <v>5-10 YIL</v>
      </c>
      <c r="AJ695">
        <f t="shared" si="31"/>
        <v>2020</v>
      </c>
      <c r="AK695" t="e">
        <f t="shared" si="32"/>
        <v>#VALUE!</v>
      </c>
    </row>
    <row r="696" spans="1:37" x14ac:dyDescent="0.3">
      <c r="A696" s="2" t="s">
        <v>1137</v>
      </c>
      <c r="B696" s="3" t="s">
        <v>687</v>
      </c>
      <c r="C696" s="2" t="s">
        <v>33</v>
      </c>
      <c r="D696" s="13">
        <v>33438</v>
      </c>
      <c r="E696" s="4">
        <v>35</v>
      </c>
      <c r="F696" s="2" t="s">
        <v>49</v>
      </c>
      <c r="G696" s="4">
        <v>0</v>
      </c>
      <c r="H696" s="2" t="s">
        <v>85</v>
      </c>
      <c r="I696" s="3" t="s">
        <v>36</v>
      </c>
      <c r="J696" s="3" t="s">
        <v>50</v>
      </c>
      <c r="K696" s="2" t="s">
        <v>51</v>
      </c>
      <c r="L696" s="2" t="s">
        <v>39</v>
      </c>
      <c r="M696" s="3" t="s">
        <v>40</v>
      </c>
      <c r="N696" s="2" t="s">
        <v>41</v>
      </c>
      <c r="O696" s="13">
        <v>42490</v>
      </c>
      <c r="P696" s="2" t="s">
        <v>44</v>
      </c>
      <c r="Q696" s="3" t="s">
        <v>44</v>
      </c>
      <c r="R696" s="2" t="s">
        <v>44</v>
      </c>
      <c r="S696" s="2" t="s">
        <v>56</v>
      </c>
      <c r="T696" s="5">
        <v>43100</v>
      </c>
      <c r="U696" s="5">
        <v>0</v>
      </c>
      <c r="V696" s="4">
        <v>36</v>
      </c>
      <c r="W696" s="4">
        <v>25</v>
      </c>
      <c r="X696" s="2" t="s">
        <v>57</v>
      </c>
      <c r="Y696" s="4">
        <v>5</v>
      </c>
      <c r="Z696" s="4">
        <v>4</v>
      </c>
      <c r="AA696" s="4">
        <v>0</v>
      </c>
      <c r="AB696" s="4">
        <v>0</v>
      </c>
      <c r="AC696" s="4">
        <v>3</v>
      </c>
      <c r="AD696" s="4">
        <v>15</v>
      </c>
      <c r="AE696" s="3" t="s">
        <v>45</v>
      </c>
      <c r="AG696">
        <f t="shared" ca="1" si="30"/>
        <v>10</v>
      </c>
      <c r="AH696" s="23" t="str" cm="1">
        <f t="array" ref="AH696">_xlfn.IFS(E696&gt;49,"50+",E696&gt;39,"40-49",E696&gt;29,"30-39",E696&gt;19,"20-29")</f>
        <v>30-39</v>
      </c>
      <c r="AI696" s="24" t="str" cm="1">
        <f t="array" aca="1" ref="AI696" ca="1">_xlfn.IFS(AG696&gt;10,"10+",AG696&gt;4,"5-10 YIL",AG696&gt;2,"3-5 YIL",AG696&gt;0.9,"1-3 YIL",AG696&lt;1,"0-1 YIL")</f>
        <v>5-10 YIL</v>
      </c>
      <c r="AJ696">
        <f t="shared" si="31"/>
        <v>2016</v>
      </c>
      <c r="AK696" t="e">
        <f t="shared" si="32"/>
        <v>#VALUE!</v>
      </c>
    </row>
    <row r="697" spans="1:37" x14ac:dyDescent="0.3">
      <c r="A697" s="6" t="s">
        <v>1138</v>
      </c>
      <c r="B697" s="7" t="s">
        <v>795</v>
      </c>
      <c r="C697" s="6" t="s">
        <v>48</v>
      </c>
      <c r="D697" s="14">
        <v>34596</v>
      </c>
      <c r="E697" s="8">
        <v>32</v>
      </c>
      <c r="F697" s="6" t="s">
        <v>49</v>
      </c>
      <c r="G697" s="8">
        <v>2</v>
      </c>
      <c r="H697" s="6" t="s">
        <v>184</v>
      </c>
      <c r="I697" s="7" t="s">
        <v>148</v>
      </c>
      <c r="J697" s="7" t="s">
        <v>149</v>
      </c>
      <c r="K697" s="6" t="s">
        <v>51</v>
      </c>
      <c r="L697" s="6" t="s">
        <v>63</v>
      </c>
      <c r="M697" s="7" t="s">
        <v>150</v>
      </c>
      <c r="N697" s="6" t="s">
        <v>95</v>
      </c>
      <c r="O697" s="14">
        <v>43018</v>
      </c>
      <c r="P697" s="6" t="s">
        <v>44</v>
      </c>
      <c r="Q697" s="7" t="s">
        <v>44</v>
      </c>
      <c r="R697" s="6" t="s">
        <v>44</v>
      </c>
      <c r="S697" s="6" t="s">
        <v>56</v>
      </c>
      <c r="T697" s="9">
        <v>54800</v>
      </c>
      <c r="U697" s="9">
        <v>0</v>
      </c>
      <c r="V697" s="8">
        <v>1</v>
      </c>
      <c r="W697" s="8">
        <v>25</v>
      </c>
      <c r="X697" s="6" t="s">
        <v>57</v>
      </c>
      <c r="Y697" s="8">
        <v>5</v>
      </c>
      <c r="Z697" s="8">
        <v>4</v>
      </c>
      <c r="AA697" s="8">
        <v>0</v>
      </c>
      <c r="AB697" s="8">
        <v>0</v>
      </c>
      <c r="AC697" s="8">
        <v>2</v>
      </c>
      <c r="AD697" s="8">
        <v>3</v>
      </c>
      <c r="AE697" s="7" t="s">
        <v>58</v>
      </c>
      <c r="AG697">
        <f t="shared" ca="1" si="30"/>
        <v>8</v>
      </c>
      <c r="AH697" s="23" t="str" cm="1">
        <f t="array" ref="AH697">_xlfn.IFS(E697&gt;49,"50+",E697&gt;39,"40-49",E697&gt;29,"30-39",E697&gt;19,"20-29")</f>
        <v>30-39</v>
      </c>
      <c r="AI697" s="24" t="str" cm="1">
        <f t="array" aca="1" ref="AI697" ca="1">_xlfn.IFS(AG697&gt;10,"10+",AG697&gt;4,"5-10 YIL",AG697&gt;2,"3-5 YIL",AG697&gt;0.9,"1-3 YIL",AG697&lt;1,"0-1 YIL")</f>
        <v>5-10 YIL</v>
      </c>
      <c r="AJ697">
        <f t="shared" si="31"/>
        <v>2017</v>
      </c>
      <c r="AK697" t="e">
        <f t="shared" si="32"/>
        <v>#VALUE!</v>
      </c>
    </row>
    <row r="698" spans="1:37" x14ac:dyDescent="0.3">
      <c r="A698" s="2" t="s">
        <v>1139</v>
      </c>
      <c r="B698" s="3" t="s">
        <v>353</v>
      </c>
      <c r="C698" s="2" t="s">
        <v>33</v>
      </c>
      <c r="D698" s="13">
        <v>36876</v>
      </c>
      <c r="E698" s="4">
        <v>26</v>
      </c>
      <c r="F698" s="2" t="s">
        <v>34</v>
      </c>
      <c r="G698" s="4">
        <v>0</v>
      </c>
      <c r="H698" s="2" t="s">
        <v>85</v>
      </c>
      <c r="I698" s="3" t="s">
        <v>139</v>
      </c>
      <c r="J698" s="3" t="s">
        <v>235</v>
      </c>
      <c r="K698" s="2" t="s">
        <v>38</v>
      </c>
      <c r="L698" s="2" t="s">
        <v>63</v>
      </c>
      <c r="M698" s="3" t="s">
        <v>162</v>
      </c>
      <c r="N698" s="2" t="s">
        <v>95</v>
      </c>
      <c r="O698" s="13">
        <v>45451</v>
      </c>
      <c r="P698" s="2" t="s">
        <v>44</v>
      </c>
      <c r="Q698" s="3" t="s">
        <v>44</v>
      </c>
      <c r="R698" s="2" t="s">
        <v>44</v>
      </c>
      <c r="S698" s="2" t="s">
        <v>56</v>
      </c>
      <c r="T698" s="5">
        <v>43400</v>
      </c>
      <c r="U698" s="5">
        <v>0</v>
      </c>
      <c r="V698" s="4">
        <v>9</v>
      </c>
      <c r="W698" s="4">
        <v>27</v>
      </c>
      <c r="X698" s="2" t="s">
        <v>57</v>
      </c>
      <c r="Y698" s="4">
        <v>3</v>
      </c>
      <c r="Z698" s="4">
        <v>6</v>
      </c>
      <c r="AA698" s="4">
        <v>0</v>
      </c>
      <c r="AB698" s="4">
        <v>0</v>
      </c>
      <c r="AC698" s="4">
        <v>3</v>
      </c>
      <c r="AD698" s="4">
        <v>2</v>
      </c>
      <c r="AE698" s="3" t="s">
        <v>58</v>
      </c>
      <c r="AG698">
        <f t="shared" ca="1" si="30"/>
        <v>2</v>
      </c>
      <c r="AH698" s="23" t="str" cm="1">
        <f t="array" ref="AH698">_xlfn.IFS(E698&gt;49,"50+",E698&gt;39,"40-49",E698&gt;29,"30-39",E698&gt;19,"20-29")</f>
        <v>20-29</v>
      </c>
      <c r="AI698" s="24" t="str" cm="1">
        <f t="array" aca="1" ref="AI698" ca="1">_xlfn.IFS(AG698&gt;10,"10+",AG698&gt;4,"5-10 YIL",AG698&gt;2,"3-5 YIL",AG698&gt;0.9,"1-3 YIL",AG698&lt;1,"0-1 YIL")</f>
        <v>1-3 YIL</v>
      </c>
      <c r="AJ698">
        <f t="shared" si="31"/>
        <v>2024</v>
      </c>
      <c r="AK698" t="e">
        <f t="shared" si="32"/>
        <v>#VALUE!</v>
      </c>
    </row>
    <row r="699" spans="1:37" x14ac:dyDescent="0.3">
      <c r="A699" s="6" t="s">
        <v>1140</v>
      </c>
      <c r="B699" s="7" t="s">
        <v>1120</v>
      </c>
      <c r="C699" s="6" t="s">
        <v>33</v>
      </c>
      <c r="D699" s="14">
        <v>29847</v>
      </c>
      <c r="E699" s="8">
        <v>45</v>
      </c>
      <c r="F699" s="6" t="s">
        <v>34</v>
      </c>
      <c r="G699" s="8">
        <v>0</v>
      </c>
      <c r="H699" s="6" t="s">
        <v>35</v>
      </c>
      <c r="I699" s="7" t="s">
        <v>61</v>
      </c>
      <c r="J699" s="7" t="s">
        <v>124</v>
      </c>
      <c r="K699" s="6" t="s">
        <v>79</v>
      </c>
      <c r="L699" s="6" t="s">
        <v>63</v>
      </c>
      <c r="M699" s="7" t="s">
        <v>80</v>
      </c>
      <c r="N699" s="6" t="s">
        <v>52</v>
      </c>
      <c r="O699" s="14">
        <v>42342</v>
      </c>
      <c r="P699" s="6" t="s">
        <v>44</v>
      </c>
      <c r="Q699" s="7" t="s">
        <v>44</v>
      </c>
      <c r="R699" s="6" t="s">
        <v>44</v>
      </c>
      <c r="S699" s="6" t="s">
        <v>56</v>
      </c>
      <c r="T699" s="9">
        <v>103300</v>
      </c>
      <c r="U699" s="9">
        <v>23100</v>
      </c>
      <c r="V699" s="8">
        <v>4</v>
      </c>
      <c r="W699" s="8">
        <v>27</v>
      </c>
      <c r="X699" s="6" t="s">
        <v>57</v>
      </c>
      <c r="Y699" s="8">
        <v>3</v>
      </c>
      <c r="Z699" s="8">
        <v>5</v>
      </c>
      <c r="AA699" s="8">
        <v>0</v>
      </c>
      <c r="AB699" s="8">
        <v>0</v>
      </c>
      <c r="AC699" s="8">
        <v>4</v>
      </c>
      <c r="AD699" s="8">
        <v>22</v>
      </c>
      <c r="AE699" s="7" t="s">
        <v>58</v>
      </c>
      <c r="AG699">
        <f t="shared" ca="1" si="30"/>
        <v>10</v>
      </c>
      <c r="AH699" s="23" t="str" cm="1">
        <f t="array" ref="AH699">_xlfn.IFS(E699&gt;49,"50+",E699&gt;39,"40-49",E699&gt;29,"30-39",E699&gt;19,"20-29")</f>
        <v>40-49</v>
      </c>
      <c r="AI699" s="24" t="str" cm="1">
        <f t="array" aca="1" ref="AI699" ca="1">_xlfn.IFS(AG699&gt;10,"10+",AG699&gt;4,"5-10 YIL",AG699&gt;2,"3-5 YIL",AG699&gt;0.9,"1-3 YIL",AG699&lt;1,"0-1 YIL")</f>
        <v>5-10 YIL</v>
      </c>
      <c r="AJ699">
        <f t="shared" si="31"/>
        <v>2015</v>
      </c>
      <c r="AK699" t="e">
        <f t="shared" si="32"/>
        <v>#VALUE!</v>
      </c>
    </row>
    <row r="700" spans="1:37" x14ac:dyDescent="0.3">
      <c r="A700" s="2" t="s">
        <v>1141</v>
      </c>
      <c r="B700" s="3" t="s">
        <v>536</v>
      </c>
      <c r="C700" s="2" t="s">
        <v>48</v>
      </c>
      <c r="D700" s="13">
        <v>30268</v>
      </c>
      <c r="E700" s="4">
        <v>44</v>
      </c>
      <c r="F700" s="2" t="s">
        <v>49</v>
      </c>
      <c r="G700" s="4">
        <v>1</v>
      </c>
      <c r="H700" s="2" t="s">
        <v>35</v>
      </c>
      <c r="I700" s="3" t="s">
        <v>61</v>
      </c>
      <c r="J700" s="3" t="s">
        <v>107</v>
      </c>
      <c r="K700" s="2" t="s">
        <v>51</v>
      </c>
      <c r="L700" s="2" t="s">
        <v>63</v>
      </c>
      <c r="M700" s="3" t="s">
        <v>64</v>
      </c>
      <c r="N700" s="2" t="s">
        <v>95</v>
      </c>
      <c r="O700" s="13">
        <v>44942</v>
      </c>
      <c r="P700" s="2" t="s">
        <v>44</v>
      </c>
      <c r="Q700" s="3" t="s">
        <v>44</v>
      </c>
      <c r="R700" s="2" t="s">
        <v>44</v>
      </c>
      <c r="S700" s="2" t="s">
        <v>56</v>
      </c>
      <c r="T700" s="5">
        <v>61800</v>
      </c>
      <c r="U700" s="5">
        <v>11200</v>
      </c>
      <c r="V700" s="4">
        <v>5</v>
      </c>
      <c r="W700" s="4">
        <v>30</v>
      </c>
      <c r="X700" s="2" t="s">
        <v>44</v>
      </c>
      <c r="Y700" s="4">
        <v>0</v>
      </c>
      <c r="Z700" s="4">
        <v>14</v>
      </c>
      <c r="AA700" s="4">
        <v>0</v>
      </c>
      <c r="AB700" s="4">
        <v>0</v>
      </c>
      <c r="AC700" s="4">
        <v>3</v>
      </c>
      <c r="AD700" s="4">
        <v>17</v>
      </c>
      <c r="AE700" s="3" t="s">
        <v>58</v>
      </c>
      <c r="AG700">
        <f t="shared" ca="1" si="30"/>
        <v>3</v>
      </c>
      <c r="AH700" s="23" t="str" cm="1">
        <f t="array" ref="AH700">_xlfn.IFS(E700&gt;49,"50+",E700&gt;39,"40-49",E700&gt;29,"30-39",E700&gt;19,"20-29")</f>
        <v>40-49</v>
      </c>
      <c r="AI700" s="24" t="str" cm="1">
        <f t="array" aca="1" ref="AI700" ca="1">_xlfn.IFS(AG700&gt;10,"10+",AG700&gt;4,"5-10 YIL",AG700&gt;2,"3-5 YIL",AG700&gt;0.9,"1-3 YIL",AG700&lt;1,"0-1 YIL")</f>
        <v>3-5 YIL</v>
      </c>
      <c r="AJ700">
        <f t="shared" si="31"/>
        <v>2023</v>
      </c>
      <c r="AK700" t="e">
        <f t="shared" si="32"/>
        <v>#VALUE!</v>
      </c>
    </row>
    <row r="701" spans="1:37" x14ac:dyDescent="0.3">
      <c r="A701" s="6" t="s">
        <v>1142</v>
      </c>
      <c r="B701" s="7" t="s">
        <v>549</v>
      </c>
      <c r="C701" s="6" t="s">
        <v>48</v>
      </c>
      <c r="D701" s="14">
        <v>30307</v>
      </c>
      <c r="E701" s="8">
        <v>44</v>
      </c>
      <c r="F701" s="6" t="s">
        <v>49</v>
      </c>
      <c r="G701" s="8">
        <v>1</v>
      </c>
      <c r="H701" s="6" t="s">
        <v>85</v>
      </c>
      <c r="I701" s="7" t="s">
        <v>61</v>
      </c>
      <c r="J701" s="7" t="s">
        <v>124</v>
      </c>
      <c r="K701" s="6" t="s">
        <v>79</v>
      </c>
      <c r="L701" s="6" t="s">
        <v>63</v>
      </c>
      <c r="M701" s="7" t="s">
        <v>80</v>
      </c>
      <c r="N701" s="6" t="s">
        <v>52</v>
      </c>
      <c r="O701" s="14">
        <v>43721</v>
      </c>
      <c r="P701" s="6" t="s">
        <v>44</v>
      </c>
      <c r="Q701" s="7" t="s">
        <v>44</v>
      </c>
      <c r="R701" s="6" t="s">
        <v>44</v>
      </c>
      <c r="S701" s="6" t="s">
        <v>56</v>
      </c>
      <c r="T701" s="9">
        <v>109400</v>
      </c>
      <c r="U701" s="9">
        <v>34100</v>
      </c>
      <c r="V701" s="8">
        <v>1</v>
      </c>
      <c r="W701" s="8">
        <v>28</v>
      </c>
      <c r="X701" s="6" t="s">
        <v>57</v>
      </c>
      <c r="Y701" s="8">
        <v>2</v>
      </c>
      <c r="Z701" s="8">
        <v>1</v>
      </c>
      <c r="AA701" s="8">
        <v>0</v>
      </c>
      <c r="AB701" s="8">
        <v>0</v>
      </c>
      <c r="AC701" s="8">
        <v>3</v>
      </c>
      <c r="AD701" s="8">
        <v>4</v>
      </c>
      <c r="AE701" s="7" t="s">
        <v>73</v>
      </c>
      <c r="AG701">
        <f t="shared" ca="1" si="30"/>
        <v>6</v>
      </c>
      <c r="AH701" s="23" t="str" cm="1">
        <f t="array" ref="AH701">_xlfn.IFS(E701&gt;49,"50+",E701&gt;39,"40-49",E701&gt;29,"30-39",E701&gt;19,"20-29")</f>
        <v>40-49</v>
      </c>
      <c r="AI701" s="24" t="str" cm="1">
        <f t="array" aca="1" ref="AI701" ca="1">_xlfn.IFS(AG701&gt;10,"10+",AG701&gt;4,"5-10 YIL",AG701&gt;2,"3-5 YIL",AG701&gt;0.9,"1-3 YIL",AG701&lt;1,"0-1 YIL")</f>
        <v>5-10 YIL</v>
      </c>
      <c r="AJ701">
        <f t="shared" si="31"/>
        <v>2019</v>
      </c>
      <c r="AK701" t="e">
        <f t="shared" si="32"/>
        <v>#VALUE!</v>
      </c>
    </row>
    <row r="702" spans="1:37" x14ac:dyDescent="0.3">
      <c r="A702" s="2" t="s">
        <v>1143</v>
      </c>
      <c r="B702" s="3" t="s">
        <v>1123</v>
      </c>
      <c r="C702" s="2" t="s">
        <v>48</v>
      </c>
      <c r="D702" s="13">
        <v>35443</v>
      </c>
      <c r="E702" s="4">
        <v>29</v>
      </c>
      <c r="F702" s="2" t="s">
        <v>49</v>
      </c>
      <c r="G702" s="4">
        <v>3</v>
      </c>
      <c r="H702" s="2" t="s">
        <v>35</v>
      </c>
      <c r="I702" s="3" t="s">
        <v>36</v>
      </c>
      <c r="J702" s="3" t="s">
        <v>37</v>
      </c>
      <c r="K702" s="2" t="s">
        <v>38</v>
      </c>
      <c r="L702" s="2" t="s">
        <v>39</v>
      </c>
      <c r="M702" s="3" t="s">
        <v>40</v>
      </c>
      <c r="N702" s="2" t="s">
        <v>89</v>
      </c>
      <c r="O702" s="13">
        <v>45170</v>
      </c>
      <c r="P702" s="2" t="s">
        <v>44</v>
      </c>
      <c r="Q702" s="3" t="s">
        <v>44</v>
      </c>
      <c r="R702" s="2" t="s">
        <v>44</v>
      </c>
      <c r="S702" s="2" t="s">
        <v>56</v>
      </c>
      <c r="T702" s="5">
        <v>24000</v>
      </c>
      <c r="U702" s="5">
        <v>0</v>
      </c>
      <c r="V702" s="4">
        <v>20</v>
      </c>
      <c r="W702" s="4">
        <v>27</v>
      </c>
      <c r="X702" s="2" t="s">
        <v>81</v>
      </c>
      <c r="Y702" s="4">
        <v>0</v>
      </c>
      <c r="Z702" s="4">
        <v>3</v>
      </c>
      <c r="AA702" s="4">
        <v>3</v>
      </c>
      <c r="AB702" s="4">
        <v>0</v>
      </c>
      <c r="AC702" s="4">
        <v>5</v>
      </c>
      <c r="AD702" s="4">
        <v>21</v>
      </c>
      <c r="AE702" s="3" t="s">
        <v>82</v>
      </c>
      <c r="AG702">
        <f t="shared" ca="1" si="30"/>
        <v>2</v>
      </c>
      <c r="AH702" s="23" t="str" cm="1">
        <f t="array" ref="AH702">_xlfn.IFS(E702&gt;49,"50+",E702&gt;39,"40-49",E702&gt;29,"30-39",E702&gt;19,"20-29")</f>
        <v>20-29</v>
      </c>
      <c r="AI702" s="24" t="str" cm="1">
        <f t="array" aca="1" ref="AI702" ca="1">_xlfn.IFS(AG702&gt;10,"10+",AG702&gt;4,"5-10 YIL",AG702&gt;2,"3-5 YIL",AG702&gt;0.9,"1-3 YIL",AG702&lt;1,"0-1 YIL")</f>
        <v>1-3 YIL</v>
      </c>
      <c r="AJ702">
        <f t="shared" si="31"/>
        <v>2023</v>
      </c>
      <c r="AK702" t="e">
        <f t="shared" si="32"/>
        <v>#VALUE!</v>
      </c>
    </row>
    <row r="703" spans="1:37" x14ac:dyDescent="0.3">
      <c r="A703" s="6" t="s">
        <v>1144</v>
      </c>
      <c r="B703" s="7" t="s">
        <v>711</v>
      </c>
      <c r="C703" s="6" t="s">
        <v>33</v>
      </c>
      <c r="D703" s="14">
        <v>37280</v>
      </c>
      <c r="E703" s="8">
        <v>24</v>
      </c>
      <c r="F703" s="6" t="s">
        <v>49</v>
      </c>
      <c r="G703" s="8">
        <v>3</v>
      </c>
      <c r="H703" s="6" t="s">
        <v>85</v>
      </c>
      <c r="I703" s="7" t="s">
        <v>61</v>
      </c>
      <c r="J703" s="7" t="s">
        <v>62</v>
      </c>
      <c r="K703" s="6" t="s">
        <v>38</v>
      </c>
      <c r="L703" s="6" t="s">
        <v>63</v>
      </c>
      <c r="M703" s="7" t="s">
        <v>64</v>
      </c>
      <c r="N703" s="6" t="s">
        <v>67</v>
      </c>
      <c r="O703" s="14">
        <v>46016</v>
      </c>
      <c r="P703" s="6" t="s">
        <v>44</v>
      </c>
      <c r="Q703" s="7" t="s">
        <v>44</v>
      </c>
      <c r="R703" s="6" t="s">
        <v>44</v>
      </c>
      <c r="S703" s="6" t="s">
        <v>56</v>
      </c>
      <c r="T703" s="9">
        <v>35900</v>
      </c>
      <c r="U703" s="9">
        <v>3700</v>
      </c>
      <c r="V703" s="8">
        <v>5</v>
      </c>
      <c r="W703" s="8">
        <v>25</v>
      </c>
      <c r="X703" s="6" t="s">
        <v>57</v>
      </c>
      <c r="Y703" s="8">
        <v>5</v>
      </c>
      <c r="Z703" s="8">
        <v>0</v>
      </c>
      <c r="AA703" s="8">
        <v>0</v>
      </c>
      <c r="AB703" s="8">
        <v>0</v>
      </c>
      <c r="AC703" s="8">
        <v>3</v>
      </c>
      <c r="AD703" s="8">
        <v>11</v>
      </c>
      <c r="AE703" s="7" t="s">
        <v>82</v>
      </c>
      <c r="AG703">
        <f t="shared" ca="1" si="30"/>
        <v>0</v>
      </c>
      <c r="AH703" s="23" t="str" cm="1">
        <f t="array" ref="AH703">_xlfn.IFS(E703&gt;49,"50+",E703&gt;39,"40-49",E703&gt;29,"30-39",E703&gt;19,"20-29")</f>
        <v>20-29</v>
      </c>
      <c r="AI703" s="24" t="str" cm="1">
        <f t="array" aca="1" ref="AI703" ca="1">_xlfn.IFS(AG703&gt;10,"10+",AG703&gt;4,"5-10 YIL",AG703&gt;2,"3-5 YIL",AG703&gt;0.9,"1-3 YIL",AG703&lt;1,"0-1 YIL")</f>
        <v>0-1 YIL</v>
      </c>
      <c r="AJ703">
        <f t="shared" si="31"/>
        <v>2025</v>
      </c>
      <c r="AK703" t="e">
        <f t="shared" si="32"/>
        <v>#VALUE!</v>
      </c>
    </row>
    <row r="704" spans="1:37" x14ac:dyDescent="0.3">
      <c r="A704" s="2" t="s">
        <v>1145</v>
      </c>
      <c r="B704" s="3" t="s">
        <v>808</v>
      </c>
      <c r="C704" s="2" t="s">
        <v>48</v>
      </c>
      <c r="D704" s="13">
        <v>35096</v>
      </c>
      <c r="E704" s="4">
        <v>30</v>
      </c>
      <c r="F704" s="2" t="s">
        <v>49</v>
      </c>
      <c r="G704" s="4">
        <v>2</v>
      </c>
      <c r="H704" s="2" t="s">
        <v>35</v>
      </c>
      <c r="I704" s="3" t="s">
        <v>61</v>
      </c>
      <c r="J704" s="3" t="s">
        <v>107</v>
      </c>
      <c r="K704" s="2" t="s">
        <v>51</v>
      </c>
      <c r="L704" s="2" t="s">
        <v>63</v>
      </c>
      <c r="M704" s="3" t="s">
        <v>64</v>
      </c>
      <c r="N704" s="2" t="s">
        <v>41</v>
      </c>
      <c r="O704" s="13">
        <v>44158</v>
      </c>
      <c r="P704" s="2" t="s">
        <v>44</v>
      </c>
      <c r="Q704" s="3" t="s">
        <v>44</v>
      </c>
      <c r="R704" s="2" t="s">
        <v>44</v>
      </c>
      <c r="S704" s="2" t="s">
        <v>56</v>
      </c>
      <c r="T704" s="5">
        <v>52700</v>
      </c>
      <c r="U704" s="5">
        <v>13900</v>
      </c>
      <c r="V704" s="4">
        <v>5</v>
      </c>
      <c r="W704" s="4">
        <v>29</v>
      </c>
      <c r="X704" s="2" t="s">
        <v>57</v>
      </c>
      <c r="Y704" s="4">
        <v>1</v>
      </c>
      <c r="Z704" s="4">
        <v>12</v>
      </c>
      <c r="AA704" s="4">
        <v>0</v>
      </c>
      <c r="AB704" s="4">
        <v>0</v>
      </c>
      <c r="AC704" s="4">
        <v>3</v>
      </c>
      <c r="AD704" s="4">
        <v>13</v>
      </c>
      <c r="AE704" s="3" t="s">
        <v>45</v>
      </c>
      <c r="AG704">
        <f t="shared" ca="1" si="30"/>
        <v>5</v>
      </c>
      <c r="AH704" s="23" t="str" cm="1">
        <f t="array" ref="AH704">_xlfn.IFS(E704&gt;49,"50+",E704&gt;39,"40-49",E704&gt;29,"30-39",E704&gt;19,"20-29")</f>
        <v>30-39</v>
      </c>
      <c r="AI704" s="24" t="str" cm="1">
        <f t="array" aca="1" ref="AI704" ca="1">_xlfn.IFS(AG704&gt;10,"10+",AG704&gt;4,"5-10 YIL",AG704&gt;2,"3-5 YIL",AG704&gt;0.9,"1-3 YIL",AG704&lt;1,"0-1 YIL")</f>
        <v>5-10 YIL</v>
      </c>
      <c r="AJ704">
        <f t="shared" si="31"/>
        <v>2020</v>
      </c>
      <c r="AK704" t="e">
        <f t="shared" si="32"/>
        <v>#VALUE!</v>
      </c>
    </row>
    <row r="705" spans="1:37" x14ac:dyDescent="0.3">
      <c r="A705" s="6" t="s">
        <v>1146</v>
      </c>
      <c r="B705" s="7" t="s">
        <v>220</v>
      </c>
      <c r="C705" s="6" t="s">
        <v>33</v>
      </c>
      <c r="D705" s="14">
        <v>30611</v>
      </c>
      <c r="E705" s="8">
        <v>43</v>
      </c>
      <c r="F705" s="6" t="s">
        <v>34</v>
      </c>
      <c r="G705" s="8">
        <v>0</v>
      </c>
      <c r="H705" s="6" t="s">
        <v>35</v>
      </c>
      <c r="I705" s="7" t="s">
        <v>61</v>
      </c>
      <c r="J705" s="7" t="s">
        <v>107</v>
      </c>
      <c r="K705" s="6" t="s">
        <v>51</v>
      </c>
      <c r="L705" s="6" t="s">
        <v>63</v>
      </c>
      <c r="M705" s="7" t="s">
        <v>64</v>
      </c>
      <c r="N705" s="6" t="s">
        <v>41</v>
      </c>
      <c r="O705" s="14">
        <v>43052</v>
      </c>
      <c r="P705" s="6" t="s">
        <v>44</v>
      </c>
      <c r="Q705" s="7" t="s">
        <v>44</v>
      </c>
      <c r="R705" s="6" t="s">
        <v>44</v>
      </c>
      <c r="S705" s="6" t="s">
        <v>56</v>
      </c>
      <c r="T705" s="9">
        <v>57700</v>
      </c>
      <c r="U705" s="9">
        <v>15000</v>
      </c>
      <c r="V705" s="8">
        <v>4</v>
      </c>
      <c r="W705" s="8">
        <v>30</v>
      </c>
      <c r="X705" s="6" t="s">
        <v>44</v>
      </c>
      <c r="Y705" s="8">
        <v>0</v>
      </c>
      <c r="Z705" s="8">
        <v>5</v>
      </c>
      <c r="AA705" s="8">
        <v>0</v>
      </c>
      <c r="AB705" s="8">
        <v>0</v>
      </c>
      <c r="AC705" s="8">
        <v>3</v>
      </c>
      <c r="AD705" s="8">
        <v>13</v>
      </c>
      <c r="AE705" s="7" t="s">
        <v>58</v>
      </c>
      <c r="AG705">
        <f t="shared" ca="1" si="30"/>
        <v>8</v>
      </c>
      <c r="AH705" s="23" t="str" cm="1">
        <f t="array" ref="AH705">_xlfn.IFS(E705&gt;49,"50+",E705&gt;39,"40-49",E705&gt;29,"30-39",E705&gt;19,"20-29")</f>
        <v>40-49</v>
      </c>
      <c r="AI705" s="24" t="str" cm="1">
        <f t="array" aca="1" ref="AI705" ca="1">_xlfn.IFS(AG705&gt;10,"10+",AG705&gt;4,"5-10 YIL",AG705&gt;2,"3-5 YIL",AG705&gt;0.9,"1-3 YIL",AG705&lt;1,"0-1 YIL")</f>
        <v>5-10 YIL</v>
      </c>
      <c r="AJ705">
        <f t="shared" si="31"/>
        <v>2017</v>
      </c>
      <c r="AK705" t="e">
        <f t="shared" si="32"/>
        <v>#VALUE!</v>
      </c>
    </row>
    <row r="706" spans="1:37" x14ac:dyDescent="0.3">
      <c r="A706" s="2" t="s">
        <v>1147</v>
      </c>
      <c r="B706" s="3" t="s">
        <v>555</v>
      </c>
      <c r="C706" s="2" t="s">
        <v>48</v>
      </c>
      <c r="D706" s="13">
        <v>36078</v>
      </c>
      <c r="E706" s="4">
        <v>28</v>
      </c>
      <c r="F706" s="2" t="s">
        <v>49</v>
      </c>
      <c r="G706" s="4">
        <v>1</v>
      </c>
      <c r="H706" s="2" t="s">
        <v>35</v>
      </c>
      <c r="I706" s="3" t="s">
        <v>70</v>
      </c>
      <c r="J706" s="3" t="s">
        <v>92</v>
      </c>
      <c r="K706" s="2" t="s">
        <v>38</v>
      </c>
      <c r="L706" s="2" t="s">
        <v>63</v>
      </c>
      <c r="M706" s="3" t="s">
        <v>72</v>
      </c>
      <c r="N706" s="2" t="s">
        <v>41</v>
      </c>
      <c r="O706" s="13">
        <v>45473</v>
      </c>
      <c r="P706" s="13">
        <v>45585</v>
      </c>
      <c r="Q706" s="3" t="s">
        <v>53</v>
      </c>
      <c r="R706" s="2">
        <v>4</v>
      </c>
      <c r="S706" s="2" t="s">
        <v>43</v>
      </c>
      <c r="T706" s="5">
        <v>36700</v>
      </c>
      <c r="U706" s="5">
        <v>0</v>
      </c>
      <c r="V706" s="4">
        <v>0</v>
      </c>
      <c r="W706" s="4">
        <v>30</v>
      </c>
      <c r="X706" s="2" t="s">
        <v>44</v>
      </c>
      <c r="Y706" s="4">
        <v>0</v>
      </c>
      <c r="Z706" s="4">
        <v>12</v>
      </c>
      <c r="AA706" s="4">
        <v>0</v>
      </c>
      <c r="AB706" s="4">
        <v>0</v>
      </c>
      <c r="AC706" s="4">
        <v>2</v>
      </c>
      <c r="AD706" s="4">
        <v>3</v>
      </c>
      <c r="AE706" s="3" t="s">
        <v>82</v>
      </c>
      <c r="AG706">
        <f t="shared" ca="1" si="30"/>
        <v>2</v>
      </c>
      <c r="AH706" s="23" t="str" cm="1">
        <f t="array" ref="AH706">_xlfn.IFS(E706&gt;49,"50+",E706&gt;39,"40-49",E706&gt;29,"30-39",E706&gt;19,"20-29")</f>
        <v>20-29</v>
      </c>
      <c r="AI706" s="24" t="str" cm="1">
        <f t="array" aca="1" ref="AI706" ca="1">_xlfn.IFS(AG706&gt;10,"10+",AG706&gt;4,"5-10 YIL",AG706&gt;2,"3-5 YIL",AG706&gt;0.9,"1-3 YIL",AG706&lt;1,"0-1 YIL")</f>
        <v>1-3 YIL</v>
      </c>
      <c r="AJ706">
        <f t="shared" si="31"/>
        <v>2024</v>
      </c>
      <c r="AK706">
        <f t="shared" si="32"/>
        <v>2024</v>
      </c>
    </row>
    <row r="707" spans="1:37" x14ac:dyDescent="0.3">
      <c r="A707" s="6" t="s">
        <v>1148</v>
      </c>
      <c r="B707" s="7" t="s">
        <v>323</v>
      </c>
      <c r="C707" s="6" t="s">
        <v>33</v>
      </c>
      <c r="D707" s="14">
        <v>34737</v>
      </c>
      <c r="E707" s="8">
        <v>31</v>
      </c>
      <c r="F707" s="6" t="s">
        <v>49</v>
      </c>
      <c r="G707" s="8">
        <v>1</v>
      </c>
      <c r="H707" s="6" t="s">
        <v>35</v>
      </c>
      <c r="I707" s="7" t="s">
        <v>70</v>
      </c>
      <c r="J707" s="7" t="s">
        <v>71</v>
      </c>
      <c r="K707" s="6" t="s">
        <v>51</v>
      </c>
      <c r="L707" s="6" t="s">
        <v>63</v>
      </c>
      <c r="M707" s="7" t="s">
        <v>72</v>
      </c>
      <c r="N707" s="6" t="s">
        <v>67</v>
      </c>
      <c r="O707" s="14">
        <v>42343</v>
      </c>
      <c r="P707" s="6" t="s">
        <v>44</v>
      </c>
      <c r="Q707" s="7" t="s">
        <v>44</v>
      </c>
      <c r="R707" s="6" t="s">
        <v>44</v>
      </c>
      <c r="S707" s="6" t="s">
        <v>56</v>
      </c>
      <c r="T707" s="9">
        <v>59600</v>
      </c>
      <c r="U707" s="9">
        <v>8000</v>
      </c>
      <c r="V707" s="8">
        <v>4</v>
      </c>
      <c r="W707" s="8">
        <v>30</v>
      </c>
      <c r="X707" s="6" t="s">
        <v>44</v>
      </c>
      <c r="Y707" s="8">
        <v>0</v>
      </c>
      <c r="Z707" s="8">
        <v>6</v>
      </c>
      <c r="AA707" s="8">
        <v>0</v>
      </c>
      <c r="AB707" s="8">
        <v>0</v>
      </c>
      <c r="AC707" s="8">
        <v>2</v>
      </c>
      <c r="AD707" s="8">
        <v>15</v>
      </c>
      <c r="AE707" s="7" t="s">
        <v>58</v>
      </c>
      <c r="AG707">
        <f t="shared" ref="AG707:AG770" ca="1" si="33">DATEDIF(O707,TODAY(),"Y")</f>
        <v>10</v>
      </c>
      <c r="AH707" s="23" t="str" cm="1">
        <f t="array" ref="AH707">_xlfn.IFS(E707&gt;49,"50+",E707&gt;39,"40-49",E707&gt;29,"30-39",E707&gt;19,"20-29")</f>
        <v>30-39</v>
      </c>
      <c r="AI707" s="24" t="str" cm="1">
        <f t="array" aca="1" ref="AI707" ca="1">_xlfn.IFS(AG707&gt;10,"10+",AG707&gt;4,"5-10 YIL",AG707&gt;2,"3-5 YIL",AG707&gt;0.9,"1-3 YIL",AG707&lt;1,"0-1 YIL")</f>
        <v>5-10 YIL</v>
      </c>
      <c r="AJ707">
        <f t="shared" ref="AJ707:AJ770" si="34">YEAR(O707)</f>
        <v>2015</v>
      </c>
      <c r="AK707" t="e">
        <f t="shared" ref="AK707:AK770" si="35">YEAR(P707)</f>
        <v>#VALUE!</v>
      </c>
    </row>
    <row r="708" spans="1:37" x14ac:dyDescent="0.3">
      <c r="A708" s="2" t="s">
        <v>1149</v>
      </c>
      <c r="B708" s="3" t="s">
        <v>1150</v>
      </c>
      <c r="C708" s="2" t="s">
        <v>48</v>
      </c>
      <c r="D708" s="13">
        <v>37686</v>
      </c>
      <c r="E708" s="4">
        <v>23</v>
      </c>
      <c r="F708" s="2" t="s">
        <v>49</v>
      </c>
      <c r="G708" s="4">
        <v>1</v>
      </c>
      <c r="H708" s="2" t="s">
        <v>85</v>
      </c>
      <c r="I708" s="3" t="s">
        <v>36</v>
      </c>
      <c r="J708" s="3" t="s">
        <v>37</v>
      </c>
      <c r="K708" s="2" t="s">
        <v>38</v>
      </c>
      <c r="L708" s="2" t="s">
        <v>39</v>
      </c>
      <c r="M708" s="3" t="s">
        <v>40</v>
      </c>
      <c r="N708" s="2" t="s">
        <v>41</v>
      </c>
      <c r="O708" s="13">
        <v>45017</v>
      </c>
      <c r="P708" s="2" t="s">
        <v>44</v>
      </c>
      <c r="Q708" s="3" t="s">
        <v>44</v>
      </c>
      <c r="R708" s="2" t="s">
        <v>44</v>
      </c>
      <c r="S708" s="2" t="s">
        <v>56</v>
      </c>
      <c r="T708" s="5">
        <v>27700</v>
      </c>
      <c r="U708" s="5">
        <v>0</v>
      </c>
      <c r="V708" s="4">
        <v>17</v>
      </c>
      <c r="W708" s="4">
        <v>30</v>
      </c>
      <c r="X708" s="2" t="s">
        <v>44</v>
      </c>
      <c r="Y708" s="4">
        <v>0</v>
      </c>
      <c r="Z708" s="4">
        <v>13</v>
      </c>
      <c r="AA708" s="4">
        <v>0</v>
      </c>
      <c r="AB708" s="4">
        <v>0</v>
      </c>
      <c r="AC708" s="4">
        <v>2</v>
      </c>
      <c r="AD708" s="4">
        <v>12</v>
      </c>
      <c r="AE708" s="3" t="s">
        <v>45</v>
      </c>
      <c r="AG708">
        <f t="shared" ca="1" si="33"/>
        <v>3</v>
      </c>
      <c r="AH708" s="23" t="str" cm="1">
        <f t="array" ref="AH708">_xlfn.IFS(E708&gt;49,"50+",E708&gt;39,"40-49",E708&gt;29,"30-39",E708&gt;19,"20-29")</f>
        <v>20-29</v>
      </c>
      <c r="AI708" s="24" t="str" cm="1">
        <f t="array" aca="1" ref="AI708" ca="1">_xlfn.IFS(AG708&gt;10,"10+",AG708&gt;4,"5-10 YIL",AG708&gt;2,"3-5 YIL",AG708&gt;0.9,"1-3 YIL",AG708&lt;1,"0-1 YIL")</f>
        <v>3-5 YIL</v>
      </c>
      <c r="AJ708">
        <f t="shared" si="34"/>
        <v>2023</v>
      </c>
      <c r="AK708" t="e">
        <f t="shared" si="35"/>
        <v>#VALUE!</v>
      </c>
    </row>
    <row r="709" spans="1:37" x14ac:dyDescent="0.3">
      <c r="A709" s="6" t="s">
        <v>1151</v>
      </c>
      <c r="B709" s="7" t="s">
        <v>575</v>
      </c>
      <c r="C709" s="6" t="s">
        <v>33</v>
      </c>
      <c r="D709" s="14">
        <v>32542</v>
      </c>
      <c r="E709" s="8">
        <v>37</v>
      </c>
      <c r="F709" s="6" t="s">
        <v>49</v>
      </c>
      <c r="G709" s="8">
        <v>1</v>
      </c>
      <c r="H709" s="6" t="s">
        <v>35</v>
      </c>
      <c r="I709" s="7" t="s">
        <v>148</v>
      </c>
      <c r="J709" s="7" t="s">
        <v>149</v>
      </c>
      <c r="K709" s="6" t="s">
        <v>51</v>
      </c>
      <c r="L709" s="6" t="s">
        <v>63</v>
      </c>
      <c r="M709" s="7" t="s">
        <v>150</v>
      </c>
      <c r="N709" s="6" t="s">
        <v>89</v>
      </c>
      <c r="O709" s="14">
        <v>42793</v>
      </c>
      <c r="P709" s="6" t="s">
        <v>44</v>
      </c>
      <c r="Q709" s="7" t="s">
        <v>44</v>
      </c>
      <c r="R709" s="6" t="s">
        <v>44</v>
      </c>
      <c r="S709" s="6" t="s">
        <v>56</v>
      </c>
      <c r="T709" s="9">
        <v>50500</v>
      </c>
      <c r="U709" s="9">
        <v>0</v>
      </c>
      <c r="V709" s="8">
        <v>8</v>
      </c>
      <c r="W709" s="8">
        <v>30</v>
      </c>
      <c r="X709" s="6" t="s">
        <v>44</v>
      </c>
      <c r="Y709" s="8">
        <v>0</v>
      </c>
      <c r="Z709" s="8">
        <v>7</v>
      </c>
      <c r="AA709" s="8">
        <v>0</v>
      </c>
      <c r="AB709" s="8">
        <v>0</v>
      </c>
      <c r="AC709" s="8">
        <v>3</v>
      </c>
      <c r="AD709" s="8">
        <v>19</v>
      </c>
      <c r="AE709" s="7" t="s">
        <v>45</v>
      </c>
      <c r="AG709">
        <f t="shared" ca="1" si="33"/>
        <v>9</v>
      </c>
      <c r="AH709" s="23" t="str" cm="1">
        <f t="array" ref="AH709">_xlfn.IFS(E709&gt;49,"50+",E709&gt;39,"40-49",E709&gt;29,"30-39",E709&gt;19,"20-29")</f>
        <v>30-39</v>
      </c>
      <c r="AI709" s="24" t="str" cm="1">
        <f t="array" aca="1" ref="AI709" ca="1">_xlfn.IFS(AG709&gt;10,"10+",AG709&gt;4,"5-10 YIL",AG709&gt;2,"3-5 YIL",AG709&gt;0.9,"1-3 YIL",AG709&lt;1,"0-1 YIL")</f>
        <v>5-10 YIL</v>
      </c>
      <c r="AJ709">
        <f t="shared" si="34"/>
        <v>2017</v>
      </c>
      <c r="AK709" t="e">
        <f t="shared" si="35"/>
        <v>#VALUE!</v>
      </c>
    </row>
    <row r="710" spans="1:37" x14ac:dyDescent="0.3">
      <c r="A710" s="2" t="s">
        <v>1152</v>
      </c>
      <c r="B710" s="3" t="s">
        <v>91</v>
      </c>
      <c r="C710" s="2" t="s">
        <v>48</v>
      </c>
      <c r="D710" s="13">
        <v>25423</v>
      </c>
      <c r="E710" s="4">
        <v>57</v>
      </c>
      <c r="F710" s="2" t="s">
        <v>34</v>
      </c>
      <c r="G710" s="4">
        <v>0</v>
      </c>
      <c r="H710" s="2" t="s">
        <v>85</v>
      </c>
      <c r="I710" s="3" t="s">
        <v>148</v>
      </c>
      <c r="J710" s="3" t="s">
        <v>197</v>
      </c>
      <c r="K710" s="2" t="s">
        <v>79</v>
      </c>
      <c r="L710" s="2" t="s">
        <v>63</v>
      </c>
      <c r="M710" s="3" t="s">
        <v>80</v>
      </c>
      <c r="N710" s="2" t="s">
        <v>41</v>
      </c>
      <c r="O710" s="13">
        <v>43567</v>
      </c>
      <c r="P710" s="2" t="s">
        <v>44</v>
      </c>
      <c r="Q710" s="3" t="s">
        <v>44</v>
      </c>
      <c r="R710" s="2" t="s">
        <v>44</v>
      </c>
      <c r="S710" s="2" t="s">
        <v>56</v>
      </c>
      <c r="T710" s="5">
        <v>104800</v>
      </c>
      <c r="U710" s="5">
        <v>0</v>
      </c>
      <c r="V710" s="4">
        <v>3</v>
      </c>
      <c r="W710" s="4">
        <v>29</v>
      </c>
      <c r="X710" s="2" t="s">
        <v>57</v>
      </c>
      <c r="Y710" s="4">
        <v>1</v>
      </c>
      <c r="Z710" s="4">
        <v>9</v>
      </c>
      <c r="AA710" s="4">
        <v>0</v>
      </c>
      <c r="AB710" s="4">
        <v>0</v>
      </c>
      <c r="AC710" s="4">
        <v>3</v>
      </c>
      <c r="AD710" s="4">
        <v>14</v>
      </c>
      <c r="AE710" s="3" t="s">
        <v>58</v>
      </c>
      <c r="AG710">
        <f t="shared" ca="1" si="33"/>
        <v>7</v>
      </c>
      <c r="AH710" s="23" t="str" cm="1">
        <f t="array" ref="AH710">_xlfn.IFS(E710&gt;49,"50+",E710&gt;39,"40-49",E710&gt;29,"30-39",E710&gt;19,"20-29")</f>
        <v>50+</v>
      </c>
      <c r="AI710" s="24" t="str" cm="1">
        <f t="array" aca="1" ref="AI710" ca="1">_xlfn.IFS(AG710&gt;10,"10+",AG710&gt;4,"5-10 YIL",AG710&gt;2,"3-5 YIL",AG710&gt;0.9,"1-3 YIL",AG710&lt;1,"0-1 YIL")</f>
        <v>5-10 YIL</v>
      </c>
      <c r="AJ710">
        <f t="shared" si="34"/>
        <v>2019</v>
      </c>
      <c r="AK710" t="e">
        <f t="shared" si="35"/>
        <v>#VALUE!</v>
      </c>
    </row>
    <row r="711" spans="1:37" x14ac:dyDescent="0.3">
      <c r="A711" s="6" t="s">
        <v>1153</v>
      </c>
      <c r="B711" s="7" t="s">
        <v>102</v>
      </c>
      <c r="C711" s="6" t="s">
        <v>48</v>
      </c>
      <c r="D711" s="14">
        <v>36346</v>
      </c>
      <c r="E711" s="8">
        <v>27</v>
      </c>
      <c r="F711" s="6" t="s">
        <v>49</v>
      </c>
      <c r="G711" s="8">
        <v>3</v>
      </c>
      <c r="H711" s="6" t="s">
        <v>35</v>
      </c>
      <c r="I711" s="7" t="s">
        <v>70</v>
      </c>
      <c r="J711" s="7" t="s">
        <v>92</v>
      </c>
      <c r="K711" s="6" t="s">
        <v>38</v>
      </c>
      <c r="L711" s="6" t="s">
        <v>63</v>
      </c>
      <c r="M711" s="7" t="s">
        <v>72</v>
      </c>
      <c r="N711" s="6" t="s">
        <v>41</v>
      </c>
      <c r="O711" s="14">
        <v>44937</v>
      </c>
      <c r="P711" s="14">
        <v>45762</v>
      </c>
      <c r="Q711" s="7" t="s">
        <v>42</v>
      </c>
      <c r="R711" s="6">
        <v>3</v>
      </c>
      <c r="S711" s="6" t="s">
        <v>43</v>
      </c>
      <c r="T711" s="9">
        <v>38400</v>
      </c>
      <c r="U711" s="9">
        <v>0</v>
      </c>
      <c r="V711" s="8">
        <v>3</v>
      </c>
      <c r="W711" s="8">
        <v>28</v>
      </c>
      <c r="X711" s="6" t="s">
        <v>57</v>
      </c>
      <c r="Y711" s="8">
        <v>2</v>
      </c>
      <c r="Z711" s="8">
        <v>2</v>
      </c>
      <c r="AA711" s="8">
        <v>0</v>
      </c>
      <c r="AB711" s="8">
        <v>0</v>
      </c>
      <c r="AC711" s="8">
        <v>3</v>
      </c>
      <c r="AD711" s="8">
        <v>10</v>
      </c>
      <c r="AE711" s="7" t="s">
        <v>58</v>
      </c>
      <c r="AG711">
        <f t="shared" ca="1" si="33"/>
        <v>3</v>
      </c>
      <c r="AH711" s="23" t="str" cm="1">
        <f t="array" ref="AH711">_xlfn.IFS(E711&gt;49,"50+",E711&gt;39,"40-49",E711&gt;29,"30-39",E711&gt;19,"20-29")</f>
        <v>20-29</v>
      </c>
      <c r="AI711" s="24" t="str" cm="1">
        <f t="array" aca="1" ref="AI711" ca="1">_xlfn.IFS(AG711&gt;10,"10+",AG711&gt;4,"5-10 YIL",AG711&gt;2,"3-5 YIL",AG711&gt;0.9,"1-3 YIL",AG711&lt;1,"0-1 YIL")</f>
        <v>3-5 YIL</v>
      </c>
      <c r="AJ711">
        <f t="shared" si="34"/>
        <v>2023</v>
      </c>
      <c r="AK711">
        <f t="shared" si="35"/>
        <v>2025</v>
      </c>
    </row>
    <row r="712" spans="1:37" x14ac:dyDescent="0.3">
      <c r="A712" s="2" t="s">
        <v>1154</v>
      </c>
      <c r="B712" s="3" t="s">
        <v>763</v>
      </c>
      <c r="C712" s="2" t="s">
        <v>48</v>
      </c>
      <c r="D712" s="13">
        <v>31604</v>
      </c>
      <c r="E712" s="4">
        <v>40</v>
      </c>
      <c r="F712" s="2" t="s">
        <v>34</v>
      </c>
      <c r="G712" s="4">
        <v>0</v>
      </c>
      <c r="H712" s="2" t="s">
        <v>35</v>
      </c>
      <c r="I712" s="3" t="s">
        <v>70</v>
      </c>
      <c r="J712" s="3" t="s">
        <v>71</v>
      </c>
      <c r="K712" s="2" t="s">
        <v>51</v>
      </c>
      <c r="L712" s="2" t="s">
        <v>63</v>
      </c>
      <c r="M712" s="3" t="s">
        <v>72</v>
      </c>
      <c r="N712" s="2" t="s">
        <v>41</v>
      </c>
      <c r="O712" s="13">
        <v>43962</v>
      </c>
      <c r="P712" s="2" t="s">
        <v>44</v>
      </c>
      <c r="Q712" s="3" t="s">
        <v>44</v>
      </c>
      <c r="R712" s="2" t="s">
        <v>44</v>
      </c>
      <c r="S712" s="2" t="s">
        <v>56</v>
      </c>
      <c r="T712" s="5">
        <v>57300</v>
      </c>
      <c r="U712" s="5">
        <v>0</v>
      </c>
      <c r="V712" s="4">
        <v>8</v>
      </c>
      <c r="W712" s="4">
        <v>30</v>
      </c>
      <c r="X712" s="2" t="s">
        <v>44</v>
      </c>
      <c r="Y712" s="4">
        <v>0</v>
      </c>
      <c r="Z712" s="4">
        <v>10</v>
      </c>
      <c r="AA712" s="4">
        <v>0</v>
      </c>
      <c r="AB712" s="4">
        <v>0</v>
      </c>
      <c r="AC712" s="4">
        <v>2</v>
      </c>
      <c r="AD712" s="4">
        <v>19</v>
      </c>
      <c r="AE712" s="3" t="s">
        <v>45</v>
      </c>
      <c r="AG712">
        <f t="shared" ca="1" si="33"/>
        <v>6</v>
      </c>
      <c r="AH712" s="23" t="str" cm="1">
        <f t="array" ref="AH712">_xlfn.IFS(E712&gt;49,"50+",E712&gt;39,"40-49",E712&gt;29,"30-39",E712&gt;19,"20-29")</f>
        <v>40-49</v>
      </c>
      <c r="AI712" s="24" t="str" cm="1">
        <f t="array" aca="1" ref="AI712" ca="1">_xlfn.IFS(AG712&gt;10,"10+",AG712&gt;4,"5-10 YIL",AG712&gt;2,"3-5 YIL",AG712&gt;0.9,"1-3 YIL",AG712&lt;1,"0-1 YIL")</f>
        <v>5-10 YIL</v>
      </c>
      <c r="AJ712">
        <f t="shared" si="34"/>
        <v>2020</v>
      </c>
      <c r="AK712" t="e">
        <f t="shared" si="35"/>
        <v>#VALUE!</v>
      </c>
    </row>
    <row r="713" spans="1:37" x14ac:dyDescent="0.3">
      <c r="A713" s="6" t="s">
        <v>1155</v>
      </c>
      <c r="B713" s="7" t="s">
        <v>1156</v>
      </c>
      <c r="C713" s="6" t="s">
        <v>33</v>
      </c>
      <c r="D713" s="14">
        <v>37084</v>
      </c>
      <c r="E713" s="8">
        <v>25</v>
      </c>
      <c r="F713" s="6" t="s">
        <v>49</v>
      </c>
      <c r="G713" s="8">
        <v>1</v>
      </c>
      <c r="H713" s="6" t="s">
        <v>35</v>
      </c>
      <c r="I713" s="7" t="s">
        <v>36</v>
      </c>
      <c r="J713" s="7" t="s">
        <v>37</v>
      </c>
      <c r="K713" s="6" t="s">
        <v>38</v>
      </c>
      <c r="L713" s="6" t="s">
        <v>39</v>
      </c>
      <c r="M713" s="7" t="s">
        <v>40</v>
      </c>
      <c r="N713" s="6" t="s">
        <v>41</v>
      </c>
      <c r="O713" s="14">
        <v>45051</v>
      </c>
      <c r="P713" s="6" t="s">
        <v>44</v>
      </c>
      <c r="Q713" s="7" t="s">
        <v>44</v>
      </c>
      <c r="R713" s="6" t="s">
        <v>44</v>
      </c>
      <c r="S713" s="6" t="s">
        <v>56</v>
      </c>
      <c r="T713" s="9">
        <v>27500</v>
      </c>
      <c r="U713" s="9">
        <v>0</v>
      </c>
      <c r="V713" s="8">
        <v>37</v>
      </c>
      <c r="W713" s="8">
        <v>30</v>
      </c>
      <c r="X713" s="6" t="s">
        <v>44</v>
      </c>
      <c r="Y713" s="8">
        <v>0</v>
      </c>
      <c r="Z713" s="8">
        <v>11</v>
      </c>
      <c r="AA713" s="8">
        <v>0</v>
      </c>
      <c r="AB713" s="8">
        <v>0</v>
      </c>
      <c r="AC713" s="8">
        <v>3</v>
      </c>
      <c r="AD713" s="8">
        <v>5</v>
      </c>
      <c r="AE713" s="7" t="s">
        <v>45</v>
      </c>
      <c r="AG713">
        <f t="shared" ca="1" si="33"/>
        <v>3</v>
      </c>
      <c r="AH713" s="23" t="str" cm="1">
        <f t="array" ref="AH713">_xlfn.IFS(E713&gt;49,"50+",E713&gt;39,"40-49",E713&gt;29,"30-39",E713&gt;19,"20-29")</f>
        <v>20-29</v>
      </c>
      <c r="AI713" s="24" t="str" cm="1">
        <f t="array" aca="1" ref="AI713" ca="1">_xlfn.IFS(AG713&gt;10,"10+",AG713&gt;4,"5-10 YIL",AG713&gt;2,"3-5 YIL",AG713&gt;0.9,"1-3 YIL",AG713&lt;1,"0-1 YIL")</f>
        <v>3-5 YIL</v>
      </c>
      <c r="AJ713">
        <f t="shared" si="34"/>
        <v>2023</v>
      </c>
      <c r="AK713" t="e">
        <f t="shared" si="35"/>
        <v>#VALUE!</v>
      </c>
    </row>
    <row r="714" spans="1:37" x14ac:dyDescent="0.3">
      <c r="A714" s="2" t="s">
        <v>1157</v>
      </c>
      <c r="B714" s="3" t="s">
        <v>972</v>
      </c>
      <c r="C714" s="2" t="s">
        <v>48</v>
      </c>
      <c r="D714" s="13">
        <v>35898</v>
      </c>
      <c r="E714" s="4">
        <v>28</v>
      </c>
      <c r="F714" s="2" t="s">
        <v>34</v>
      </c>
      <c r="G714" s="4">
        <v>0</v>
      </c>
      <c r="H714" s="2" t="s">
        <v>35</v>
      </c>
      <c r="I714" s="3" t="s">
        <v>36</v>
      </c>
      <c r="J714" s="3" t="s">
        <v>37</v>
      </c>
      <c r="K714" s="2" t="s">
        <v>38</v>
      </c>
      <c r="L714" s="2" t="s">
        <v>39</v>
      </c>
      <c r="M714" s="3" t="s">
        <v>40</v>
      </c>
      <c r="N714" s="2" t="s">
        <v>52</v>
      </c>
      <c r="O714" s="13">
        <v>45369</v>
      </c>
      <c r="P714" s="13">
        <v>45593</v>
      </c>
      <c r="Q714" s="3" t="s">
        <v>53</v>
      </c>
      <c r="R714" s="2">
        <v>4</v>
      </c>
      <c r="S714" s="2" t="s">
        <v>43</v>
      </c>
      <c r="T714" s="5">
        <v>25400</v>
      </c>
      <c r="U714" s="5">
        <v>0</v>
      </c>
      <c r="V714" s="4">
        <v>24</v>
      </c>
      <c r="W714" s="4">
        <v>30</v>
      </c>
      <c r="X714" s="2" t="s">
        <v>44</v>
      </c>
      <c r="Y714" s="4">
        <v>0</v>
      </c>
      <c r="Z714" s="4">
        <v>4</v>
      </c>
      <c r="AA714" s="4">
        <v>0</v>
      </c>
      <c r="AB714" s="4">
        <v>0</v>
      </c>
      <c r="AC714" s="4">
        <v>4</v>
      </c>
      <c r="AD714" s="4">
        <v>24</v>
      </c>
      <c r="AE714" s="3" t="s">
        <v>45</v>
      </c>
      <c r="AG714">
        <f t="shared" ca="1" si="33"/>
        <v>2</v>
      </c>
      <c r="AH714" s="23" t="str" cm="1">
        <f t="array" ref="AH714">_xlfn.IFS(E714&gt;49,"50+",E714&gt;39,"40-49",E714&gt;29,"30-39",E714&gt;19,"20-29")</f>
        <v>20-29</v>
      </c>
      <c r="AI714" s="24" t="str" cm="1">
        <f t="array" aca="1" ref="AI714" ca="1">_xlfn.IFS(AG714&gt;10,"10+",AG714&gt;4,"5-10 YIL",AG714&gt;2,"3-5 YIL",AG714&gt;0.9,"1-3 YIL",AG714&lt;1,"0-1 YIL")</f>
        <v>1-3 YIL</v>
      </c>
      <c r="AJ714">
        <f t="shared" si="34"/>
        <v>2024</v>
      </c>
      <c r="AK714">
        <f t="shared" si="35"/>
        <v>2024</v>
      </c>
    </row>
    <row r="715" spans="1:37" x14ac:dyDescent="0.3">
      <c r="A715" s="6" t="s">
        <v>1158</v>
      </c>
      <c r="B715" s="7" t="s">
        <v>251</v>
      </c>
      <c r="C715" s="6" t="s">
        <v>33</v>
      </c>
      <c r="D715" s="14">
        <v>34468</v>
      </c>
      <c r="E715" s="8">
        <v>32</v>
      </c>
      <c r="F715" s="6" t="s">
        <v>49</v>
      </c>
      <c r="G715" s="8">
        <v>2</v>
      </c>
      <c r="H715" s="6" t="s">
        <v>35</v>
      </c>
      <c r="I715" s="7" t="s">
        <v>70</v>
      </c>
      <c r="J715" s="7" t="s">
        <v>71</v>
      </c>
      <c r="K715" s="6" t="s">
        <v>51</v>
      </c>
      <c r="L715" s="6" t="s">
        <v>63</v>
      </c>
      <c r="M715" s="7" t="s">
        <v>72</v>
      </c>
      <c r="N715" s="6" t="s">
        <v>41</v>
      </c>
      <c r="O715" s="14">
        <v>44848</v>
      </c>
      <c r="P715" s="6" t="s">
        <v>44</v>
      </c>
      <c r="Q715" s="7" t="s">
        <v>44</v>
      </c>
      <c r="R715" s="6" t="s">
        <v>44</v>
      </c>
      <c r="S715" s="6" t="s">
        <v>56</v>
      </c>
      <c r="T715" s="9">
        <v>64900</v>
      </c>
      <c r="U715" s="9">
        <v>0</v>
      </c>
      <c r="V715" s="8">
        <v>4</v>
      </c>
      <c r="W715" s="8">
        <v>29</v>
      </c>
      <c r="X715" s="6" t="s">
        <v>57</v>
      </c>
      <c r="Y715" s="8">
        <v>1</v>
      </c>
      <c r="Z715" s="8">
        <v>11</v>
      </c>
      <c r="AA715" s="8">
        <v>0</v>
      </c>
      <c r="AB715" s="8">
        <v>0</v>
      </c>
      <c r="AC715" s="8">
        <v>4</v>
      </c>
      <c r="AD715" s="8">
        <v>28</v>
      </c>
      <c r="AE715" s="7" t="s">
        <v>58</v>
      </c>
      <c r="AG715">
        <f t="shared" ca="1" si="33"/>
        <v>3</v>
      </c>
      <c r="AH715" s="23" t="str" cm="1">
        <f t="array" ref="AH715">_xlfn.IFS(E715&gt;49,"50+",E715&gt;39,"40-49",E715&gt;29,"30-39",E715&gt;19,"20-29")</f>
        <v>30-39</v>
      </c>
      <c r="AI715" s="24" t="str" cm="1">
        <f t="array" aca="1" ref="AI715" ca="1">_xlfn.IFS(AG715&gt;10,"10+",AG715&gt;4,"5-10 YIL",AG715&gt;2,"3-5 YIL",AG715&gt;0.9,"1-3 YIL",AG715&lt;1,"0-1 YIL")</f>
        <v>3-5 YIL</v>
      </c>
      <c r="AJ715">
        <f t="shared" si="34"/>
        <v>2022</v>
      </c>
      <c r="AK715" t="e">
        <f t="shared" si="35"/>
        <v>#VALUE!</v>
      </c>
    </row>
    <row r="716" spans="1:37" x14ac:dyDescent="0.3">
      <c r="A716" s="2" t="s">
        <v>1159</v>
      </c>
      <c r="B716" s="3" t="s">
        <v>1160</v>
      </c>
      <c r="C716" s="2" t="s">
        <v>33</v>
      </c>
      <c r="D716" s="13">
        <v>29140</v>
      </c>
      <c r="E716" s="4">
        <v>47</v>
      </c>
      <c r="F716" s="2" t="s">
        <v>49</v>
      </c>
      <c r="G716" s="4">
        <v>1</v>
      </c>
      <c r="H716" s="2" t="s">
        <v>35</v>
      </c>
      <c r="I716" s="3" t="s">
        <v>61</v>
      </c>
      <c r="J716" s="3" t="s">
        <v>107</v>
      </c>
      <c r="K716" s="2" t="s">
        <v>51</v>
      </c>
      <c r="L716" s="2" t="s">
        <v>63</v>
      </c>
      <c r="M716" s="3" t="s">
        <v>64</v>
      </c>
      <c r="N716" s="2" t="s">
        <v>95</v>
      </c>
      <c r="O716" s="13">
        <v>43863</v>
      </c>
      <c r="P716" s="2" t="s">
        <v>44</v>
      </c>
      <c r="Q716" s="3" t="s">
        <v>44</v>
      </c>
      <c r="R716" s="2" t="s">
        <v>44</v>
      </c>
      <c r="S716" s="2" t="s">
        <v>56</v>
      </c>
      <c r="T716" s="5">
        <v>56000</v>
      </c>
      <c r="U716" s="5">
        <v>0</v>
      </c>
      <c r="V716" s="4">
        <v>1</v>
      </c>
      <c r="W716" s="4">
        <v>28</v>
      </c>
      <c r="X716" s="2" t="s">
        <v>57</v>
      </c>
      <c r="Y716" s="4">
        <v>2</v>
      </c>
      <c r="Z716" s="4">
        <v>11</v>
      </c>
      <c r="AA716" s="4">
        <v>0</v>
      </c>
      <c r="AB716" s="4">
        <v>0</v>
      </c>
      <c r="AC716" s="4">
        <v>4</v>
      </c>
      <c r="AD716" s="4">
        <v>20</v>
      </c>
      <c r="AE716" s="3" t="s">
        <v>58</v>
      </c>
      <c r="AG716">
        <f t="shared" ca="1" si="33"/>
        <v>6</v>
      </c>
      <c r="AH716" s="23" t="str" cm="1">
        <f t="array" ref="AH716">_xlfn.IFS(E716&gt;49,"50+",E716&gt;39,"40-49",E716&gt;29,"30-39",E716&gt;19,"20-29")</f>
        <v>40-49</v>
      </c>
      <c r="AI716" s="24" t="str" cm="1">
        <f t="array" aca="1" ref="AI716" ca="1">_xlfn.IFS(AG716&gt;10,"10+",AG716&gt;4,"5-10 YIL",AG716&gt;2,"3-5 YIL",AG716&gt;0.9,"1-3 YIL",AG716&lt;1,"0-1 YIL")</f>
        <v>5-10 YIL</v>
      </c>
      <c r="AJ716">
        <f t="shared" si="34"/>
        <v>2020</v>
      </c>
      <c r="AK716" t="e">
        <f t="shared" si="35"/>
        <v>#VALUE!</v>
      </c>
    </row>
    <row r="717" spans="1:37" x14ac:dyDescent="0.3">
      <c r="A717" s="6" t="s">
        <v>1161</v>
      </c>
      <c r="B717" s="7" t="s">
        <v>943</v>
      </c>
      <c r="C717" s="6" t="s">
        <v>33</v>
      </c>
      <c r="D717" s="14">
        <v>35786</v>
      </c>
      <c r="E717" s="8">
        <v>29</v>
      </c>
      <c r="F717" s="6" t="s">
        <v>34</v>
      </c>
      <c r="G717" s="8">
        <v>0</v>
      </c>
      <c r="H717" s="6" t="s">
        <v>35</v>
      </c>
      <c r="I717" s="7" t="s">
        <v>36</v>
      </c>
      <c r="J717" s="7" t="s">
        <v>37</v>
      </c>
      <c r="K717" s="6" t="s">
        <v>38</v>
      </c>
      <c r="L717" s="6" t="s">
        <v>39</v>
      </c>
      <c r="M717" s="7" t="s">
        <v>40</v>
      </c>
      <c r="N717" s="6" t="s">
        <v>41</v>
      </c>
      <c r="O717" s="14">
        <v>45709</v>
      </c>
      <c r="P717" s="6" t="s">
        <v>44</v>
      </c>
      <c r="Q717" s="7" t="s">
        <v>44</v>
      </c>
      <c r="R717" s="6" t="s">
        <v>44</v>
      </c>
      <c r="S717" s="6" t="s">
        <v>56</v>
      </c>
      <c r="T717" s="9">
        <v>27000</v>
      </c>
      <c r="U717" s="9">
        <v>0</v>
      </c>
      <c r="V717" s="8">
        <v>43</v>
      </c>
      <c r="W717" s="8">
        <v>30</v>
      </c>
      <c r="X717" s="6" t="s">
        <v>44</v>
      </c>
      <c r="Y717" s="8">
        <v>0</v>
      </c>
      <c r="Z717" s="8">
        <v>5</v>
      </c>
      <c r="AA717" s="8">
        <v>0</v>
      </c>
      <c r="AB717" s="8">
        <v>0</v>
      </c>
      <c r="AC717" s="8">
        <v>2</v>
      </c>
      <c r="AD717" s="8">
        <v>16</v>
      </c>
      <c r="AE717" s="7" t="s">
        <v>45</v>
      </c>
      <c r="AG717">
        <f t="shared" ca="1" si="33"/>
        <v>1</v>
      </c>
      <c r="AH717" s="23" t="str" cm="1">
        <f t="array" ref="AH717">_xlfn.IFS(E717&gt;49,"50+",E717&gt;39,"40-49",E717&gt;29,"30-39",E717&gt;19,"20-29")</f>
        <v>20-29</v>
      </c>
      <c r="AI717" s="24" t="str" cm="1">
        <f t="array" aca="1" ref="AI717" ca="1">_xlfn.IFS(AG717&gt;10,"10+",AG717&gt;4,"5-10 YIL",AG717&gt;2,"3-5 YIL",AG717&gt;0.9,"1-3 YIL",AG717&lt;1,"0-1 YIL")</f>
        <v>1-3 YIL</v>
      </c>
      <c r="AJ717">
        <f t="shared" si="34"/>
        <v>2025</v>
      </c>
      <c r="AK717" t="e">
        <f t="shared" si="35"/>
        <v>#VALUE!</v>
      </c>
    </row>
    <row r="718" spans="1:37" x14ac:dyDescent="0.3">
      <c r="A718" s="2" t="s">
        <v>1162</v>
      </c>
      <c r="B718" s="3" t="s">
        <v>382</v>
      </c>
      <c r="C718" s="2" t="s">
        <v>48</v>
      </c>
      <c r="D718" s="13">
        <v>37057</v>
      </c>
      <c r="E718" s="4">
        <v>25</v>
      </c>
      <c r="F718" s="2" t="s">
        <v>34</v>
      </c>
      <c r="G718" s="4">
        <v>0</v>
      </c>
      <c r="H718" s="2" t="s">
        <v>35</v>
      </c>
      <c r="I718" s="3" t="s">
        <v>36</v>
      </c>
      <c r="J718" s="3" t="s">
        <v>37</v>
      </c>
      <c r="K718" s="2" t="s">
        <v>38</v>
      </c>
      <c r="L718" s="2" t="s">
        <v>39</v>
      </c>
      <c r="M718" s="3" t="s">
        <v>40</v>
      </c>
      <c r="N718" s="2" t="s">
        <v>67</v>
      </c>
      <c r="O718" s="13">
        <v>44786</v>
      </c>
      <c r="P718" s="2" t="s">
        <v>44</v>
      </c>
      <c r="Q718" s="3" t="s">
        <v>44</v>
      </c>
      <c r="R718" s="2" t="s">
        <v>44</v>
      </c>
      <c r="S718" s="2" t="s">
        <v>56</v>
      </c>
      <c r="T718" s="5">
        <v>25000</v>
      </c>
      <c r="U718" s="5">
        <v>0</v>
      </c>
      <c r="V718" s="4">
        <v>13</v>
      </c>
      <c r="W718" s="4">
        <v>29</v>
      </c>
      <c r="X718" s="2" t="s">
        <v>81</v>
      </c>
      <c r="Y718" s="4">
        <v>0</v>
      </c>
      <c r="Z718" s="4">
        <v>5</v>
      </c>
      <c r="AA718" s="4">
        <v>1</v>
      </c>
      <c r="AB718" s="4">
        <v>0</v>
      </c>
      <c r="AC718" s="4">
        <v>3</v>
      </c>
      <c r="AD718" s="4">
        <v>12</v>
      </c>
      <c r="AE718" s="3" t="s">
        <v>45</v>
      </c>
      <c r="AG718">
        <f t="shared" ca="1" si="33"/>
        <v>3</v>
      </c>
      <c r="AH718" s="23" t="str" cm="1">
        <f t="array" ref="AH718">_xlfn.IFS(E718&gt;49,"50+",E718&gt;39,"40-49",E718&gt;29,"30-39",E718&gt;19,"20-29")</f>
        <v>20-29</v>
      </c>
      <c r="AI718" s="24" t="str" cm="1">
        <f t="array" aca="1" ref="AI718" ca="1">_xlfn.IFS(AG718&gt;10,"10+",AG718&gt;4,"5-10 YIL",AG718&gt;2,"3-5 YIL",AG718&gt;0.9,"1-3 YIL",AG718&lt;1,"0-1 YIL")</f>
        <v>3-5 YIL</v>
      </c>
      <c r="AJ718">
        <f t="shared" si="34"/>
        <v>2022</v>
      </c>
      <c r="AK718" t="e">
        <f t="shared" si="35"/>
        <v>#VALUE!</v>
      </c>
    </row>
    <row r="719" spans="1:37" x14ac:dyDescent="0.3">
      <c r="A719" s="6" t="s">
        <v>1163</v>
      </c>
      <c r="B719" s="7" t="s">
        <v>803</v>
      </c>
      <c r="C719" s="6" t="s">
        <v>48</v>
      </c>
      <c r="D719" s="14">
        <v>36973</v>
      </c>
      <c r="E719" s="8">
        <v>25</v>
      </c>
      <c r="F719" s="6" t="s">
        <v>49</v>
      </c>
      <c r="G719" s="8">
        <v>0</v>
      </c>
      <c r="H719" s="6" t="s">
        <v>85</v>
      </c>
      <c r="I719" s="7" t="s">
        <v>148</v>
      </c>
      <c r="J719" s="7" t="s">
        <v>252</v>
      </c>
      <c r="K719" s="6" t="s">
        <v>38</v>
      </c>
      <c r="L719" s="6" t="s">
        <v>63</v>
      </c>
      <c r="M719" s="7" t="s">
        <v>150</v>
      </c>
      <c r="N719" s="6" t="s">
        <v>95</v>
      </c>
      <c r="O719" s="14">
        <v>44808</v>
      </c>
      <c r="P719" s="14">
        <v>44949</v>
      </c>
      <c r="Q719" s="7" t="s">
        <v>53</v>
      </c>
      <c r="R719" s="6">
        <v>4</v>
      </c>
      <c r="S719" s="6" t="s">
        <v>43</v>
      </c>
      <c r="T719" s="9">
        <v>32300</v>
      </c>
      <c r="U719" s="9">
        <v>0</v>
      </c>
      <c r="V719" s="8">
        <v>4</v>
      </c>
      <c r="W719" s="8">
        <v>30</v>
      </c>
      <c r="X719" s="6" t="s">
        <v>44</v>
      </c>
      <c r="Y719" s="8">
        <v>0</v>
      </c>
      <c r="Z719" s="8">
        <v>3</v>
      </c>
      <c r="AA719" s="8">
        <v>0</v>
      </c>
      <c r="AB719" s="8">
        <v>0</v>
      </c>
      <c r="AC719" s="8">
        <v>1</v>
      </c>
      <c r="AD719" s="8">
        <v>5</v>
      </c>
      <c r="AE719" s="7" t="s">
        <v>82</v>
      </c>
      <c r="AG719">
        <f t="shared" ca="1" si="33"/>
        <v>3</v>
      </c>
      <c r="AH719" s="23" t="str" cm="1">
        <f t="array" ref="AH719">_xlfn.IFS(E719&gt;49,"50+",E719&gt;39,"40-49",E719&gt;29,"30-39",E719&gt;19,"20-29")</f>
        <v>20-29</v>
      </c>
      <c r="AI719" s="24" t="str" cm="1">
        <f t="array" aca="1" ref="AI719" ca="1">_xlfn.IFS(AG719&gt;10,"10+",AG719&gt;4,"5-10 YIL",AG719&gt;2,"3-5 YIL",AG719&gt;0.9,"1-3 YIL",AG719&lt;1,"0-1 YIL")</f>
        <v>3-5 YIL</v>
      </c>
      <c r="AJ719">
        <f t="shared" si="34"/>
        <v>2022</v>
      </c>
      <c r="AK719">
        <f t="shared" si="35"/>
        <v>2023</v>
      </c>
    </row>
    <row r="720" spans="1:37" x14ac:dyDescent="0.3">
      <c r="A720" s="2" t="s">
        <v>1164</v>
      </c>
      <c r="B720" s="3" t="s">
        <v>1165</v>
      </c>
      <c r="C720" s="2" t="s">
        <v>33</v>
      </c>
      <c r="D720" s="13">
        <v>37127</v>
      </c>
      <c r="E720" s="4">
        <v>25</v>
      </c>
      <c r="F720" s="2" t="s">
        <v>34</v>
      </c>
      <c r="G720" s="4">
        <v>0</v>
      </c>
      <c r="H720" s="2" t="s">
        <v>85</v>
      </c>
      <c r="I720" s="3" t="s">
        <v>36</v>
      </c>
      <c r="J720" s="3" t="s">
        <v>37</v>
      </c>
      <c r="K720" s="2" t="s">
        <v>38</v>
      </c>
      <c r="L720" s="2" t="s">
        <v>39</v>
      </c>
      <c r="M720" s="3" t="s">
        <v>40</v>
      </c>
      <c r="N720" s="2" t="s">
        <v>89</v>
      </c>
      <c r="O720" s="13">
        <v>44808</v>
      </c>
      <c r="P720" s="13">
        <v>45006</v>
      </c>
      <c r="Q720" s="3" t="s">
        <v>53</v>
      </c>
      <c r="R720" s="2">
        <v>4</v>
      </c>
      <c r="S720" s="2" t="s">
        <v>43</v>
      </c>
      <c r="T720" s="5">
        <v>26300</v>
      </c>
      <c r="U720" s="5">
        <v>0</v>
      </c>
      <c r="V720" s="4">
        <v>12</v>
      </c>
      <c r="W720" s="4">
        <v>30</v>
      </c>
      <c r="X720" s="2" t="s">
        <v>44</v>
      </c>
      <c r="Y720" s="4">
        <v>0</v>
      </c>
      <c r="Z720" s="4">
        <v>4</v>
      </c>
      <c r="AA720" s="4">
        <v>0</v>
      </c>
      <c r="AB720" s="4">
        <v>0</v>
      </c>
      <c r="AC720" s="4">
        <v>4</v>
      </c>
      <c r="AD720" s="4">
        <v>28</v>
      </c>
      <c r="AE720" s="3" t="s">
        <v>45</v>
      </c>
      <c r="AG720">
        <f t="shared" ca="1" si="33"/>
        <v>3</v>
      </c>
      <c r="AH720" s="23" t="str" cm="1">
        <f t="array" ref="AH720">_xlfn.IFS(E720&gt;49,"50+",E720&gt;39,"40-49",E720&gt;29,"30-39",E720&gt;19,"20-29")</f>
        <v>20-29</v>
      </c>
      <c r="AI720" s="24" t="str" cm="1">
        <f t="array" aca="1" ref="AI720" ca="1">_xlfn.IFS(AG720&gt;10,"10+",AG720&gt;4,"5-10 YIL",AG720&gt;2,"3-5 YIL",AG720&gt;0.9,"1-3 YIL",AG720&lt;1,"0-1 YIL")</f>
        <v>3-5 YIL</v>
      </c>
      <c r="AJ720">
        <f t="shared" si="34"/>
        <v>2022</v>
      </c>
      <c r="AK720">
        <f t="shared" si="35"/>
        <v>2023</v>
      </c>
    </row>
    <row r="721" spans="1:37" x14ac:dyDescent="0.3">
      <c r="A721" s="6" t="s">
        <v>1166</v>
      </c>
      <c r="B721" s="7" t="s">
        <v>1167</v>
      </c>
      <c r="C721" s="6" t="s">
        <v>33</v>
      </c>
      <c r="D721" s="14">
        <v>36834</v>
      </c>
      <c r="E721" s="8">
        <v>26</v>
      </c>
      <c r="F721" s="6" t="s">
        <v>49</v>
      </c>
      <c r="G721" s="8">
        <v>1</v>
      </c>
      <c r="H721" s="6" t="s">
        <v>35</v>
      </c>
      <c r="I721" s="7" t="s">
        <v>61</v>
      </c>
      <c r="J721" s="7" t="s">
        <v>62</v>
      </c>
      <c r="K721" s="6" t="s">
        <v>38</v>
      </c>
      <c r="L721" s="6" t="s">
        <v>63</v>
      </c>
      <c r="M721" s="7" t="s">
        <v>64</v>
      </c>
      <c r="N721" s="6" t="s">
        <v>67</v>
      </c>
      <c r="O721" s="14">
        <v>45733</v>
      </c>
      <c r="P721" s="6" t="s">
        <v>44</v>
      </c>
      <c r="Q721" s="7" t="s">
        <v>44</v>
      </c>
      <c r="R721" s="6" t="s">
        <v>44</v>
      </c>
      <c r="S721" s="6" t="s">
        <v>56</v>
      </c>
      <c r="T721" s="9">
        <v>32400</v>
      </c>
      <c r="U721" s="9">
        <v>10400</v>
      </c>
      <c r="V721" s="8">
        <v>0</v>
      </c>
      <c r="W721" s="8">
        <v>27</v>
      </c>
      <c r="X721" s="6" t="s">
        <v>57</v>
      </c>
      <c r="Y721" s="8">
        <v>3</v>
      </c>
      <c r="Z721" s="8">
        <v>10</v>
      </c>
      <c r="AA721" s="8">
        <v>0</v>
      </c>
      <c r="AB721" s="8">
        <v>0</v>
      </c>
      <c r="AC721" s="8">
        <v>2</v>
      </c>
      <c r="AD721" s="8">
        <v>2</v>
      </c>
      <c r="AE721" s="7" t="s">
        <v>82</v>
      </c>
      <c r="AG721">
        <f t="shared" ca="1" si="33"/>
        <v>1</v>
      </c>
      <c r="AH721" s="23" t="str" cm="1">
        <f t="array" ref="AH721">_xlfn.IFS(E721&gt;49,"50+",E721&gt;39,"40-49",E721&gt;29,"30-39",E721&gt;19,"20-29")</f>
        <v>20-29</v>
      </c>
      <c r="AI721" s="24" t="str" cm="1">
        <f t="array" aca="1" ref="AI721" ca="1">_xlfn.IFS(AG721&gt;10,"10+",AG721&gt;4,"5-10 YIL",AG721&gt;2,"3-5 YIL",AG721&gt;0.9,"1-3 YIL",AG721&lt;1,"0-1 YIL")</f>
        <v>1-3 YIL</v>
      </c>
      <c r="AJ721">
        <f t="shared" si="34"/>
        <v>2025</v>
      </c>
      <c r="AK721" t="e">
        <f t="shared" si="35"/>
        <v>#VALUE!</v>
      </c>
    </row>
    <row r="722" spans="1:37" x14ac:dyDescent="0.3">
      <c r="A722" s="2" t="s">
        <v>1168</v>
      </c>
      <c r="B722" s="3" t="s">
        <v>1169</v>
      </c>
      <c r="C722" s="2" t="s">
        <v>48</v>
      </c>
      <c r="D722" s="13">
        <v>34785</v>
      </c>
      <c r="E722" s="4">
        <v>31</v>
      </c>
      <c r="F722" s="2" t="s">
        <v>49</v>
      </c>
      <c r="G722" s="4">
        <v>1</v>
      </c>
      <c r="H722" s="2" t="s">
        <v>35</v>
      </c>
      <c r="I722" s="3" t="s">
        <v>61</v>
      </c>
      <c r="J722" s="3" t="s">
        <v>107</v>
      </c>
      <c r="K722" s="2" t="s">
        <v>51</v>
      </c>
      <c r="L722" s="2" t="s">
        <v>63</v>
      </c>
      <c r="M722" s="3" t="s">
        <v>64</v>
      </c>
      <c r="N722" s="2" t="s">
        <v>41</v>
      </c>
      <c r="O722" s="13">
        <v>42676</v>
      </c>
      <c r="P722" s="2" t="s">
        <v>44</v>
      </c>
      <c r="Q722" s="3" t="s">
        <v>44</v>
      </c>
      <c r="R722" s="2" t="s">
        <v>44</v>
      </c>
      <c r="S722" s="2" t="s">
        <v>56</v>
      </c>
      <c r="T722" s="5">
        <v>62800</v>
      </c>
      <c r="U722" s="5">
        <v>18400</v>
      </c>
      <c r="V722" s="4">
        <v>3</v>
      </c>
      <c r="W722" s="4">
        <v>20</v>
      </c>
      <c r="X722" s="2" t="s">
        <v>57</v>
      </c>
      <c r="Y722" s="4">
        <v>10</v>
      </c>
      <c r="Z722" s="4">
        <v>3</v>
      </c>
      <c r="AA722" s="4">
        <v>0</v>
      </c>
      <c r="AB722" s="4">
        <v>0</v>
      </c>
      <c r="AC722" s="4">
        <v>1</v>
      </c>
      <c r="AD722" s="4">
        <v>18</v>
      </c>
      <c r="AE722" s="3" t="s">
        <v>58</v>
      </c>
      <c r="AG722">
        <f t="shared" ca="1" si="33"/>
        <v>9</v>
      </c>
      <c r="AH722" s="23" t="str" cm="1">
        <f t="array" ref="AH722">_xlfn.IFS(E722&gt;49,"50+",E722&gt;39,"40-49",E722&gt;29,"30-39",E722&gt;19,"20-29")</f>
        <v>30-39</v>
      </c>
      <c r="AI722" s="24" t="str" cm="1">
        <f t="array" aca="1" ref="AI722" ca="1">_xlfn.IFS(AG722&gt;10,"10+",AG722&gt;4,"5-10 YIL",AG722&gt;2,"3-5 YIL",AG722&gt;0.9,"1-3 YIL",AG722&lt;1,"0-1 YIL")</f>
        <v>5-10 YIL</v>
      </c>
      <c r="AJ722">
        <f t="shared" si="34"/>
        <v>2016</v>
      </c>
      <c r="AK722" t="e">
        <f t="shared" si="35"/>
        <v>#VALUE!</v>
      </c>
    </row>
    <row r="723" spans="1:37" x14ac:dyDescent="0.3">
      <c r="A723" s="6" t="s">
        <v>1170</v>
      </c>
      <c r="B723" s="7" t="s">
        <v>1171</v>
      </c>
      <c r="C723" s="6" t="s">
        <v>33</v>
      </c>
      <c r="D723" s="14">
        <v>28225</v>
      </c>
      <c r="E723" s="8">
        <v>49</v>
      </c>
      <c r="F723" s="6" t="s">
        <v>49</v>
      </c>
      <c r="G723" s="8">
        <v>2</v>
      </c>
      <c r="H723" s="6" t="s">
        <v>88</v>
      </c>
      <c r="I723" s="7" t="s">
        <v>139</v>
      </c>
      <c r="J723" s="7" t="s">
        <v>140</v>
      </c>
      <c r="K723" s="6" t="s">
        <v>79</v>
      </c>
      <c r="L723" s="6" t="s">
        <v>63</v>
      </c>
      <c r="M723" s="7" t="s">
        <v>80</v>
      </c>
      <c r="N723" s="6" t="s">
        <v>95</v>
      </c>
      <c r="O723" s="14">
        <v>40826</v>
      </c>
      <c r="P723" s="14">
        <v>42746</v>
      </c>
      <c r="Q723" s="7" t="s">
        <v>177</v>
      </c>
      <c r="R723" s="6">
        <v>3</v>
      </c>
      <c r="S723" s="6" t="s">
        <v>43</v>
      </c>
      <c r="T723" s="9">
        <v>130400</v>
      </c>
      <c r="U723" s="9">
        <v>0</v>
      </c>
      <c r="V723" s="8">
        <v>0</v>
      </c>
      <c r="W723" s="8">
        <v>30</v>
      </c>
      <c r="X723" s="6" t="s">
        <v>44</v>
      </c>
      <c r="Y723" s="8">
        <v>0</v>
      </c>
      <c r="Z723" s="8">
        <v>10</v>
      </c>
      <c r="AA723" s="8">
        <v>0</v>
      </c>
      <c r="AB723" s="8">
        <v>0</v>
      </c>
      <c r="AC723" s="8">
        <v>5</v>
      </c>
      <c r="AD723" s="8">
        <v>34</v>
      </c>
      <c r="AE723" s="7" t="s">
        <v>45</v>
      </c>
      <c r="AG723">
        <f t="shared" ca="1" si="33"/>
        <v>14</v>
      </c>
      <c r="AH723" s="23" t="str" cm="1">
        <f t="array" ref="AH723">_xlfn.IFS(E723&gt;49,"50+",E723&gt;39,"40-49",E723&gt;29,"30-39",E723&gt;19,"20-29")</f>
        <v>40-49</v>
      </c>
      <c r="AI723" s="24" t="str" cm="1">
        <f t="array" aca="1" ref="AI723" ca="1">_xlfn.IFS(AG723&gt;10,"10+",AG723&gt;4,"5-10 YIL",AG723&gt;2,"3-5 YIL",AG723&gt;0.9,"1-3 YIL",AG723&lt;1,"0-1 YIL")</f>
        <v>10+</v>
      </c>
      <c r="AJ723">
        <f t="shared" si="34"/>
        <v>2011</v>
      </c>
      <c r="AK723">
        <f t="shared" si="35"/>
        <v>2017</v>
      </c>
    </row>
    <row r="724" spans="1:37" x14ac:dyDescent="0.3">
      <c r="A724" s="2" t="s">
        <v>1172</v>
      </c>
      <c r="B724" s="3" t="s">
        <v>433</v>
      </c>
      <c r="C724" s="2" t="s">
        <v>33</v>
      </c>
      <c r="D724" s="13">
        <v>35980</v>
      </c>
      <c r="E724" s="4">
        <v>28</v>
      </c>
      <c r="F724" s="2" t="s">
        <v>34</v>
      </c>
      <c r="G724" s="4">
        <v>0</v>
      </c>
      <c r="H724" s="2" t="s">
        <v>35</v>
      </c>
      <c r="I724" s="3" t="s">
        <v>36</v>
      </c>
      <c r="J724" s="3" t="s">
        <v>37</v>
      </c>
      <c r="K724" s="2" t="s">
        <v>38</v>
      </c>
      <c r="L724" s="2" t="s">
        <v>39</v>
      </c>
      <c r="M724" s="3" t="s">
        <v>40</v>
      </c>
      <c r="N724" s="2" t="s">
        <v>41</v>
      </c>
      <c r="O724" s="13">
        <v>45566</v>
      </c>
      <c r="P724" s="2" t="s">
        <v>44</v>
      </c>
      <c r="Q724" s="3" t="s">
        <v>44</v>
      </c>
      <c r="R724" s="2" t="s">
        <v>44</v>
      </c>
      <c r="S724" s="2" t="s">
        <v>56</v>
      </c>
      <c r="T724" s="5">
        <v>24000</v>
      </c>
      <c r="U724" s="5">
        <v>0</v>
      </c>
      <c r="V724" s="4">
        <v>44</v>
      </c>
      <c r="W724" s="4">
        <v>30</v>
      </c>
      <c r="X724" s="2" t="s">
        <v>44</v>
      </c>
      <c r="Y724" s="4">
        <v>0</v>
      </c>
      <c r="Z724" s="4">
        <v>10</v>
      </c>
      <c r="AA724" s="4">
        <v>0</v>
      </c>
      <c r="AB724" s="4">
        <v>0</v>
      </c>
      <c r="AC724" s="4">
        <v>4</v>
      </c>
      <c r="AD724" s="4">
        <v>13</v>
      </c>
      <c r="AE724" s="3" t="s">
        <v>58</v>
      </c>
      <c r="AG724">
        <f t="shared" ca="1" si="33"/>
        <v>1</v>
      </c>
      <c r="AH724" s="23" t="str" cm="1">
        <f t="array" ref="AH724">_xlfn.IFS(E724&gt;49,"50+",E724&gt;39,"40-49",E724&gt;29,"30-39",E724&gt;19,"20-29")</f>
        <v>20-29</v>
      </c>
      <c r="AI724" s="24" t="str" cm="1">
        <f t="array" aca="1" ref="AI724" ca="1">_xlfn.IFS(AG724&gt;10,"10+",AG724&gt;4,"5-10 YIL",AG724&gt;2,"3-5 YIL",AG724&gt;0.9,"1-3 YIL",AG724&lt;1,"0-1 YIL")</f>
        <v>1-3 YIL</v>
      </c>
      <c r="AJ724">
        <f t="shared" si="34"/>
        <v>2024</v>
      </c>
      <c r="AK724" t="e">
        <f t="shared" si="35"/>
        <v>#VALUE!</v>
      </c>
    </row>
    <row r="725" spans="1:37" x14ac:dyDescent="0.3">
      <c r="A725" s="6" t="s">
        <v>1173</v>
      </c>
      <c r="B725" s="7" t="s">
        <v>138</v>
      </c>
      <c r="C725" s="6" t="s">
        <v>33</v>
      </c>
      <c r="D725" s="14">
        <v>29958</v>
      </c>
      <c r="E725" s="8">
        <v>44</v>
      </c>
      <c r="F725" s="6" t="s">
        <v>49</v>
      </c>
      <c r="G725" s="8">
        <v>0</v>
      </c>
      <c r="H725" s="6" t="s">
        <v>88</v>
      </c>
      <c r="I725" s="7" t="s">
        <v>139</v>
      </c>
      <c r="J725" s="7" t="s">
        <v>161</v>
      </c>
      <c r="K725" s="6" t="s">
        <v>51</v>
      </c>
      <c r="L725" s="6" t="s">
        <v>63</v>
      </c>
      <c r="M725" s="7" t="s">
        <v>162</v>
      </c>
      <c r="N725" s="6" t="s">
        <v>67</v>
      </c>
      <c r="O725" s="14">
        <v>44883</v>
      </c>
      <c r="P725" s="6" t="s">
        <v>44</v>
      </c>
      <c r="Q725" s="7" t="s">
        <v>44</v>
      </c>
      <c r="R725" s="6" t="s">
        <v>44</v>
      </c>
      <c r="S725" s="6" t="s">
        <v>56</v>
      </c>
      <c r="T725" s="9">
        <v>72400</v>
      </c>
      <c r="U725" s="9">
        <v>0</v>
      </c>
      <c r="V725" s="8">
        <v>9</v>
      </c>
      <c r="W725" s="8">
        <v>30</v>
      </c>
      <c r="X725" s="6" t="s">
        <v>44</v>
      </c>
      <c r="Y725" s="8">
        <v>0</v>
      </c>
      <c r="Z725" s="8">
        <v>7</v>
      </c>
      <c r="AA725" s="8">
        <v>0</v>
      </c>
      <c r="AB725" s="8">
        <v>0</v>
      </c>
      <c r="AC725" s="8">
        <v>4</v>
      </c>
      <c r="AD725" s="8">
        <v>20</v>
      </c>
      <c r="AE725" s="7" t="s">
        <v>58</v>
      </c>
      <c r="AG725">
        <f t="shared" ca="1" si="33"/>
        <v>3</v>
      </c>
      <c r="AH725" s="23" t="str" cm="1">
        <f t="array" ref="AH725">_xlfn.IFS(E725&gt;49,"50+",E725&gt;39,"40-49",E725&gt;29,"30-39",E725&gt;19,"20-29")</f>
        <v>40-49</v>
      </c>
      <c r="AI725" s="24" t="str" cm="1">
        <f t="array" aca="1" ref="AI725" ca="1">_xlfn.IFS(AG725&gt;10,"10+",AG725&gt;4,"5-10 YIL",AG725&gt;2,"3-5 YIL",AG725&gt;0.9,"1-3 YIL",AG725&lt;1,"0-1 YIL")</f>
        <v>3-5 YIL</v>
      </c>
      <c r="AJ725">
        <f t="shared" si="34"/>
        <v>2022</v>
      </c>
      <c r="AK725" t="e">
        <f t="shared" si="35"/>
        <v>#VALUE!</v>
      </c>
    </row>
    <row r="726" spans="1:37" x14ac:dyDescent="0.3">
      <c r="A726" s="2" t="s">
        <v>1174</v>
      </c>
      <c r="B726" s="3" t="s">
        <v>616</v>
      </c>
      <c r="C726" s="2" t="s">
        <v>48</v>
      </c>
      <c r="D726" s="13">
        <v>37851</v>
      </c>
      <c r="E726" s="4">
        <v>23</v>
      </c>
      <c r="F726" s="2" t="s">
        <v>49</v>
      </c>
      <c r="G726" s="4">
        <v>0</v>
      </c>
      <c r="H726" s="2" t="s">
        <v>35</v>
      </c>
      <c r="I726" s="3" t="s">
        <v>61</v>
      </c>
      <c r="J726" s="3" t="s">
        <v>62</v>
      </c>
      <c r="K726" s="2" t="s">
        <v>38</v>
      </c>
      <c r="L726" s="2" t="s">
        <v>63</v>
      </c>
      <c r="M726" s="3" t="s">
        <v>64</v>
      </c>
      <c r="N726" s="2" t="s">
        <v>41</v>
      </c>
      <c r="O726" s="13">
        <v>45388</v>
      </c>
      <c r="P726" s="2" t="s">
        <v>44</v>
      </c>
      <c r="Q726" s="3" t="s">
        <v>44</v>
      </c>
      <c r="R726" s="2" t="s">
        <v>44</v>
      </c>
      <c r="S726" s="2" t="s">
        <v>56</v>
      </c>
      <c r="T726" s="5">
        <v>30900</v>
      </c>
      <c r="U726" s="5">
        <v>8200</v>
      </c>
      <c r="V726" s="4">
        <v>2</v>
      </c>
      <c r="W726" s="4">
        <v>30</v>
      </c>
      <c r="X726" s="2" t="s">
        <v>44</v>
      </c>
      <c r="Y726" s="4">
        <v>0</v>
      </c>
      <c r="Z726" s="4">
        <v>6</v>
      </c>
      <c r="AA726" s="4">
        <v>0</v>
      </c>
      <c r="AB726" s="4">
        <v>0</v>
      </c>
      <c r="AC726" s="4">
        <v>1</v>
      </c>
      <c r="AD726" s="4">
        <v>16</v>
      </c>
      <c r="AE726" s="3" t="s">
        <v>45</v>
      </c>
      <c r="AG726">
        <f t="shared" ca="1" si="33"/>
        <v>2</v>
      </c>
      <c r="AH726" s="23" t="str" cm="1">
        <f t="array" ref="AH726">_xlfn.IFS(E726&gt;49,"50+",E726&gt;39,"40-49",E726&gt;29,"30-39",E726&gt;19,"20-29")</f>
        <v>20-29</v>
      </c>
      <c r="AI726" s="24" t="str" cm="1">
        <f t="array" aca="1" ref="AI726" ca="1">_xlfn.IFS(AG726&gt;10,"10+",AG726&gt;4,"5-10 YIL",AG726&gt;2,"3-5 YIL",AG726&gt;0.9,"1-3 YIL",AG726&lt;1,"0-1 YIL")</f>
        <v>1-3 YIL</v>
      </c>
      <c r="AJ726">
        <f t="shared" si="34"/>
        <v>2024</v>
      </c>
      <c r="AK726" t="e">
        <f t="shared" si="35"/>
        <v>#VALUE!</v>
      </c>
    </row>
    <row r="727" spans="1:37" x14ac:dyDescent="0.3">
      <c r="A727" s="6" t="s">
        <v>1175</v>
      </c>
      <c r="B727" s="7" t="s">
        <v>516</v>
      </c>
      <c r="C727" s="6" t="s">
        <v>33</v>
      </c>
      <c r="D727" s="14">
        <v>36333</v>
      </c>
      <c r="E727" s="8">
        <v>27</v>
      </c>
      <c r="F727" s="6" t="s">
        <v>34</v>
      </c>
      <c r="G727" s="8">
        <v>0</v>
      </c>
      <c r="H727" s="6" t="s">
        <v>85</v>
      </c>
      <c r="I727" s="7" t="s">
        <v>36</v>
      </c>
      <c r="J727" s="7" t="s">
        <v>37</v>
      </c>
      <c r="K727" s="6" t="s">
        <v>38</v>
      </c>
      <c r="L727" s="6" t="s">
        <v>39</v>
      </c>
      <c r="M727" s="7" t="s">
        <v>40</v>
      </c>
      <c r="N727" s="6" t="s">
        <v>41</v>
      </c>
      <c r="O727" s="14">
        <v>45235</v>
      </c>
      <c r="P727" s="14">
        <v>45862</v>
      </c>
      <c r="Q727" s="7" t="s">
        <v>121</v>
      </c>
      <c r="R727" s="6">
        <v>17</v>
      </c>
      <c r="S727" s="6" t="s">
        <v>43</v>
      </c>
      <c r="T727" s="9">
        <v>25800</v>
      </c>
      <c r="U727" s="9">
        <v>0</v>
      </c>
      <c r="V727" s="8">
        <v>14</v>
      </c>
      <c r="W727" s="8">
        <v>28</v>
      </c>
      <c r="X727" s="6" t="s">
        <v>57</v>
      </c>
      <c r="Y727" s="8">
        <v>2</v>
      </c>
      <c r="Z727" s="8">
        <v>13</v>
      </c>
      <c r="AA727" s="8">
        <v>0</v>
      </c>
      <c r="AB727" s="8">
        <v>0</v>
      </c>
      <c r="AC727" s="8">
        <v>3</v>
      </c>
      <c r="AD727" s="8">
        <v>12</v>
      </c>
      <c r="AE727" s="7" t="s">
        <v>58</v>
      </c>
      <c r="AG727">
        <f t="shared" ca="1" si="33"/>
        <v>2</v>
      </c>
      <c r="AH727" s="23" t="str" cm="1">
        <f t="array" ref="AH727">_xlfn.IFS(E727&gt;49,"50+",E727&gt;39,"40-49",E727&gt;29,"30-39",E727&gt;19,"20-29")</f>
        <v>20-29</v>
      </c>
      <c r="AI727" s="24" t="str" cm="1">
        <f t="array" aca="1" ref="AI727" ca="1">_xlfn.IFS(AG727&gt;10,"10+",AG727&gt;4,"5-10 YIL",AG727&gt;2,"3-5 YIL",AG727&gt;0.9,"1-3 YIL",AG727&lt;1,"0-1 YIL")</f>
        <v>1-3 YIL</v>
      </c>
      <c r="AJ727">
        <f t="shared" si="34"/>
        <v>2023</v>
      </c>
      <c r="AK727">
        <f t="shared" si="35"/>
        <v>2025</v>
      </c>
    </row>
    <row r="728" spans="1:37" x14ac:dyDescent="0.3">
      <c r="A728" s="2" t="s">
        <v>1176</v>
      </c>
      <c r="B728" s="3" t="s">
        <v>406</v>
      </c>
      <c r="C728" s="2" t="s">
        <v>48</v>
      </c>
      <c r="D728" s="13">
        <v>35834</v>
      </c>
      <c r="E728" s="4">
        <v>28</v>
      </c>
      <c r="F728" s="2" t="s">
        <v>34</v>
      </c>
      <c r="G728" s="4">
        <v>0</v>
      </c>
      <c r="H728" s="2" t="s">
        <v>85</v>
      </c>
      <c r="I728" s="3" t="s">
        <v>61</v>
      </c>
      <c r="J728" s="3" t="s">
        <v>107</v>
      </c>
      <c r="K728" s="2" t="s">
        <v>51</v>
      </c>
      <c r="L728" s="2" t="s">
        <v>63</v>
      </c>
      <c r="M728" s="3" t="s">
        <v>64</v>
      </c>
      <c r="N728" s="2" t="s">
        <v>41</v>
      </c>
      <c r="O728" s="13">
        <v>42279</v>
      </c>
      <c r="P728" s="2" t="s">
        <v>44</v>
      </c>
      <c r="Q728" s="3" t="s">
        <v>44</v>
      </c>
      <c r="R728" s="2" t="s">
        <v>44</v>
      </c>
      <c r="S728" s="2" t="s">
        <v>56</v>
      </c>
      <c r="T728" s="5">
        <v>53500</v>
      </c>
      <c r="U728" s="5">
        <v>5700</v>
      </c>
      <c r="V728" s="4">
        <v>1</v>
      </c>
      <c r="W728" s="4">
        <v>27</v>
      </c>
      <c r="X728" s="2" t="s">
        <v>57</v>
      </c>
      <c r="Y728" s="4">
        <v>3</v>
      </c>
      <c r="Z728" s="4">
        <v>12</v>
      </c>
      <c r="AA728" s="4">
        <v>0</v>
      </c>
      <c r="AB728" s="4">
        <v>0</v>
      </c>
      <c r="AC728" s="4">
        <v>5</v>
      </c>
      <c r="AD728" s="4">
        <v>28</v>
      </c>
      <c r="AE728" s="3" t="s">
        <v>73</v>
      </c>
      <c r="AG728">
        <f t="shared" ca="1" si="33"/>
        <v>10</v>
      </c>
      <c r="AH728" s="23" t="str" cm="1">
        <f t="array" ref="AH728">_xlfn.IFS(E728&gt;49,"50+",E728&gt;39,"40-49",E728&gt;29,"30-39",E728&gt;19,"20-29")</f>
        <v>20-29</v>
      </c>
      <c r="AI728" s="24" t="str" cm="1">
        <f t="array" aca="1" ref="AI728" ca="1">_xlfn.IFS(AG728&gt;10,"10+",AG728&gt;4,"5-10 YIL",AG728&gt;2,"3-5 YIL",AG728&gt;0.9,"1-3 YIL",AG728&lt;1,"0-1 YIL")</f>
        <v>5-10 YIL</v>
      </c>
      <c r="AJ728">
        <f t="shared" si="34"/>
        <v>2015</v>
      </c>
      <c r="AK728" t="e">
        <f t="shared" si="35"/>
        <v>#VALUE!</v>
      </c>
    </row>
    <row r="729" spans="1:37" x14ac:dyDescent="0.3">
      <c r="A729" s="6" t="s">
        <v>1177</v>
      </c>
      <c r="B729" s="7" t="s">
        <v>911</v>
      </c>
      <c r="C729" s="6" t="s">
        <v>33</v>
      </c>
      <c r="D729" s="14">
        <v>32800</v>
      </c>
      <c r="E729" s="8">
        <v>37</v>
      </c>
      <c r="F729" s="6" t="s">
        <v>49</v>
      </c>
      <c r="G729" s="8">
        <v>0</v>
      </c>
      <c r="H729" s="6" t="s">
        <v>88</v>
      </c>
      <c r="I729" s="7" t="s">
        <v>139</v>
      </c>
      <c r="J729" s="7" t="s">
        <v>161</v>
      </c>
      <c r="K729" s="6" t="s">
        <v>51</v>
      </c>
      <c r="L729" s="6" t="s">
        <v>63</v>
      </c>
      <c r="M729" s="7" t="s">
        <v>162</v>
      </c>
      <c r="N729" s="6" t="s">
        <v>41</v>
      </c>
      <c r="O729" s="14">
        <v>44782</v>
      </c>
      <c r="P729" s="6" t="s">
        <v>44</v>
      </c>
      <c r="Q729" s="7" t="s">
        <v>44</v>
      </c>
      <c r="R729" s="6" t="s">
        <v>44</v>
      </c>
      <c r="S729" s="6" t="s">
        <v>56</v>
      </c>
      <c r="T729" s="9">
        <v>75000</v>
      </c>
      <c r="U729" s="9">
        <v>0</v>
      </c>
      <c r="V729" s="8">
        <v>5</v>
      </c>
      <c r="W729" s="8">
        <v>29</v>
      </c>
      <c r="X729" s="6" t="s">
        <v>57</v>
      </c>
      <c r="Y729" s="8">
        <v>1</v>
      </c>
      <c r="Z729" s="8">
        <v>13</v>
      </c>
      <c r="AA729" s="8">
        <v>0</v>
      </c>
      <c r="AB729" s="8">
        <v>0</v>
      </c>
      <c r="AC729" s="8">
        <v>3</v>
      </c>
      <c r="AD729" s="8">
        <v>3</v>
      </c>
      <c r="AE729" s="7" t="s">
        <v>45</v>
      </c>
      <c r="AG729">
        <f t="shared" ca="1" si="33"/>
        <v>3</v>
      </c>
      <c r="AH729" s="23" t="str" cm="1">
        <f t="array" ref="AH729">_xlfn.IFS(E729&gt;49,"50+",E729&gt;39,"40-49",E729&gt;29,"30-39",E729&gt;19,"20-29")</f>
        <v>30-39</v>
      </c>
      <c r="AI729" s="24" t="str" cm="1">
        <f t="array" aca="1" ref="AI729" ca="1">_xlfn.IFS(AG729&gt;10,"10+",AG729&gt;4,"5-10 YIL",AG729&gt;2,"3-5 YIL",AG729&gt;0.9,"1-3 YIL",AG729&lt;1,"0-1 YIL")</f>
        <v>3-5 YIL</v>
      </c>
      <c r="AJ729">
        <f t="shared" si="34"/>
        <v>2022</v>
      </c>
      <c r="AK729" t="e">
        <f t="shared" si="35"/>
        <v>#VALUE!</v>
      </c>
    </row>
    <row r="730" spans="1:37" x14ac:dyDescent="0.3">
      <c r="A730" s="2" t="s">
        <v>1178</v>
      </c>
      <c r="B730" s="3" t="s">
        <v>699</v>
      </c>
      <c r="C730" s="2" t="s">
        <v>48</v>
      </c>
      <c r="D730" s="13">
        <v>33900</v>
      </c>
      <c r="E730" s="4">
        <v>34</v>
      </c>
      <c r="F730" s="2" t="s">
        <v>49</v>
      </c>
      <c r="G730" s="4">
        <v>2</v>
      </c>
      <c r="H730" s="2" t="s">
        <v>35</v>
      </c>
      <c r="I730" s="3" t="s">
        <v>70</v>
      </c>
      <c r="J730" s="3" t="s">
        <v>71</v>
      </c>
      <c r="K730" s="2" t="s">
        <v>51</v>
      </c>
      <c r="L730" s="2" t="s">
        <v>63</v>
      </c>
      <c r="M730" s="3" t="s">
        <v>72</v>
      </c>
      <c r="N730" s="2" t="s">
        <v>41</v>
      </c>
      <c r="O730" s="13">
        <v>42701</v>
      </c>
      <c r="P730" s="2" t="s">
        <v>44</v>
      </c>
      <c r="Q730" s="3" t="s">
        <v>44</v>
      </c>
      <c r="R730" s="2" t="s">
        <v>44</v>
      </c>
      <c r="S730" s="2" t="s">
        <v>56</v>
      </c>
      <c r="T730" s="5">
        <v>58500</v>
      </c>
      <c r="U730" s="5">
        <v>0</v>
      </c>
      <c r="V730" s="4">
        <v>7</v>
      </c>
      <c r="W730" s="4">
        <v>30</v>
      </c>
      <c r="X730" s="2" t="s">
        <v>44</v>
      </c>
      <c r="Y730" s="4">
        <v>0</v>
      </c>
      <c r="Z730" s="4">
        <v>6</v>
      </c>
      <c r="AA730" s="4">
        <v>0</v>
      </c>
      <c r="AB730" s="4">
        <v>0</v>
      </c>
      <c r="AC730" s="4">
        <v>3</v>
      </c>
      <c r="AD730" s="4">
        <v>10</v>
      </c>
      <c r="AE730" s="3" t="s">
        <v>45</v>
      </c>
      <c r="AG730">
        <f t="shared" ca="1" si="33"/>
        <v>9</v>
      </c>
      <c r="AH730" s="23" t="str" cm="1">
        <f t="array" ref="AH730">_xlfn.IFS(E730&gt;49,"50+",E730&gt;39,"40-49",E730&gt;29,"30-39",E730&gt;19,"20-29")</f>
        <v>30-39</v>
      </c>
      <c r="AI730" s="24" t="str" cm="1">
        <f t="array" aca="1" ref="AI730" ca="1">_xlfn.IFS(AG730&gt;10,"10+",AG730&gt;4,"5-10 YIL",AG730&gt;2,"3-5 YIL",AG730&gt;0.9,"1-3 YIL",AG730&lt;1,"0-1 YIL")</f>
        <v>5-10 YIL</v>
      </c>
      <c r="AJ730">
        <f t="shared" si="34"/>
        <v>2016</v>
      </c>
      <c r="AK730" t="e">
        <f t="shared" si="35"/>
        <v>#VALUE!</v>
      </c>
    </row>
    <row r="731" spans="1:37" x14ac:dyDescent="0.3">
      <c r="A731" s="6" t="s">
        <v>1179</v>
      </c>
      <c r="B731" s="7" t="s">
        <v>575</v>
      </c>
      <c r="C731" s="6" t="s">
        <v>33</v>
      </c>
      <c r="D731" s="14">
        <v>37524</v>
      </c>
      <c r="E731" s="8">
        <v>24</v>
      </c>
      <c r="F731" s="6" t="s">
        <v>34</v>
      </c>
      <c r="G731" s="8">
        <v>0</v>
      </c>
      <c r="H731" s="6" t="s">
        <v>35</v>
      </c>
      <c r="I731" s="7" t="s">
        <v>36</v>
      </c>
      <c r="J731" s="7" t="s">
        <v>37</v>
      </c>
      <c r="K731" s="6" t="s">
        <v>38</v>
      </c>
      <c r="L731" s="6" t="s">
        <v>39</v>
      </c>
      <c r="M731" s="7" t="s">
        <v>40</v>
      </c>
      <c r="N731" s="6" t="s">
        <v>41</v>
      </c>
      <c r="O731" s="14">
        <v>45651</v>
      </c>
      <c r="P731" s="6" t="s">
        <v>44</v>
      </c>
      <c r="Q731" s="7" t="s">
        <v>44</v>
      </c>
      <c r="R731" s="6" t="s">
        <v>44</v>
      </c>
      <c r="S731" s="6" t="s">
        <v>56</v>
      </c>
      <c r="T731" s="9">
        <v>25500</v>
      </c>
      <c r="U731" s="9">
        <v>0</v>
      </c>
      <c r="V731" s="8">
        <v>32</v>
      </c>
      <c r="W731" s="8">
        <v>30</v>
      </c>
      <c r="X731" s="6" t="s">
        <v>44</v>
      </c>
      <c r="Y731" s="8">
        <v>0</v>
      </c>
      <c r="Z731" s="8">
        <v>3</v>
      </c>
      <c r="AA731" s="8">
        <v>0</v>
      </c>
      <c r="AB731" s="8">
        <v>0</v>
      </c>
      <c r="AC731" s="8">
        <v>3</v>
      </c>
      <c r="AD731" s="8">
        <v>5</v>
      </c>
      <c r="AE731" s="7" t="s">
        <v>58</v>
      </c>
      <c r="AG731">
        <f t="shared" ca="1" si="33"/>
        <v>1</v>
      </c>
      <c r="AH731" s="23" t="str" cm="1">
        <f t="array" ref="AH731">_xlfn.IFS(E731&gt;49,"50+",E731&gt;39,"40-49",E731&gt;29,"30-39",E731&gt;19,"20-29")</f>
        <v>20-29</v>
      </c>
      <c r="AI731" s="24" t="str" cm="1">
        <f t="array" aca="1" ref="AI731" ca="1">_xlfn.IFS(AG731&gt;10,"10+",AG731&gt;4,"5-10 YIL",AG731&gt;2,"3-5 YIL",AG731&gt;0.9,"1-3 YIL",AG731&lt;1,"0-1 YIL")</f>
        <v>1-3 YIL</v>
      </c>
      <c r="AJ731">
        <f t="shared" si="34"/>
        <v>2024</v>
      </c>
      <c r="AK731" t="e">
        <f t="shared" si="35"/>
        <v>#VALUE!</v>
      </c>
    </row>
    <row r="732" spans="1:37" x14ac:dyDescent="0.3">
      <c r="A732" s="2" t="s">
        <v>1180</v>
      </c>
      <c r="B732" s="3" t="s">
        <v>1037</v>
      </c>
      <c r="C732" s="2" t="s">
        <v>48</v>
      </c>
      <c r="D732" s="13">
        <v>36748</v>
      </c>
      <c r="E732" s="4">
        <v>26</v>
      </c>
      <c r="F732" s="2" t="s">
        <v>49</v>
      </c>
      <c r="G732" s="4">
        <v>0</v>
      </c>
      <c r="H732" s="2" t="s">
        <v>85</v>
      </c>
      <c r="I732" s="3" t="s">
        <v>148</v>
      </c>
      <c r="J732" s="3" t="s">
        <v>252</v>
      </c>
      <c r="K732" s="2" t="s">
        <v>38</v>
      </c>
      <c r="L732" s="2" t="s">
        <v>63</v>
      </c>
      <c r="M732" s="3" t="s">
        <v>150</v>
      </c>
      <c r="N732" s="2" t="s">
        <v>41</v>
      </c>
      <c r="O732" s="13">
        <v>45778</v>
      </c>
      <c r="P732" s="2" t="s">
        <v>44</v>
      </c>
      <c r="Q732" s="3" t="s">
        <v>44</v>
      </c>
      <c r="R732" s="2" t="s">
        <v>44</v>
      </c>
      <c r="S732" s="2" t="s">
        <v>56</v>
      </c>
      <c r="T732" s="5">
        <v>33100</v>
      </c>
      <c r="U732" s="5">
        <v>0</v>
      </c>
      <c r="V732" s="4">
        <v>8</v>
      </c>
      <c r="W732" s="4">
        <v>19</v>
      </c>
      <c r="X732" s="2" t="s">
        <v>57</v>
      </c>
      <c r="Y732" s="4">
        <v>10</v>
      </c>
      <c r="Z732" s="4">
        <v>7</v>
      </c>
      <c r="AA732" s="4">
        <v>1</v>
      </c>
      <c r="AB732" s="4">
        <v>0</v>
      </c>
      <c r="AC732" s="4">
        <v>5</v>
      </c>
      <c r="AD732" s="4">
        <v>31</v>
      </c>
      <c r="AE732" s="3" t="s">
        <v>45</v>
      </c>
      <c r="AG732">
        <f t="shared" ca="1" si="33"/>
        <v>1</v>
      </c>
      <c r="AH732" s="23" t="str" cm="1">
        <f t="array" ref="AH732">_xlfn.IFS(E732&gt;49,"50+",E732&gt;39,"40-49",E732&gt;29,"30-39",E732&gt;19,"20-29")</f>
        <v>20-29</v>
      </c>
      <c r="AI732" s="24" t="str" cm="1">
        <f t="array" aca="1" ref="AI732" ca="1">_xlfn.IFS(AG732&gt;10,"10+",AG732&gt;4,"5-10 YIL",AG732&gt;2,"3-5 YIL",AG732&gt;0.9,"1-3 YIL",AG732&lt;1,"0-1 YIL")</f>
        <v>1-3 YIL</v>
      </c>
      <c r="AJ732">
        <f t="shared" si="34"/>
        <v>2025</v>
      </c>
      <c r="AK732" t="e">
        <f t="shared" si="35"/>
        <v>#VALUE!</v>
      </c>
    </row>
    <row r="733" spans="1:37" x14ac:dyDescent="0.3">
      <c r="A733" s="6" t="s">
        <v>1181</v>
      </c>
      <c r="B733" s="7" t="s">
        <v>433</v>
      </c>
      <c r="C733" s="6" t="s">
        <v>33</v>
      </c>
      <c r="D733" s="14">
        <v>32757</v>
      </c>
      <c r="E733" s="8">
        <v>37</v>
      </c>
      <c r="F733" s="6" t="s">
        <v>49</v>
      </c>
      <c r="G733" s="8">
        <v>1</v>
      </c>
      <c r="H733" s="6" t="s">
        <v>35</v>
      </c>
      <c r="I733" s="7" t="s">
        <v>70</v>
      </c>
      <c r="J733" s="7" t="s">
        <v>129</v>
      </c>
      <c r="K733" s="6" t="s">
        <v>79</v>
      </c>
      <c r="L733" s="6" t="s">
        <v>63</v>
      </c>
      <c r="M733" s="7" t="s">
        <v>80</v>
      </c>
      <c r="N733" s="6" t="s">
        <v>41</v>
      </c>
      <c r="O733" s="14">
        <v>41045</v>
      </c>
      <c r="P733" s="6" t="s">
        <v>44</v>
      </c>
      <c r="Q733" s="7" t="s">
        <v>44</v>
      </c>
      <c r="R733" s="6" t="s">
        <v>44</v>
      </c>
      <c r="S733" s="6" t="s">
        <v>56</v>
      </c>
      <c r="T733" s="9">
        <v>126400</v>
      </c>
      <c r="U733" s="9">
        <v>0</v>
      </c>
      <c r="V733" s="8">
        <v>6</v>
      </c>
      <c r="W733" s="8">
        <v>30</v>
      </c>
      <c r="X733" s="6" t="s">
        <v>44</v>
      </c>
      <c r="Y733" s="8">
        <v>0</v>
      </c>
      <c r="Z733" s="8">
        <v>9</v>
      </c>
      <c r="AA733" s="8">
        <v>0</v>
      </c>
      <c r="AB733" s="8">
        <v>0</v>
      </c>
      <c r="AC733" s="8">
        <v>5</v>
      </c>
      <c r="AD733" s="8">
        <v>22</v>
      </c>
      <c r="AE733" s="7" t="s">
        <v>45</v>
      </c>
      <c r="AG733">
        <f t="shared" ca="1" si="33"/>
        <v>14</v>
      </c>
      <c r="AH733" s="23" t="str" cm="1">
        <f t="array" ref="AH733">_xlfn.IFS(E733&gt;49,"50+",E733&gt;39,"40-49",E733&gt;29,"30-39",E733&gt;19,"20-29")</f>
        <v>30-39</v>
      </c>
      <c r="AI733" s="24" t="str" cm="1">
        <f t="array" aca="1" ref="AI733" ca="1">_xlfn.IFS(AG733&gt;10,"10+",AG733&gt;4,"5-10 YIL",AG733&gt;2,"3-5 YIL",AG733&gt;0.9,"1-3 YIL",AG733&lt;1,"0-1 YIL")</f>
        <v>10+</v>
      </c>
      <c r="AJ733">
        <f t="shared" si="34"/>
        <v>2012</v>
      </c>
      <c r="AK733" t="e">
        <f t="shared" si="35"/>
        <v>#VALUE!</v>
      </c>
    </row>
    <row r="734" spans="1:37" x14ac:dyDescent="0.3">
      <c r="A734" s="2" t="s">
        <v>1182</v>
      </c>
      <c r="B734" s="3" t="s">
        <v>559</v>
      </c>
      <c r="C734" s="2" t="s">
        <v>33</v>
      </c>
      <c r="D734" s="13">
        <v>38050</v>
      </c>
      <c r="E734" s="4">
        <v>22</v>
      </c>
      <c r="F734" s="2" t="s">
        <v>49</v>
      </c>
      <c r="G734" s="4">
        <v>2</v>
      </c>
      <c r="H734" s="2" t="s">
        <v>35</v>
      </c>
      <c r="I734" s="3" t="s">
        <v>61</v>
      </c>
      <c r="J734" s="3" t="s">
        <v>62</v>
      </c>
      <c r="K734" s="2" t="s">
        <v>38</v>
      </c>
      <c r="L734" s="2" t="s">
        <v>63</v>
      </c>
      <c r="M734" s="3" t="s">
        <v>64</v>
      </c>
      <c r="N734" s="2" t="s">
        <v>52</v>
      </c>
      <c r="O734" s="13">
        <v>45762</v>
      </c>
      <c r="P734" s="2" t="s">
        <v>44</v>
      </c>
      <c r="Q734" s="3" t="s">
        <v>44</v>
      </c>
      <c r="R734" s="2" t="s">
        <v>44</v>
      </c>
      <c r="S734" s="2" t="s">
        <v>56</v>
      </c>
      <c r="T734" s="5">
        <v>34600</v>
      </c>
      <c r="U734" s="5">
        <v>10700</v>
      </c>
      <c r="V734" s="4">
        <v>0</v>
      </c>
      <c r="W734" s="4">
        <v>30</v>
      </c>
      <c r="X734" s="2" t="s">
        <v>44</v>
      </c>
      <c r="Y734" s="4">
        <v>0</v>
      </c>
      <c r="Z734" s="4">
        <v>5</v>
      </c>
      <c r="AA734" s="4">
        <v>0</v>
      </c>
      <c r="AB734" s="4">
        <v>0</v>
      </c>
      <c r="AC734" s="4">
        <v>3</v>
      </c>
      <c r="AD734" s="4">
        <v>7</v>
      </c>
      <c r="AE734" s="3" t="s">
        <v>45</v>
      </c>
      <c r="AG734">
        <f t="shared" ca="1" si="33"/>
        <v>1</v>
      </c>
      <c r="AH734" s="23" t="str" cm="1">
        <f t="array" ref="AH734">_xlfn.IFS(E734&gt;49,"50+",E734&gt;39,"40-49",E734&gt;29,"30-39",E734&gt;19,"20-29")</f>
        <v>20-29</v>
      </c>
      <c r="AI734" s="24" t="str" cm="1">
        <f t="array" aca="1" ref="AI734" ca="1">_xlfn.IFS(AG734&gt;10,"10+",AG734&gt;4,"5-10 YIL",AG734&gt;2,"3-5 YIL",AG734&gt;0.9,"1-3 YIL",AG734&lt;1,"0-1 YIL")</f>
        <v>1-3 YIL</v>
      </c>
      <c r="AJ734">
        <f t="shared" si="34"/>
        <v>2025</v>
      </c>
      <c r="AK734" t="e">
        <f t="shared" si="35"/>
        <v>#VALUE!</v>
      </c>
    </row>
    <row r="735" spans="1:37" x14ac:dyDescent="0.3">
      <c r="A735" s="6" t="s">
        <v>1183</v>
      </c>
      <c r="B735" s="7" t="s">
        <v>133</v>
      </c>
      <c r="C735" s="6" t="s">
        <v>48</v>
      </c>
      <c r="D735" s="14">
        <v>36089</v>
      </c>
      <c r="E735" s="8">
        <v>28</v>
      </c>
      <c r="F735" s="6" t="s">
        <v>34</v>
      </c>
      <c r="G735" s="8">
        <v>0</v>
      </c>
      <c r="H735" s="6" t="s">
        <v>35</v>
      </c>
      <c r="I735" s="7" t="s">
        <v>36</v>
      </c>
      <c r="J735" s="7" t="s">
        <v>37</v>
      </c>
      <c r="K735" s="6" t="s">
        <v>38</v>
      </c>
      <c r="L735" s="6" t="s">
        <v>39</v>
      </c>
      <c r="M735" s="7" t="s">
        <v>40</v>
      </c>
      <c r="N735" s="6" t="s">
        <v>41</v>
      </c>
      <c r="O735" s="14">
        <v>46116</v>
      </c>
      <c r="P735" s="6" t="s">
        <v>44</v>
      </c>
      <c r="Q735" s="7" t="s">
        <v>44</v>
      </c>
      <c r="R735" s="6" t="s">
        <v>44</v>
      </c>
      <c r="S735" s="6" t="s">
        <v>56</v>
      </c>
      <c r="T735" s="9">
        <v>25700</v>
      </c>
      <c r="U735" s="9">
        <v>0</v>
      </c>
      <c r="V735" s="8">
        <v>42</v>
      </c>
      <c r="W735" s="8">
        <v>30</v>
      </c>
      <c r="X735" s="6" t="s">
        <v>44</v>
      </c>
      <c r="Y735" s="8">
        <v>0</v>
      </c>
      <c r="Z735" s="8">
        <v>0</v>
      </c>
      <c r="AA735" s="8">
        <v>0</v>
      </c>
      <c r="AB735" s="8">
        <v>0</v>
      </c>
      <c r="AC735" s="8">
        <v>4</v>
      </c>
      <c r="AD735" s="8">
        <v>34</v>
      </c>
      <c r="AE735" s="7" t="s">
        <v>96</v>
      </c>
      <c r="AG735">
        <f t="shared" ca="1" si="33"/>
        <v>0</v>
      </c>
      <c r="AH735" s="23" t="str" cm="1">
        <f t="array" ref="AH735">_xlfn.IFS(E735&gt;49,"50+",E735&gt;39,"40-49",E735&gt;29,"30-39",E735&gt;19,"20-29")</f>
        <v>20-29</v>
      </c>
      <c r="AI735" s="24" t="str" cm="1">
        <f t="array" aca="1" ref="AI735" ca="1">_xlfn.IFS(AG735&gt;10,"10+",AG735&gt;4,"5-10 YIL",AG735&gt;2,"3-5 YIL",AG735&gt;0.9,"1-3 YIL",AG735&lt;1,"0-1 YIL")</f>
        <v>0-1 YIL</v>
      </c>
      <c r="AJ735">
        <f t="shared" si="34"/>
        <v>2026</v>
      </c>
      <c r="AK735" t="e">
        <f t="shared" si="35"/>
        <v>#VALUE!</v>
      </c>
    </row>
    <row r="736" spans="1:37" x14ac:dyDescent="0.3">
      <c r="A736" s="2" t="s">
        <v>1184</v>
      </c>
      <c r="B736" s="3" t="s">
        <v>1165</v>
      </c>
      <c r="C736" s="2" t="s">
        <v>33</v>
      </c>
      <c r="D736" s="13">
        <v>36855</v>
      </c>
      <c r="E736" s="4">
        <v>26</v>
      </c>
      <c r="F736" s="2" t="s">
        <v>49</v>
      </c>
      <c r="G736" s="4">
        <v>2</v>
      </c>
      <c r="H736" s="2" t="s">
        <v>85</v>
      </c>
      <c r="I736" s="3" t="s">
        <v>61</v>
      </c>
      <c r="J736" s="3" t="s">
        <v>62</v>
      </c>
      <c r="K736" s="2" t="s">
        <v>38</v>
      </c>
      <c r="L736" s="2" t="s">
        <v>63</v>
      </c>
      <c r="M736" s="3" t="s">
        <v>64</v>
      </c>
      <c r="N736" s="2" t="s">
        <v>41</v>
      </c>
      <c r="O736" s="13">
        <v>45818</v>
      </c>
      <c r="P736" s="2" t="s">
        <v>44</v>
      </c>
      <c r="Q736" s="3" t="s">
        <v>44</v>
      </c>
      <c r="R736" s="2" t="s">
        <v>44</v>
      </c>
      <c r="S736" s="2" t="s">
        <v>56</v>
      </c>
      <c r="T736" s="5">
        <v>34600</v>
      </c>
      <c r="U736" s="5">
        <v>4100</v>
      </c>
      <c r="V736" s="4">
        <v>1</v>
      </c>
      <c r="W736" s="4">
        <v>30</v>
      </c>
      <c r="X736" s="2" t="s">
        <v>44</v>
      </c>
      <c r="Y736" s="4">
        <v>0</v>
      </c>
      <c r="Z736" s="4">
        <v>0</v>
      </c>
      <c r="AA736" s="4">
        <v>0</v>
      </c>
      <c r="AB736" s="4">
        <v>0</v>
      </c>
      <c r="AC736" s="4">
        <v>3</v>
      </c>
      <c r="AD736" s="4">
        <v>2</v>
      </c>
      <c r="AE736" s="3" t="s">
        <v>58</v>
      </c>
      <c r="AG736">
        <f t="shared" ca="1" si="33"/>
        <v>1</v>
      </c>
      <c r="AH736" s="23" t="str" cm="1">
        <f t="array" ref="AH736">_xlfn.IFS(E736&gt;49,"50+",E736&gt;39,"40-49",E736&gt;29,"30-39",E736&gt;19,"20-29")</f>
        <v>20-29</v>
      </c>
      <c r="AI736" s="24" t="str" cm="1">
        <f t="array" aca="1" ref="AI736" ca="1">_xlfn.IFS(AG736&gt;10,"10+",AG736&gt;4,"5-10 YIL",AG736&gt;2,"3-5 YIL",AG736&gt;0.9,"1-3 YIL",AG736&lt;1,"0-1 YIL")</f>
        <v>1-3 YIL</v>
      </c>
      <c r="AJ736">
        <f t="shared" si="34"/>
        <v>2025</v>
      </c>
      <c r="AK736" t="e">
        <f t="shared" si="35"/>
        <v>#VALUE!</v>
      </c>
    </row>
    <row r="737" spans="1:37" x14ac:dyDescent="0.3">
      <c r="A737" s="6" t="s">
        <v>1185</v>
      </c>
      <c r="B737" s="7" t="s">
        <v>561</v>
      </c>
      <c r="C737" s="6" t="s">
        <v>33</v>
      </c>
      <c r="D737" s="14">
        <v>33704</v>
      </c>
      <c r="E737" s="8">
        <v>34</v>
      </c>
      <c r="F737" s="6" t="s">
        <v>49</v>
      </c>
      <c r="G737" s="8">
        <v>2</v>
      </c>
      <c r="H737" s="6" t="s">
        <v>88</v>
      </c>
      <c r="I737" s="7" t="s">
        <v>61</v>
      </c>
      <c r="J737" s="7" t="s">
        <v>107</v>
      </c>
      <c r="K737" s="6" t="s">
        <v>51</v>
      </c>
      <c r="L737" s="6" t="s">
        <v>63</v>
      </c>
      <c r="M737" s="7" t="s">
        <v>64</v>
      </c>
      <c r="N737" s="6" t="s">
        <v>41</v>
      </c>
      <c r="O737" s="14">
        <v>44966</v>
      </c>
      <c r="P737" s="6" t="s">
        <v>44</v>
      </c>
      <c r="Q737" s="7" t="s">
        <v>44</v>
      </c>
      <c r="R737" s="6" t="s">
        <v>44</v>
      </c>
      <c r="S737" s="6" t="s">
        <v>56</v>
      </c>
      <c r="T737" s="9">
        <v>62000</v>
      </c>
      <c r="U737" s="9">
        <v>0</v>
      </c>
      <c r="V737" s="8">
        <v>5</v>
      </c>
      <c r="W737" s="8">
        <v>29</v>
      </c>
      <c r="X737" s="6" t="s">
        <v>81</v>
      </c>
      <c r="Y737" s="8">
        <v>0</v>
      </c>
      <c r="Z737" s="8">
        <v>14</v>
      </c>
      <c r="AA737" s="8">
        <v>1</v>
      </c>
      <c r="AB737" s="8">
        <v>0</v>
      </c>
      <c r="AC737" s="8">
        <v>3</v>
      </c>
      <c r="AD737" s="8">
        <v>18</v>
      </c>
      <c r="AE737" s="7" t="s">
        <v>45</v>
      </c>
      <c r="AG737">
        <f t="shared" ca="1" si="33"/>
        <v>3</v>
      </c>
      <c r="AH737" s="23" t="str" cm="1">
        <f t="array" ref="AH737">_xlfn.IFS(E737&gt;49,"50+",E737&gt;39,"40-49",E737&gt;29,"30-39",E737&gt;19,"20-29")</f>
        <v>30-39</v>
      </c>
      <c r="AI737" s="24" t="str" cm="1">
        <f t="array" aca="1" ref="AI737" ca="1">_xlfn.IFS(AG737&gt;10,"10+",AG737&gt;4,"5-10 YIL",AG737&gt;2,"3-5 YIL",AG737&gt;0.9,"1-3 YIL",AG737&lt;1,"0-1 YIL")</f>
        <v>3-5 YIL</v>
      </c>
      <c r="AJ737">
        <f t="shared" si="34"/>
        <v>2023</v>
      </c>
      <c r="AK737" t="e">
        <f t="shared" si="35"/>
        <v>#VALUE!</v>
      </c>
    </row>
    <row r="738" spans="1:37" x14ac:dyDescent="0.3">
      <c r="A738" s="2" t="s">
        <v>1186</v>
      </c>
      <c r="B738" s="3" t="s">
        <v>1187</v>
      </c>
      <c r="C738" s="2" t="s">
        <v>48</v>
      </c>
      <c r="D738" s="13">
        <v>37703</v>
      </c>
      <c r="E738" s="4">
        <v>23</v>
      </c>
      <c r="F738" s="2" t="s">
        <v>49</v>
      </c>
      <c r="G738" s="4">
        <v>2</v>
      </c>
      <c r="H738" s="2" t="s">
        <v>88</v>
      </c>
      <c r="I738" s="3" t="s">
        <v>36</v>
      </c>
      <c r="J738" s="3" t="s">
        <v>37</v>
      </c>
      <c r="K738" s="2" t="s">
        <v>38</v>
      </c>
      <c r="L738" s="2" t="s">
        <v>39</v>
      </c>
      <c r="M738" s="3" t="s">
        <v>40</v>
      </c>
      <c r="N738" s="2" t="s">
        <v>41</v>
      </c>
      <c r="O738" s="13">
        <v>45667</v>
      </c>
      <c r="P738" s="13">
        <v>46127</v>
      </c>
      <c r="Q738" s="3" t="s">
        <v>53</v>
      </c>
      <c r="R738" s="2">
        <v>4</v>
      </c>
      <c r="S738" s="2" t="s">
        <v>43</v>
      </c>
      <c r="T738" s="5">
        <v>26600</v>
      </c>
      <c r="U738" s="5">
        <v>0</v>
      </c>
      <c r="V738" s="4">
        <v>28</v>
      </c>
      <c r="W738" s="4">
        <v>30</v>
      </c>
      <c r="X738" s="2" t="s">
        <v>44</v>
      </c>
      <c r="Y738" s="4">
        <v>0</v>
      </c>
      <c r="Z738" s="4">
        <v>5</v>
      </c>
      <c r="AA738" s="4">
        <v>0</v>
      </c>
      <c r="AB738" s="4">
        <v>0</v>
      </c>
      <c r="AC738" s="4">
        <v>2</v>
      </c>
      <c r="AD738" s="4">
        <v>7</v>
      </c>
      <c r="AE738" s="3" t="s">
        <v>58</v>
      </c>
      <c r="AG738">
        <f t="shared" ca="1" si="33"/>
        <v>1</v>
      </c>
      <c r="AH738" s="23" t="str" cm="1">
        <f t="array" ref="AH738">_xlfn.IFS(E738&gt;49,"50+",E738&gt;39,"40-49",E738&gt;29,"30-39",E738&gt;19,"20-29")</f>
        <v>20-29</v>
      </c>
      <c r="AI738" s="24" t="str" cm="1">
        <f t="array" aca="1" ref="AI738" ca="1">_xlfn.IFS(AG738&gt;10,"10+",AG738&gt;4,"5-10 YIL",AG738&gt;2,"3-5 YIL",AG738&gt;0.9,"1-3 YIL",AG738&lt;1,"0-1 YIL")</f>
        <v>1-3 YIL</v>
      </c>
      <c r="AJ738">
        <f t="shared" si="34"/>
        <v>2025</v>
      </c>
      <c r="AK738">
        <f t="shared" si="35"/>
        <v>2026</v>
      </c>
    </row>
    <row r="739" spans="1:37" x14ac:dyDescent="0.3">
      <c r="A739" s="6" t="s">
        <v>1188</v>
      </c>
      <c r="B739" s="7" t="s">
        <v>323</v>
      </c>
      <c r="C739" s="6" t="s">
        <v>33</v>
      </c>
      <c r="D739" s="14">
        <v>32554</v>
      </c>
      <c r="E739" s="8">
        <v>37</v>
      </c>
      <c r="F739" s="6" t="s">
        <v>49</v>
      </c>
      <c r="G739" s="8">
        <v>1</v>
      </c>
      <c r="H739" s="6" t="s">
        <v>35</v>
      </c>
      <c r="I739" s="7" t="s">
        <v>36</v>
      </c>
      <c r="J739" s="7" t="s">
        <v>78</v>
      </c>
      <c r="K739" s="6" t="s">
        <v>79</v>
      </c>
      <c r="L739" s="6" t="s">
        <v>63</v>
      </c>
      <c r="M739" s="7" t="s">
        <v>80</v>
      </c>
      <c r="N739" s="6" t="s">
        <v>67</v>
      </c>
      <c r="O739" s="14">
        <v>44022</v>
      </c>
      <c r="P739" s="6" t="s">
        <v>44</v>
      </c>
      <c r="Q739" s="7" t="s">
        <v>44</v>
      </c>
      <c r="R739" s="6" t="s">
        <v>44</v>
      </c>
      <c r="S739" s="6" t="s">
        <v>56</v>
      </c>
      <c r="T739" s="9">
        <v>105100</v>
      </c>
      <c r="U739" s="9">
        <v>0</v>
      </c>
      <c r="V739" s="8">
        <v>7</v>
      </c>
      <c r="W739" s="8">
        <v>30</v>
      </c>
      <c r="X739" s="6" t="s">
        <v>44</v>
      </c>
      <c r="Y739" s="8">
        <v>0</v>
      </c>
      <c r="Z739" s="8">
        <v>13</v>
      </c>
      <c r="AA739" s="8">
        <v>0</v>
      </c>
      <c r="AB739" s="8">
        <v>0</v>
      </c>
      <c r="AC739" s="8">
        <v>3</v>
      </c>
      <c r="AD739" s="8">
        <v>16</v>
      </c>
      <c r="AE739" s="7" t="s">
        <v>58</v>
      </c>
      <c r="AG739">
        <f t="shared" ca="1" si="33"/>
        <v>5</v>
      </c>
      <c r="AH739" s="23" t="str" cm="1">
        <f t="array" ref="AH739">_xlfn.IFS(E739&gt;49,"50+",E739&gt;39,"40-49",E739&gt;29,"30-39",E739&gt;19,"20-29")</f>
        <v>30-39</v>
      </c>
      <c r="AI739" s="24" t="str" cm="1">
        <f t="array" aca="1" ref="AI739" ca="1">_xlfn.IFS(AG739&gt;10,"10+",AG739&gt;4,"5-10 YIL",AG739&gt;2,"3-5 YIL",AG739&gt;0.9,"1-3 YIL",AG739&lt;1,"0-1 YIL")</f>
        <v>5-10 YIL</v>
      </c>
      <c r="AJ739">
        <f t="shared" si="34"/>
        <v>2020</v>
      </c>
      <c r="AK739" t="e">
        <f t="shared" si="35"/>
        <v>#VALUE!</v>
      </c>
    </row>
    <row r="740" spans="1:37" x14ac:dyDescent="0.3">
      <c r="A740" s="2" t="s">
        <v>1189</v>
      </c>
      <c r="B740" s="3" t="s">
        <v>247</v>
      </c>
      <c r="C740" s="2" t="s">
        <v>33</v>
      </c>
      <c r="D740" s="13">
        <v>28070</v>
      </c>
      <c r="E740" s="4">
        <v>50</v>
      </c>
      <c r="F740" s="2" t="s">
        <v>34</v>
      </c>
      <c r="G740" s="4">
        <v>0</v>
      </c>
      <c r="H740" s="2" t="s">
        <v>35</v>
      </c>
      <c r="I740" s="3" t="s">
        <v>61</v>
      </c>
      <c r="J740" s="3" t="s">
        <v>124</v>
      </c>
      <c r="K740" s="2" t="s">
        <v>79</v>
      </c>
      <c r="L740" s="2" t="s">
        <v>63</v>
      </c>
      <c r="M740" s="3" t="s">
        <v>80</v>
      </c>
      <c r="N740" s="2" t="s">
        <v>67</v>
      </c>
      <c r="O740" s="13">
        <v>41121</v>
      </c>
      <c r="P740" s="2" t="s">
        <v>44</v>
      </c>
      <c r="Q740" s="3" t="s">
        <v>44</v>
      </c>
      <c r="R740" s="2" t="s">
        <v>44</v>
      </c>
      <c r="S740" s="2" t="s">
        <v>56</v>
      </c>
      <c r="T740" s="5">
        <v>105000</v>
      </c>
      <c r="U740" s="5">
        <v>22700</v>
      </c>
      <c r="V740" s="4">
        <v>0</v>
      </c>
      <c r="W740" s="4">
        <v>30</v>
      </c>
      <c r="X740" s="2" t="s">
        <v>44</v>
      </c>
      <c r="Y740" s="4">
        <v>0</v>
      </c>
      <c r="Z740" s="4">
        <v>7</v>
      </c>
      <c r="AA740" s="4">
        <v>0</v>
      </c>
      <c r="AB740" s="4">
        <v>0</v>
      </c>
      <c r="AC740" s="4">
        <v>4</v>
      </c>
      <c r="AD740" s="4">
        <v>26</v>
      </c>
      <c r="AE740" s="3" t="s">
        <v>45</v>
      </c>
      <c r="AG740">
        <f t="shared" ca="1" si="33"/>
        <v>13</v>
      </c>
      <c r="AH740" s="23" t="str" cm="1">
        <f t="array" ref="AH740">_xlfn.IFS(E740&gt;49,"50+",E740&gt;39,"40-49",E740&gt;29,"30-39",E740&gt;19,"20-29")</f>
        <v>50+</v>
      </c>
      <c r="AI740" s="24" t="str" cm="1">
        <f t="array" aca="1" ref="AI740" ca="1">_xlfn.IFS(AG740&gt;10,"10+",AG740&gt;4,"5-10 YIL",AG740&gt;2,"3-5 YIL",AG740&gt;0.9,"1-3 YIL",AG740&lt;1,"0-1 YIL")</f>
        <v>10+</v>
      </c>
      <c r="AJ740">
        <f t="shared" si="34"/>
        <v>2012</v>
      </c>
      <c r="AK740" t="e">
        <f t="shared" si="35"/>
        <v>#VALUE!</v>
      </c>
    </row>
    <row r="741" spans="1:37" x14ac:dyDescent="0.3">
      <c r="A741" s="6" t="s">
        <v>1190</v>
      </c>
      <c r="B741" s="7" t="s">
        <v>1191</v>
      </c>
      <c r="C741" s="6" t="s">
        <v>33</v>
      </c>
      <c r="D741" s="14">
        <v>35821</v>
      </c>
      <c r="E741" s="8">
        <v>28</v>
      </c>
      <c r="F741" s="6" t="s">
        <v>49</v>
      </c>
      <c r="G741" s="8">
        <v>1</v>
      </c>
      <c r="H741" s="6" t="s">
        <v>35</v>
      </c>
      <c r="I741" s="7" t="s">
        <v>148</v>
      </c>
      <c r="J741" s="7" t="s">
        <v>252</v>
      </c>
      <c r="K741" s="6" t="s">
        <v>38</v>
      </c>
      <c r="L741" s="6" t="s">
        <v>63</v>
      </c>
      <c r="M741" s="7" t="s">
        <v>150</v>
      </c>
      <c r="N741" s="6" t="s">
        <v>41</v>
      </c>
      <c r="O741" s="14">
        <v>44936</v>
      </c>
      <c r="P741" s="6" t="s">
        <v>44</v>
      </c>
      <c r="Q741" s="7" t="s">
        <v>44</v>
      </c>
      <c r="R741" s="6" t="s">
        <v>44</v>
      </c>
      <c r="S741" s="6" t="s">
        <v>56</v>
      </c>
      <c r="T741" s="9">
        <v>33400</v>
      </c>
      <c r="U741" s="9">
        <v>0</v>
      </c>
      <c r="V741" s="8">
        <v>0</v>
      </c>
      <c r="W741" s="8">
        <v>30</v>
      </c>
      <c r="X741" s="6" t="s">
        <v>44</v>
      </c>
      <c r="Y741" s="8">
        <v>0</v>
      </c>
      <c r="Z741" s="8">
        <v>13</v>
      </c>
      <c r="AA741" s="8">
        <v>0</v>
      </c>
      <c r="AB741" s="8">
        <v>0</v>
      </c>
      <c r="AC741" s="8">
        <v>3</v>
      </c>
      <c r="AD741" s="8">
        <v>4</v>
      </c>
      <c r="AE741" s="7" t="s">
        <v>45</v>
      </c>
      <c r="AG741">
        <f t="shared" ca="1" si="33"/>
        <v>3</v>
      </c>
      <c r="AH741" s="23" t="str" cm="1">
        <f t="array" ref="AH741">_xlfn.IFS(E741&gt;49,"50+",E741&gt;39,"40-49",E741&gt;29,"30-39",E741&gt;19,"20-29")</f>
        <v>20-29</v>
      </c>
      <c r="AI741" s="24" t="str" cm="1">
        <f t="array" aca="1" ref="AI741" ca="1">_xlfn.IFS(AG741&gt;10,"10+",AG741&gt;4,"5-10 YIL",AG741&gt;2,"3-5 YIL",AG741&gt;0.9,"1-3 YIL",AG741&lt;1,"0-1 YIL")</f>
        <v>3-5 YIL</v>
      </c>
      <c r="AJ741">
        <f t="shared" si="34"/>
        <v>2023</v>
      </c>
      <c r="AK741" t="e">
        <f t="shared" si="35"/>
        <v>#VALUE!</v>
      </c>
    </row>
    <row r="742" spans="1:37" x14ac:dyDescent="0.3">
      <c r="A742" s="2" t="s">
        <v>1192</v>
      </c>
      <c r="B742" s="3" t="s">
        <v>1193</v>
      </c>
      <c r="C742" s="2" t="s">
        <v>33</v>
      </c>
      <c r="D742" s="13">
        <v>33219</v>
      </c>
      <c r="E742" s="4">
        <v>36</v>
      </c>
      <c r="F742" s="2" t="s">
        <v>49</v>
      </c>
      <c r="G742" s="4">
        <v>1</v>
      </c>
      <c r="H742" s="2" t="s">
        <v>35</v>
      </c>
      <c r="I742" s="3" t="s">
        <v>61</v>
      </c>
      <c r="J742" s="3" t="s">
        <v>124</v>
      </c>
      <c r="K742" s="2" t="s">
        <v>79</v>
      </c>
      <c r="L742" s="2" t="s">
        <v>63</v>
      </c>
      <c r="M742" s="3" t="s">
        <v>80</v>
      </c>
      <c r="N742" s="2" t="s">
        <v>41</v>
      </c>
      <c r="O742" s="13">
        <v>40480</v>
      </c>
      <c r="P742" s="2" t="s">
        <v>44</v>
      </c>
      <c r="Q742" s="3" t="s">
        <v>44</v>
      </c>
      <c r="R742" s="2" t="s">
        <v>44</v>
      </c>
      <c r="S742" s="2" t="s">
        <v>56</v>
      </c>
      <c r="T742" s="5">
        <v>118900</v>
      </c>
      <c r="U742" s="5">
        <v>0</v>
      </c>
      <c r="V742" s="4">
        <v>5</v>
      </c>
      <c r="W742" s="4">
        <v>30</v>
      </c>
      <c r="X742" s="2" t="s">
        <v>44</v>
      </c>
      <c r="Y742" s="4">
        <v>0</v>
      </c>
      <c r="Z742" s="4">
        <v>8</v>
      </c>
      <c r="AA742" s="4">
        <v>0</v>
      </c>
      <c r="AB742" s="4">
        <v>0</v>
      </c>
      <c r="AC742" s="4">
        <v>3</v>
      </c>
      <c r="AD742" s="4">
        <v>17</v>
      </c>
      <c r="AE742" s="3" t="s">
        <v>82</v>
      </c>
      <c r="AG742">
        <f t="shared" ca="1" si="33"/>
        <v>15</v>
      </c>
      <c r="AH742" s="23" t="str" cm="1">
        <f t="array" ref="AH742">_xlfn.IFS(E742&gt;49,"50+",E742&gt;39,"40-49",E742&gt;29,"30-39",E742&gt;19,"20-29")</f>
        <v>30-39</v>
      </c>
      <c r="AI742" s="24" t="str" cm="1">
        <f t="array" aca="1" ref="AI742" ca="1">_xlfn.IFS(AG742&gt;10,"10+",AG742&gt;4,"5-10 YIL",AG742&gt;2,"3-5 YIL",AG742&gt;0.9,"1-3 YIL",AG742&lt;1,"0-1 YIL")</f>
        <v>10+</v>
      </c>
      <c r="AJ742">
        <f t="shared" si="34"/>
        <v>2010</v>
      </c>
      <c r="AK742" t="e">
        <f t="shared" si="35"/>
        <v>#VALUE!</v>
      </c>
    </row>
    <row r="743" spans="1:37" x14ac:dyDescent="0.3">
      <c r="A743" s="6" t="s">
        <v>1194</v>
      </c>
      <c r="B743" s="7" t="s">
        <v>500</v>
      </c>
      <c r="C743" s="6" t="s">
        <v>33</v>
      </c>
      <c r="D743" s="14">
        <v>37928</v>
      </c>
      <c r="E743" s="8">
        <v>23</v>
      </c>
      <c r="F743" s="6" t="s">
        <v>49</v>
      </c>
      <c r="G743" s="8">
        <v>1</v>
      </c>
      <c r="H743" s="6" t="s">
        <v>35</v>
      </c>
      <c r="I743" s="7" t="s">
        <v>148</v>
      </c>
      <c r="J743" s="7" t="s">
        <v>252</v>
      </c>
      <c r="K743" s="6" t="s">
        <v>38</v>
      </c>
      <c r="L743" s="6" t="s">
        <v>63</v>
      </c>
      <c r="M743" s="7" t="s">
        <v>150</v>
      </c>
      <c r="N743" s="6" t="s">
        <v>67</v>
      </c>
      <c r="O743" s="14">
        <v>45479</v>
      </c>
      <c r="P743" s="6" t="s">
        <v>44</v>
      </c>
      <c r="Q743" s="7" t="s">
        <v>44</v>
      </c>
      <c r="R743" s="6" t="s">
        <v>44</v>
      </c>
      <c r="S743" s="6" t="s">
        <v>56</v>
      </c>
      <c r="T743" s="9">
        <v>32700</v>
      </c>
      <c r="U743" s="9">
        <v>0</v>
      </c>
      <c r="V743" s="8">
        <v>9</v>
      </c>
      <c r="W743" s="8">
        <v>30</v>
      </c>
      <c r="X743" s="6" t="s">
        <v>44</v>
      </c>
      <c r="Y743" s="8">
        <v>0</v>
      </c>
      <c r="Z743" s="8">
        <v>14</v>
      </c>
      <c r="AA743" s="8">
        <v>0</v>
      </c>
      <c r="AB743" s="8">
        <v>0</v>
      </c>
      <c r="AC743" s="8">
        <v>3</v>
      </c>
      <c r="AD743" s="8">
        <v>9</v>
      </c>
      <c r="AE743" s="7" t="s">
        <v>45</v>
      </c>
      <c r="AG743">
        <f t="shared" ca="1" si="33"/>
        <v>1</v>
      </c>
      <c r="AH743" s="23" t="str" cm="1">
        <f t="array" ref="AH743">_xlfn.IFS(E743&gt;49,"50+",E743&gt;39,"40-49",E743&gt;29,"30-39",E743&gt;19,"20-29")</f>
        <v>20-29</v>
      </c>
      <c r="AI743" s="24" t="str" cm="1">
        <f t="array" aca="1" ref="AI743" ca="1">_xlfn.IFS(AG743&gt;10,"10+",AG743&gt;4,"5-10 YIL",AG743&gt;2,"3-5 YIL",AG743&gt;0.9,"1-3 YIL",AG743&lt;1,"0-1 YIL")</f>
        <v>1-3 YIL</v>
      </c>
      <c r="AJ743">
        <f t="shared" si="34"/>
        <v>2024</v>
      </c>
      <c r="AK743" t="e">
        <f t="shared" si="35"/>
        <v>#VALUE!</v>
      </c>
    </row>
    <row r="744" spans="1:37" x14ac:dyDescent="0.3">
      <c r="A744" s="2" t="s">
        <v>1195</v>
      </c>
      <c r="B744" s="3" t="s">
        <v>319</v>
      </c>
      <c r="C744" s="2" t="s">
        <v>48</v>
      </c>
      <c r="D744" s="13">
        <v>29602</v>
      </c>
      <c r="E744" s="4">
        <v>45</v>
      </c>
      <c r="F744" s="2" t="s">
        <v>49</v>
      </c>
      <c r="G744" s="4">
        <v>2</v>
      </c>
      <c r="H744" s="2" t="s">
        <v>35</v>
      </c>
      <c r="I744" s="3" t="s">
        <v>148</v>
      </c>
      <c r="J744" s="3" t="s">
        <v>149</v>
      </c>
      <c r="K744" s="2" t="s">
        <v>51</v>
      </c>
      <c r="L744" s="2" t="s">
        <v>63</v>
      </c>
      <c r="M744" s="3" t="s">
        <v>150</v>
      </c>
      <c r="N744" s="2" t="s">
        <v>41</v>
      </c>
      <c r="O744" s="13">
        <v>44914</v>
      </c>
      <c r="P744" s="2" t="s">
        <v>44</v>
      </c>
      <c r="Q744" s="3" t="s">
        <v>44</v>
      </c>
      <c r="R744" s="2" t="s">
        <v>44</v>
      </c>
      <c r="S744" s="2" t="s">
        <v>56</v>
      </c>
      <c r="T744" s="5">
        <v>57500</v>
      </c>
      <c r="U744" s="5">
        <v>0</v>
      </c>
      <c r="V744" s="4">
        <v>5</v>
      </c>
      <c r="W744" s="4">
        <v>30</v>
      </c>
      <c r="X744" s="2" t="s">
        <v>44</v>
      </c>
      <c r="Y744" s="4">
        <v>0</v>
      </c>
      <c r="Z744" s="4">
        <v>5</v>
      </c>
      <c r="AA744" s="4">
        <v>0</v>
      </c>
      <c r="AB744" s="4">
        <v>0</v>
      </c>
      <c r="AC744" s="4">
        <v>3</v>
      </c>
      <c r="AD744" s="4">
        <v>14</v>
      </c>
      <c r="AE744" s="3" t="s">
        <v>45</v>
      </c>
      <c r="AG744">
        <f t="shared" ca="1" si="33"/>
        <v>3</v>
      </c>
      <c r="AH744" s="23" t="str" cm="1">
        <f t="array" ref="AH744">_xlfn.IFS(E744&gt;49,"50+",E744&gt;39,"40-49",E744&gt;29,"30-39",E744&gt;19,"20-29")</f>
        <v>40-49</v>
      </c>
      <c r="AI744" s="24" t="str" cm="1">
        <f t="array" aca="1" ref="AI744" ca="1">_xlfn.IFS(AG744&gt;10,"10+",AG744&gt;4,"5-10 YIL",AG744&gt;2,"3-5 YIL",AG744&gt;0.9,"1-3 YIL",AG744&lt;1,"0-1 YIL")</f>
        <v>3-5 YIL</v>
      </c>
      <c r="AJ744">
        <f t="shared" si="34"/>
        <v>2022</v>
      </c>
      <c r="AK744" t="e">
        <f t="shared" si="35"/>
        <v>#VALUE!</v>
      </c>
    </row>
    <row r="745" spans="1:37" x14ac:dyDescent="0.3">
      <c r="A745" s="6" t="s">
        <v>1196</v>
      </c>
      <c r="B745" s="7" t="s">
        <v>260</v>
      </c>
      <c r="C745" s="6" t="s">
        <v>48</v>
      </c>
      <c r="D745" s="14">
        <v>27091</v>
      </c>
      <c r="E745" s="8">
        <v>52</v>
      </c>
      <c r="F745" s="6" t="s">
        <v>34</v>
      </c>
      <c r="G745" s="8">
        <v>0</v>
      </c>
      <c r="H745" s="6" t="s">
        <v>35</v>
      </c>
      <c r="I745" s="7" t="s">
        <v>61</v>
      </c>
      <c r="J745" s="7" t="s">
        <v>124</v>
      </c>
      <c r="K745" s="6" t="s">
        <v>79</v>
      </c>
      <c r="L745" s="6" t="s">
        <v>63</v>
      </c>
      <c r="M745" s="7" t="s">
        <v>80</v>
      </c>
      <c r="N745" s="6" t="s">
        <v>95</v>
      </c>
      <c r="O745" s="14">
        <v>41522</v>
      </c>
      <c r="P745" s="6" t="s">
        <v>44</v>
      </c>
      <c r="Q745" s="7" t="s">
        <v>44</v>
      </c>
      <c r="R745" s="6" t="s">
        <v>44</v>
      </c>
      <c r="S745" s="6" t="s">
        <v>56</v>
      </c>
      <c r="T745" s="9">
        <v>111400</v>
      </c>
      <c r="U745" s="9">
        <v>22500</v>
      </c>
      <c r="V745" s="8">
        <v>4</v>
      </c>
      <c r="W745" s="8">
        <v>30</v>
      </c>
      <c r="X745" s="6" t="s">
        <v>44</v>
      </c>
      <c r="Y745" s="8">
        <v>0</v>
      </c>
      <c r="Z745" s="8">
        <v>14</v>
      </c>
      <c r="AA745" s="8">
        <v>0</v>
      </c>
      <c r="AB745" s="8">
        <v>0</v>
      </c>
      <c r="AC745" s="8">
        <v>4</v>
      </c>
      <c r="AD745" s="8">
        <v>26</v>
      </c>
      <c r="AE745" s="7" t="s">
        <v>58</v>
      </c>
      <c r="AG745">
        <f t="shared" ca="1" si="33"/>
        <v>12</v>
      </c>
      <c r="AH745" s="23" t="str" cm="1">
        <f t="array" ref="AH745">_xlfn.IFS(E745&gt;49,"50+",E745&gt;39,"40-49",E745&gt;29,"30-39",E745&gt;19,"20-29")</f>
        <v>50+</v>
      </c>
      <c r="AI745" s="24" t="str" cm="1">
        <f t="array" aca="1" ref="AI745" ca="1">_xlfn.IFS(AG745&gt;10,"10+",AG745&gt;4,"5-10 YIL",AG745&gt;2,"3-5 YIL",AG745&gt;0.9,"1-3 YIL",AG745&lt;1,"0-1 YIL")</f>
        <v>10+</v>
      </c>
      <c r="AJ745">
        <f t="shared" si="34"/>
        <v>2013</v>
      </c>
      <c r="AK745" t="e">
        <f t="shared" si="35"/>
        <v>#VALUE!</v>
      </c>
    </row>
    <row r="746" spans="1:37" x14ac:dyDescent="0.3">
      <c r="A746" s="2" t="s">
        <v>1197</v>
      </c>
      <c r="B746" s="3" t="s">
        <v>106</v>
      </c>
      <c r="C746" s="2" t="s">
        <v>33</v>
      </c>
      <c r="D746" s="13">
        <v>38223</v>
      </c>
      <c r="E746" s="4">
        <v>22</v>
      </c>
      <c r="F746" s="2" t="s">
        <v>34</v>
      </c>
      <c r="G746" s="4">
        <v>0</v>
      </c>
      <c r="H746" s="2" t="s">
        <v>85</v>
      </c>
      <c r="I746" s="3" t="s">
        <v>36</v>
      </c>
      <c r="J746" s="3" t="s">
        <v>37</v>
      </c>
      <c r="K746" s="2" t="s">
        <v>38</v>
      </c>
      <c r="L746" s="2" t="s">
        <v>39</v>
      </c>
      <c r="M746" s="3" t="s">
        <v>40</v>
      </c>
      <c r="N746" s="2" t="s">
        <v>95</v>
      </c>
      <c r="O746" s="13">
        <v>45720</v>
      </c>
      <c r="P746" s="2" t="s">
        <v>44</v>
      </c>
      <c r="Q746" s="3" t="s">
        <v>44</v>
      </c>
      <c r="R746" s="2" t="s">
        <v>44</v>
      </c>
      <c r="S746" s="2" t="s">
        <v>56</v>
      </c>
      <c r="T746" s="5">
        <v>26900</v>
      </c>
      <c r="U746" s="5">
        <v>0</v>
      </c>
      <c r="V746" s="4">
        <v>21</v>
      </c>
      <c r="W746" s="4">
        <v>30</v>
      </c>
      <c r="X746" s="2" t="s">
        <v>44</v>
      </c>
      <c r="Y746" s="4">
        <v>0</v>
      </c>
      <c r="Z746" s="4">
        <v>7</v>
      </c>
      <c r="AA746" s="4">
        <v>0</v>
      </c>
      <c r="AB746" s="4">
        <v>0</v>
      </c>
      <c r="AC746" s="4">
        <v>4</v>
      </c>
      <c r="AD746" s="4">
        <v>29</v>
      </c>
      <c r="AE746" s="3" t="s">
        <v>96</v>
      </c>
      <c r="AG746">
        <f t="shared" ca="1" si="33"/>
        <v>1</v>
      </c>
      <c r="AH746" s="23" t="str" cm="1">
        <f t="array" ref="AH746">_xlfn.IFS(E746&gt;49,"50+",E746&gt;39,"40-49",E746&gt;29,"30-39",E746&gt;19,"20-29")</f>
        <v>20-29</v>
      </c>
      <c r="AI746" s="24" t="str" cm="1">
        <f t="array" aca="1" ref="AI746" ca="1">_xlfn.IFS(AG746&gt;10,"10+",AG746&gt;4,"5-10 YIL",AG746&gt;2,"3-5 YIL",AG746&gt;0.9,"1-3 YIL",AG746&lt;1,"0-1 YIL")</f>
        <v>1-3 YIL</v>
      </c>
      <c r="AJ746">
        <f t="shared" si="34"/>
        <v>2025</v>
      </c>
      <c r="AK746" t="e">
        <f t="shared" si="35"/>
        <v>#VALUE!</v>
      </c>
    </row>
    <row r="747" spans="1:37" x14ac:dyDescent="0.3">
      <c r="A747" s="6" t="s">
        <v>1198</v>
      </c>
      <c r="B747" s="7" t="s">
        <v>469</v>
      </c>
      <c r="C747" s="6" t="s">
        <v>48</v>
      </c>
      <c r="D747" s="14">
        <v>37057</v>
      </c>
      <c r="E747" s="8">
        <v>25</v>
      </c>
      <c r="F747" s="6" t="s">
        <v>49</v>
      </c>
      <c r="G747" s="8">
        <v>3</v>
      </c>
      <c r="H747" s="6" t="s">
        <v>35</v>
      </c>
      <c r="I747" s="7" t="s">
        <v>36</v>
      </c>
      <c r="J747" s="7" t="s">
        <v>37</v>
      </c>
      <c r="K747" s="6" t="s">
        <v>38</v>
      </c>
      <c r="L747" s="6" t="s">
        <v>39</v>
      </c>
      <c r="M747" s="7" t="s">
        <v>40</v>
      </c>
      <c r="N747" s="6" t="s">
        <v>41</v>
      </c>
      <c r="O747" s="14">
        <v>45610</v>
      </c>
      <c r="P747" s="6" t="s">
        <v>44</v>
      </c>
      <c r="Q747" s="7" t="s">
        <v>44</v>
      </c>
      <c r="R747" s="6" t="s">
        <v>44</v>
      </c>
      <c r="S747" s="6" t="s">
        <v>56</v>
      </c>
      <c r="T747" s="9">
        <v>28300</v>
      </c>
      <c r="U747" s="9">
        <v>0</v>
      </c>
      <c r="V747" s="8">
        <v>20</v>
      </c>
      <c r="W747" s="8">
        <v>30</v>
      </c>
      <c r="X747" s="6" t="s">
        <v>44</v>
      </c>
      <c r="Y747" s="8">
        <v>0</v>
      </c>
      <c r="Z747" s="8">
        <v>3</v>
      </c>
      <c r="AA747" s="8">
        <v>0</v>
      </c>
      <c r="AB747" s="8">
        <v>0</v>
      </c>
      <c r="AC747" s="8">
        <v>4</v>
      </c>
      <c r="AD747" s="8">
        <v>35</v>
      </c>
      <c r="AE747" s="7" t="s">
        <v>58</v>
      </c>
      <c r="AG747">
        <f t="shared" ca="1" si="33"/>
        <v>1</v>
      </c>
      <c r="AH747" s="23" t="str" cm="1">
        <f t="array" ref="AH747">_xlfn.IFS(E747&gt;49,"50+",E747&gt;39,"40-49",E747&gt;29,"30-39",E747&gt;19,"20-29")</f>
        <v>20-29</v>
      </c>
      <c r="AI747" s="24" t="str" cm="1">
        <f t="array" aca="1" ref="AI747" ca="1">_xlfn.IFS(AG747&gt;10,"10+",AG747&gt;4,"5-10 YIL",AG747&gt;2,"3-5 YIL",AG747&gt;0.9,"1-3 YIL",AG747&lt;1,"0-1 YIL")</f>
        <v>1-3 YIL</v>
      </c>
      <c r="AJ747">
        <f t="shared" si="34"/>
        <v>2024</v>
      </c>
      <c r="AK747" t="e">
        <f t="shared" si="35"/>
        <v>#VALUE!</v>
      </c>
    </row>
    <row r="748" spans="1:37" x14ac:dyDescent="0.3">
      <c r="A748" s="2" t="s">
        <v>1199</v>
      </c>
      <c r="B748" s="3" t="s">
        <v>211</v>
      </c>
      <c r="C748" s="2" t="s">
        <v>33</v>
      </c>
      <c r="D748" s="13">
        <v>37859</v>
      </c>
      <c r="E748" s="4">
        <v>23</v>
      </c>
      <c r="F748" s="2" t="s">
        <v>49</v>
      </c>
      <c r="G748" s="4">
        <v>2</v>
      </c>
      <c r="H748" s="2" t="s">
        <v>35</v>
      </c>
      <c r="I748" s="3" t="s">
        <v>61</v>
      </c>
      <c r="J748" s="3" t="s">
        <v>62</v>
      </c>
      <c r="K748" s="2" t="s">
        <v>38</v>
      </c>
      <c r="L748" s="2" t="s">
        <v>63</v>
      </c>
      <c r="M748" s="3" t="s">
        <v>64</v>
      </c>
      <c r="N748" s="2" t="s">
        <v>67</v>
      </c>
      <c r="O748" s="13">
        <v>44753</v>
      </c>
      <c r="P748" s="2" t="s">
        <v>44</v>
      </c>
      <c r="Q748" s="3" t="s">
        <v>44</v>
      </c>
      <c r="R748" s="2" t="s">
        <v>44</v>
      </c>
      <c r="S748" s="2" t="s">
        <v>56</v>
      </c>
      <c r="T748" s="5">
        <v>35300</v>
      </c>
      <c r="U748" s="5">
        <v>11800</v>
      </c>
      <c r="V748" s="4">
        <v>3</v>
      </c>
      <c r="W748" s="4">
        <v>28</v>
      </c>
      <c r="X748" s="2" t="s">
        <v>57</v>
      </c>
      <c r="Y748" s="4">
        <v>2</v>
      </c>
      <c r="Z748" s="4">
        <v>3</v>
      </c>
      <c r="AA748" s="4">
        <v>0</v>
      </c>
      <c r="AB748" s="4">
        <v>0</v>
      </c>
      <c r="AC748" s="4">
        <v>3</v>
      </c>
      <c r="AD748" s="4">
        <v>8</v>
      </c>
      <c r="AE748" s="3" t="s">
        <v>73</v>
      </c>
      <c r="AG748">
        <f t="shared" ca="1" si="33"/>
        <v>3</v>
      </c>
      <c r="AH748" s="23" t="str" cm="1">
        <f t="array" ref="AH748">_xlfn.IFS(E748&gt;49,"50+",E748&gt;39,"40-49",E748&gt;29,"30-39",E748&gt;19,"20-29")</f>
        <v>20-29</v>
      </c>
      <c r="AI748" s="24" t="str" cm="1">
        <f t="array" aca="1" ref="AI748" ca="1">_xlfn.IFS(AG748&gt;10,"10+",AG748&gt;4,"5-10 YIL",AG748&gt;2,"3-5 YIL",AG748&gt;0.9,"1-3 YIL",AG748&lt;1,"0-1 YIL")</f>
        <v>3-5 YIL</v>
      </c>
      <c r="AJ748">
        <f t="shared" si="34"/>
        <v>2022</v>
      </c>
      <c r="AK748" t="e">
        <f t="shared" si="35"/>
        <v>#VALUE!</v>
      </c>
    </row>
    <row r="749" spans="1:37" x14ac:dyDescent="0.3">
      <c r="A749" s="6" t="s">
        <v>1200</v>
      </c>
      <c r="B749" s="7" t="s">
        <v>439</v>
      </c>
      <c r="C749" s="6" t="s">
        <v>48</v>
      </c>
      <c r="D749" s="14">
        <v>38305</v>
      </c>
      <c r="E749" s="8">
        <v>22</v>
      </c>
      <c r="F749" s="6" t="s">
        <v>34</v>
      </c>
      <c r="G749" s="8">
        <v>0</v>
      </c>
      <c r="H749" s="6" t="s">
        <v>35</v>
      </c>
      <c r="I749" s="7" t="s">
        <v>36</v>
      </c>
      <c r="J749" s="7" t="s">
        <v>37</v>
      </c>
      <c r="K749" s="6" t="s">
        <v>38</v>
      </c>
      <c r="L749" s="6" t="s">
        <v>39</v>
      </c>
      <c r="M749" s="7" t="s">
        <v>40</v>
      </c>
      <c r="N749" s="6" t="s">
        <v>41</v>
      </c>
      <c r="O749" s="14">
        <v>45383</v>
      </c>
      <c r="P749" s="6" t="s">
        <v>44</v>
      </c>
      <c r="Q749" s="7" t="s">
        <v>44</v>
      </c>
      <c r="R749" s="6" t="s">
        <v>44</v>
      </c>
      <c r="S749" s="6" t="s">
        <v>56</v>
      </c>
      <c r="T749" s="9">
        <v>24100</v>
      </c>
      <c r="U749" s="9">
        <v>0</v>
      </c>
      <c r="V749" s="8">
        <v>12</v>
      </c>
      <c r="W749" s="8">
        <v>30</v>
      </c>
      <c r="X749" s="6" t="s">
        <v>44</v>
      </c>
      <c r="Y749" s="8">
        <v>0</v>
      </c>
      <c r="Z749" s="8">
        <v>0</v>
      </c>
      <c r="AA749" s="8">
        <v>0</v>
      </c>
      <c r="AB749" s="8">
        <v>0</v>
      </c>
      <c r="AC749" s="8">
        <v>3</v>
      </c>
      <c r="AD749" s="8">
        <v>15</v>
      </c>
      <c r="AE749" s="7" t="s">
        <v>58</v>
      </c>
      <c r="AG749">
        <f t="shared" ca="1" si="33"/>
        <v>2</v>
      </c>
      <c r="AH749" s="23" t="str" cm="1">
        <f t="array" ref="AH749">_xlfn.IFS(E749&gt;49,"50+",E749&gt;39,"40-49",E749&gt;29,"30-39",E749&gt;19,"20-29")</f>
        <v>20-29</v>
      </c>
      <c r="AI749" s="24" t="str" cm="1">
        <f t="array" aca="1" ref="AI749" ca="1">_xlfn.IFS(AG749&gt;10,"10+",AG749&gt;4,"5-10 YIL",AG749&gt;2,"3-5 YIL",AG749&gt;0.9,"1-3 YIL",AG749&lt;1,"0-1 YIL")</f>
        <v>1-3 YIL</v>
      </c>
      <c r="AJ749">
        <f t="shared" si="34"/>
        <v>2024</v>
      </c>
      <c r="AK749" t="e">
        <f t="shared" si="35"/>
        <v>#VALUE!</v>
      </c>
    </row>
    <row r="750" spans="1:37" x14ac:dyDescent="0.3">
      <c r="A750" s="2" t="s">
        <v>1201</v>
      </c>
      <c r="B750" s="3" t="s">
        <v>690</v>
      </c>
      <c r="C750" s="2" t="s">
        <v>33</v>
      </c>
      <c r="D750" s="13">
        <v>37187</v>
      </c>
      <c r="E750" s="4">
        <v>25</v>
      </c>
      <c r="F750" s="2" t="s">
        <v>49</v>
      </c>
      <c r="G750" s="4">
        <v>1</v>
      </c>
      <c r="H750" s="2" t="s">
        <v>85</v>
      </c>
      <c r="I750" s="3" t="s">
        <v>36</v>
      </c>
      <c r="J750" s="3" t="s">
        <v>37</v>
      </c>
      <c r="K750" s="2" t="s">
        <v>38</v>
      </c>
      <c r="L750" s="2" t="s">
        <v>39</v>
      </c>
      <c r="M750" s="3" t="s">
        <v>40</v>
      </c>
      <c r="N750" s="2" t="s">
        <v>52</v>
      </c>
      <c r="O750" s="13">
        <v>46130</v>
      </c>
      <c r="P750" s="2" t="s">
        <v>44</v>
      </c>
      <c r="Q750" s="3" t="s">
        <v>44</v>
      </c>
      <c r="R750" s="2" t="s">
        <v>44</v>
      </c>
      <c r="S750" s="2" t="s">
        <v>56</v>
      </c>
      <c r="T750" s="5">
        <v>27300</v>
      </c>
      <c r="U750" s="5">
        <v>0</v>
      </c>
      <c r="V750" s="4">
        <v>11</v>
      </c>
      <c r="W750" s="4">
        <v>30</v>
      </c>
      <c r="X750" s="2" t="s">
        <v>44</v>
      </c>
      <c r="Y750" s="4">
        <v>0</v>
      </c>
      <c r="Z750" s="4">
        <v>0</v>
      </c>
      <c r="AA750" s="4">
        <v>0</v>
      </c>
      <c r="AB750" s="4">
        <v>0</v>
      </c>
      <c r="AC750" s="4">
        <v>3</v>
      </c>
      <c r="AD750" s="4">
        <v>3</v>
      </c>
      <c r="AE750" s="3" t="s">
        <v>58</v>
      </c>
      <c r="AG750">
        <f t="shared" ca="1" si="33"/>
        <v>0</v>
      </c>
      <c r="AH750" s="23" t="str" cm="1">
        <f t="array" ref="AH750">_xlfn.IFS(E750&gt;49,"50+",E750&gt;39,"40-49",E750&gt;29,"30-39",E750&gt;19,"20-29")</f>
        <v>20-29</v>
      </c>
      <c r="AI750" s="24" t="str" cm="1">
        <f t="array" aca="1" ref="AI750" ca="1">_xlfn.IFS(AG750&gt;10,"10+",AG750&gt;4,"5-10 YIL",AG750&gt;2,"3-5 YIL",AG750&gt;0.9,"1-3 YIL",AG750&lt;1,"0-1 YIL")</f>
        <v>0-1 YIL</v>
      </c>
      <c r="AJ750">
        <f t="shared" si="34"/>
        <v>2026</v>
      </c>
      <c r="AK750" t="e">
        <f t="shared" si="35"/>
        <v>#VALUE!</v>
      </c>
    </row>
    <row r="751" spans="1:37" x14ac:dyDescent="0.3">
      <c r="A751" s="6" t="s">
        <v>1202</v>
      </c>
      <c r="B751" s="7" t="s">
        <v>1169</v>
      </c>
      <c r="C751" s="6" t="s">
        <v>48</v>
      </c>
      <c r="D751" s="14">
        <v>37611</v>
      </c>
      <c r="E751" s="8">
        <v>24</v>
      </c>
      <c r="F751" s="6" t="s">
        <v>49</v>
      </c>
      <c r="G751" s="8">
        <v>0</v>
      </c>
      <c r="H751" s="6" t="s">
        <v>35</v>
      </c>
      <c r="I751" s="7" t="s">
        <v>36</v>
      </c>
      <c r="J751" s="7" t="s">
        <v>37</v>
      </c>
      <c r="K751" s="6" t="s">
        <v>38</v>
      </c>
      <c r="L751" s="6" t="s">
        <v>39</v>
      </c>
      <c r="M751" s="7" t="s">
        <v>40</v>
      </c>
      <c r="N751" s="6" t="s">
        <v>95</v>
      </c>
      <c r="O751" s="14">
        <v>45387</v>
      </c>
      <c r="P751" s="6" t="s">
        <v>44</v>
      </c>
      <c r="Q751" s="7" t="s">
        <v>44</v>
      </c>
      <c r="R751" s="6" t="s">
        <v>44</v>
      </c>
      <c r="S751" s="6" t="s">
        <v>56</v>
      </c>
      <c r="T751" s="9">
        <v>25500</v>
      </c>
      <c r="U751" s="9">
        <v>0</v>
      </c>
      <c r="V751" s="8">
        <v>15</v>
      </c>
      <c r="W751" s="8">
        <v>20</v>
      </c>
      <c r="X751" s="6" t="s">
        <v>57</v>
      </c>
      <c r="Y751" s="8">
        <v>10</v>
      </c>
      <c r="Z751" s="8">
        <v>10</v>
      </c>
      <c r="AA751" s="8">
        <v>0</v>
      </c>
      <c r="AB751" s="8">
        <v>0</v>
      </c>
      <c r="AC751" s="8">
        <v>5</v>
      </c>
      <c r="AD751" s="8">
        <v>30</v>
      </c>
      <c r="AE751" s="7" t="s">
        <v>58</v>
      </c>
      <c r="AG751">
        <f t="shared" ca="1" si="33"/>
        <v>2</v>
      </c>
      <c r="AH751" s="23" t="str" cm="1">
        <f t="array" ref="AH751">_xlfn.IFS(E751&gt;49,"50+",E751&gt;39,"40-49",E751&gt;29,"30-39",E751&gt;19,"20-29")</f>
        <v>20-29</v>
      </c>
      <c r="AI751" s="24" t="str" cm="1">
        <f t="array" aca="1" ref="AI751" ca="1">_xlfn.IFS(AG751&gt;10,"10+",AG751&gt;4,"5-10 YIL",AG751&gt;2,"3-5 YIL",AG751&gt;0.9,"1-3 YIL",AG751&lt;1,"0-1 YIL")</f>
        <v>1-3 YIL</v>
      </c>
      <c r="AJ751">
        <f t="shared" si="34"/>
        <v>2024</v>
      </c>
      <c r="AK751" t="e">
        <f t="shared" si="35"/>
        <v>#VALUE!</v>
      </c>
    </row>
    <row r="752" spans="1:37" x14ac:dyDescent="0.3">
      <c r="A752" s="2" t="s">
        <v>1203</v>
      </c>
      <c r="B752" s="3" t="s">
        <v>1204</v>
      </c>
      <c r="C752" s="2" t="s">
        <v>33</v>
      </c>
      <c r="D752" s="13">
        <v>36498</v>
      </c>
      <c r="E752" s="4">
        <v>27</v>
      </c>
      <c r="F752" s="2" t="s">
        <v>49</v>
      </c>
      <c r="G752" s="4">
        <v>2</v>
      </c>
      <c r="H752" s="2" t="s">
        <v>35</v>
      </c>
      <c r="I752" s="3" t="s">
        <v>36</v>
      </c>
      <c r="J752" s="3" t="s">
        <v>37</v>
      </c>
      <c r="K752" s="2" t="s">
        <v>38</v>
      </c>
      <c r="L752" s="2" t="s">
        <v>39</v>
      </c>
      <c r="M752" s="3" t="s">
        <v>40</v>
      </c>
      <c r="N752" s="2" t="s">
        <v>95</v>
      </c>
      <c r="O752" s="13">
        <v>44894</v>
      </c>
      <c r="P752" s="2" t="s">
        <v>44</v>
      </c>
      <c r="Q752" s="3" t="s">
        <v>44</v>
      </c>
      <c r="R752" s="2" t="s">
        <v>44</v>
      </c>
      <c r="S752" s="2" t="s">
        <v>56</v>
      </c>
      <c r="T752" s="5">
        <v>26200</v>
      </c>
      <c r="U752" s="5">
        <v>0</v>
      </c>
      <c r="V752" s="4">
        <v>23</v>
      </c>
      <c r="W752" s="4">
        <v>28</v>
      </c>
      <c r="X752" s="2" t="s">
        <v>57</v>
      </c>
      <c r="Y752" s="4">
        <v>2</v>
      </c>
      <c r="Z752" s="4">
        <v>11</v>
      </c>
      <c r="AA752" s="4">
        <v>0</v>
      </c>
      <c r="AB752" s="4">
        <v>0</v>
      </c>
      <c r="AC752" s="4">
        <v>4</v>
      </c>
      <c r="AD752" s="4">
        <v>34</v>
      </c>
      <c r="AE752" s="3" t="s">
        <v>73</v>
      </c>
      <c r="AG752">
        <f t="shared" ca="1" si="33"/>
        <v>3</v>
      </c>
      <c r="AH752" s="23" t="str" cm="1">
        <f t="array" ref="AH752">_xlfn.IFS(E752&gt;49,"50+",E752&gt;39,"40-49",E752&gt;29,"30-39",E752&gt;19,"20-29")</f>
        <v>20-29</v>
      </c>
      <c r="AI752" s="24" t="str" cm="1">
        <f t="array" aca="1" ref="AI752" ca="1">_xlfn.IFS(AG752&gt;10,"10+",AG752&gt;4,"5-10 YIL",AG752&gt;2,"3-5 YIL",AG752&gt;0.9,"1-3 YIL",AG752&lt;1,"0-1 YIL")</f>
        <v>3-5 YIL</v>
      </c>
      <c r="AJ752">
        <f t="shared" si="34"/>
        <v>2022</v>
      </c>
      <c r="AK752" t="e">
        <f t="shared" si="35"/>
        <v>#VALUE!</v>
      </c>
    </row>
    <row r="753" spans="1:37" x14ac:dyDescent="0.3">
      <c r="A753" s="6" t="s">
        <v>1205</v>
      </c>
      <c r="B753" s="7" t="s">
        <v>174</v>
      </c>
      <c r="C753" s="6" t="s">
        <v>33</v>
      </c>
      <c r="D753" s="14">
        <v>36772</v>
      </c>
      <c r="E753" s="8">
        <v>26</v>
      </c>
      <c r="F753" s="6" t="s">
        <v>49</v>
      </c>
      <c r="G753" s="8">
        <v>1</v>
      </c>
      <c r="H753" s="6" t="s">
        <v>35</v>
      </c>
      <c r="I753" s="7" t="s">
        <v>36</v>
      </c>
      <c r="J753" s="7" t="s">
        <v>37</v>
      </c>
      <c r="K753" s="6" t="s">
        <v>38</v>
      </c>
      <c r="L753" s="6" t="s">
        <v>39</v>
      </c>
      <c r="M753" s="7" t="s">
        <v>40</v>
      </c>
      <c r="N753" s="6" t="s">
        <v>67</v>
      </c>
      <c r="O753" s="14">
        <v>44758</v>
      </c>
      <c r="P753" s="6" t="s">
        <v>44</v>
      </c>
      <c r="Q753" s="7" t="s">
        <v>44</v>
      </c>
      <c r="R753" s="6" t="s">
        <v>44</v>
      </c>
      <c r="S753" s="6" t="s">
        <v>56</v>
      </c>
      <c r="T753" s="9">
        <v>27600</v>
      </c>
      <c r="U753" s="9">
        <v>0</v>
      </c>
      <c r="V753" s="8">
        <v>27</v>
      </c>
      <c r="W753" s="8">
        <v>29</v>
      </c>
      <c r="X753" s="6" t="s">
        <v>112</v>
      </c>
      <c r="Y753" s="8">
        <v>0</v>
      </c>
      <c r="Z753" s="8">
        <v>6</v>
      </c>
      <c r="AA753" s="8">
        <v>0</v>
      </c>
      <c r="AB753" s="8">
        <v>1</v>
      </c>
      <c r="AC753" s="8">
        <v>3</v>
      </c>
      <c r="AD753" s="8">
        <v>14</v>
      </c>
      <c r="AE753" s="7" t="s">
        <v>45</v>
      </c>
      <c r="AG753">
        <f t="shared" ca="1" si="33"/>
        <v>3</v>
      </c>
      <c r="AH753" s="23" t="str" cm="1">
        <f t="array" ref="AH753">_xlfn.IFS(E753&gt;49,"50+",E753&gt;39,"40-49",E753&gt;29,"30-39",E753&gt;19,"20-29")</f>
        <v>20-29</v>
      </c>
      <c r="AI753" s="24" t="str" cm="1">
        <f t="array" aca="1" ref="AI753" ca="1">_xlfn.IFS(AG753&gt;10,"10+",AG753&gt;4,"5-10 YIL",AG753&gt;2,"3-5 YIL",AG753&gt;0.9,"1-3 YIL",AG753&lt;1,"0-1 YIL")</f>
        <v>3-5 YIL</v>
      </c>
      <c r="AJ753">
        <f t="shared" si="34"/>
        <v>2022</v>
      </c>
      <c r="AK753" t="e">
        <f t="shared" si="35"/>
        <v>#VALUE!</v>
      </c>
    </row>
    <row r="754" spans="1:37" x14ac:dyDescent="0.3">
      <c r="A754" s="2" t="s">
        <v>1206</v>
      </c>
      <c r="B754" s="3" t="s">
        <v>795</v>
      </c>
      <c r="C754" s="2" t="s">
        <v>48</v>
      </c>
      <c r="D754" s="13">
        <v>32625</v>
      </c>
      <c r="E754" s="4">
        <v>37</v>
      </c>
      <c r="F754" s="2" t="s">
        <v>49</v>
      </c>
      <c r="G754" s="4">
        <v>2</v>
      </c>
      <c r="H754" s="2" t="s">
        <v>35</v>
      </c>
      <c r="I754" s="3" t="s">
        <v>61</v>
      </c>
      <c r="J754" s="3" t="s">
        <v>107</v>
      </c>
      <c r="K754" s="2" t="s">
        <v>51</v>
      </c>
      <c r="L754" s="2" t="s">
        <v>63</v>
      </c>
      <c r="M754" s="3" t="s">
        <v>64</v>
      </c>
      <c r="N754" s="2" t="s">
        <v>41</v>
      </c>
      <c r="O754" s="13">
        <v>44294</v>
      </c>
      <c r="P754" s="2" t="s">
        <v>44</v>
      </c>
      <c r="Q754" s="3" t="s">
        <v>44</v>
      </c>
      <c r="R754" s="2" t="s">
        <v>44</v>
      </c>
      <c r="S754" s="2" t="s">
        <v>56</v>
      </c>
      <c r="T754" s="5">
        <v>58000</v>
      </c>
      <c r="U754" s="5">
        <v>11200</v>
      </c>
      <c r="V754" s="4">
        <v>0</v>
      </c>
      <c r="W754" s="4">
        <v>30</v>
      </c>
      <c r="X754" s="2" t="s">
        <v>44</v>
      </c>
      <c r="Y754" s="4">
        <v>0</v>
      </c>
      <c r="Z754" s="4">
        <v>7</v>
      </c>
      <c r="AA754" s="4">
        <v>0</v>
      </c>
      <c r="AB754" s="4">
        <v>0</v>
      </c>
      <c r="AC754" s="4">
        <v>4</v>
      </c>
      <c r="AD754" s="4">
        <v>30</v>
      </c>
      <c r="AE754" s="3" t="s">
        <v>58</v>
      </c>
      <c r="AG754">
        <f t="shared" ca="1" si="33"/>
        <v>5</v>
      </c>
      <c r="AH754" s="23" t="str" cm="1">
        <f t="array" ref="AH754">_xlfn.IFS(E754&gt;49,"50+",E754&gt;39,"40-49",E754&gt;29,"30-39",E754&gt;19,"20-29")</f>
        <v>30-39</v>
      </c>
      <c r="AI754" s="24" t="str" cm="1">
        <f t="array" aca="1" ref="AI754" ca="1">_xlfn.IFS(AG754&gt;10,"10+",AG754&gt;4,"5-10 YIL",AG754&gt;2,"3-5 YIL",AG754&gt;0.9,"1-3 YIL",AG754&lt;1,"0-1 YIL")</f>
        <v>5-10 YIL</v>
      </c>
      <c r="AJ754">
        <f t="shared" si="34"/>
        <v>2021</v>
      </c>
      <c r="AK754" t="e">
        <f t="shared" si="35"/>
        <v>#VALUE!</v>
      </c>
    </row>
    <row r="755" spans="1:37" x14ac:dyDescent="0.3">
      <c r="A755" s="6" t="s">
        <v>1207</v>
      </c>
      <c r="B755" s="7" t="s">
        <v>1208</v>
      </c>
      <c r="C755" s="6" t="s">
        <v>33</v>
      </c>
      <c r="D755" s="14">
        <v>29994</v>
      </c>
      <c r="E755" s="8">
        <v>44</v>
      </c>
      <c r="F755" s="6" t="s">
        <v>34</v>
      </c>
      <c r="G755" s="8">
        <v>0</v>
      </c>
      <c r="H755" s="6" t="s">
        <v>85</v>
      </c>
      <c r="I755" s="7" t="s">
        <v>36</v>
      </c>
      <c r="J755" s="7" t="s">
        <v>50</v>
      </c>
      <c r="K755" s="6" t="s">
        <v>51</v>
      </c>
      <c r="L755" s="6" t="s">
        <v>39</v>
      </c>
      <c r="M755" s="7" t="s">
        <v>40</v>
      </c>
      <c r="N755" s="6" t="s">
        <v>41</v>
      </c>
      <c r="O755" s="14">
        <v>44278</v>
      </c>
      <c r="P755" s="6" t="s">
        <v>44</v>
      </c>
      <c r="Q755" s="7" t="s">
        <v>44</v>
      </c>
      <c r="R755" s="6" t="s">
        <v>44</v>
      </c>
      <c r="S755" s="6" t="s">
        <v>56</v>
      </c>
      <c r="T755" s="9">
        <v>42700</v>
      </c>
      <c r="U755" s="9">
        <v>0</v>
      </c>
      <c r="V755" s="8">
        <v>33</v>
      </c>
      <c r="W755" s="8">
        <v>30</v>
      </c>
      <c r="X755" s="6" t="s">
        <v>44</v>
      </c>
      <c r="Y755" s="8">
        <v>0</v>
      </c>
      <c r="Z755" s="8">
        <v>7</v>
      </c>
      <c r="AA755" s="8">
        <v>0</v>
      </c>
      <c r="AB755" s="8">
        <v>0</v>
      </c>
      <c r="AC755" s="8">
        <v>3</v>
      </c>
      <c r="AD755" s="8">
        <v>3</v>
      </c>
      <c r="AE755" s="7" t="s">
        <v>45</v>
      </c>
      <c r="AG755">
        <f t="shared" ca="1" si="33"/>
        <v>5</v>
      </c>
      <c r="AH755" s="23" t="str" cm="1">
        <f t="array" ref="AH755">_xlfn.IFS(E755&gt;49,"50+",E755&gt;39,"40-49",E755&gt;29,"30-39",E755&gt;19,"20-29")</f>
        <v>40-49</v>
      </c>
      <c r="AI755" s="24" t="str" cm="1">
        <f t="array" aca="1" ref="AI755" ca="1">_xlfn.IFS(AG755&gt;10,"10+",AG755&gt;4,"5-10 YIL",AG755&gt;2,"3-5 YIL",AG755&gt;0.9,"1-3 YIL",AG755&lt;1,"0-1 YIL")</f>
        <v>5-10 YIL</v>
      </c>
      <c r="AJ755">
        <f t="shared" si="34"/>
        <v>2021</v>
      </c>
      <c r="AK755" t="e">
        <f t="shared" si="35"/>
        <v>#VALUE!</v>
      </c>
    </row>
    <row r="756" spans="1:37" x14ac:dyDescent="0.3">
      <c r="A756" s="2" t="s">
        <v>1209</v>
      </c>
      <c r="B756" s="3" t="s">
        <v>439</v>
      </c>
      <c r="C756" s="2" t="s">
        <v>48</v>
      </c>
      <c r="D756" s="13">
        <v>38121</v>
      </c>
      <c r="E756" s="4">
        <v>22</v>
      </c>
      <c r="F756" s="2" t="s">
        <v>49</v>
      </c>
      <c r="G756" s="4">
        <v>1</v>
      </c>
      <c r="H756" s="2" t="s">
        <v>88</v>
      </c>
      <c r="I756" s="3" t="s">
        <v>36</v>
      </c>
      <c r="J756" s="3" t="s">
        <v>37</v>
      </c>
      <c r="K756" s="2" t="s">
        <v>38</v>
      </c>
      <c r="L756" s="2" t="s">
        <v>39</v>
      </c>
      <c r="M756" s="3" t="s">
        <v>40</v>
      </c>
      <c r="N756" s="2" t="s">
        <v>67</v>
      </c>
      <c r="O756" s="13">
        <v>45312</v>
      </c>
      <c r="P756" s="2" t="s">
        <v>44</v>
      </c>
      <c r="Q756" s="3" t="s">
        <v>44</v>
      </c>
      <c r="R756" s="2" t="s">
        <v>44</v>
      </c>
      <c r="S756" s="2" t="s">
        <v>56</v>
      </c>
      <c r="T756" s="5">
        <v>28200</v>
      </c>
      <c r="U756" s="5">
        <v>0</v>
      </c>
      <c r="V756" s="4">
        <v>26</v>
      </c>
      <c r="W756" s="4">
        <v>29</v>
      </c>
      <c r="X756" s="2" t="s">
        <v>57</v>
      </c>
      <c r="Y756" s="4">
        <v>1</v>
      </c>
      <c r="Z756" s="4">
        <v>1</v>
      </c>
      <c r="AA756" s="4">
        <v>0</v>
      </c>
      <c r="AB756" s="4">
        <v>0</v>
      </c>
      <c r="AC756" s="4">
        <v>3</v>
      </c>
      <c r="AD756" s="4">
        <v>15</v>
      </c>
      <c r="AE756" s="3" t="s">
        <v>73</v>
      </c>
      <c r="AG756">
        <f t="shared" ca="1" si="33"/>
        <v>2</v>
      </c>
      <c r="AH756" s="23" t="str" cm="1">
        <f t="array" ref="AH756">_xlfn.IFS(E756&gt;49,"50+",E756&gt;39,"40-49",E756&gt;29,"30-39",E756&gt;19,"20-29")</f>
        <v>20-29</v>
      </c>
      <c r="AI756" s="24" t="str" cm="1">
        <f t="array" aca="1" ref="AI756" ca="1">_xlfn.IFS(AG756&gt;10,"10+",AG756&gt;4,"5-10 YIL",AG756&gt;2,"3-5 YIL",AG756&gt;0.9,"1-3 YIL",AG756&lt;1,"0-1 YIL")</f>
        <v>1-3 YIL</v>
      </c>
      <c r="AJ756">
        <f t="shared" si="34"/>
        <v>2024</v>
      </c>
      <c r="AK756" t="e">
        <f t="shared" si="35"/>
        <v>#VALUE!</v>
      </c>
    </row>
    <row r="757" spans="1:37" x14ac:dyDescent="0.3">
      <c r="A757" s="6" t="s">
        <v>1210</v>
      </c>
      <c r="B757" s="7" t="s">
        <v>1211</v>
      </c>
      <c r="C757" s="6" t="s">
        <v>33</v>
      </c>
      <c r="D757" s="14">
        <v>33552</v>
      </c>
      <c r="E757" s="8">
        <v>35</v>
      </c>
      <c r="F757" s="6" t="s">
        <v>34</v>
      </c>
      <c r="G757" s="8">
        <v>0</v>
      </c>
      <c r="H757" s="6" t="s">
        <v>35</v>
      </c>
      <c r="I757" s="7" t="s">
        <v>61</v>
      </c>
      <c r="J757" s="7" t="s">
        <v>107</v>
      </c>
      <c r="K757" s="6" t="s">
        <v>51</v>
      </c>
      <c r="L757" s="6" t="s">
        <v>63</v>
      </c>
      <c r="M757" s="7" t="s">
        <v>64</v>
      </c>
      <c r="N757" s="6" t="s">
        <v>41</v>
      </c>
      <c r="O757" s="14">
        <v>42702</v>
      </c>
      <c r="P757" s="6" t="s">
        <v>44</v>
      </c>
      <c r="Q757" s="7" t="s">
        <v>44</v>
      </c>
      <c r="R757" s="6" t="s">
        <v>44</v>
      </c>
      <c r="S757" s="6" t="s">
        <v>56</v>
      </c>
      <c r="T757" s="9">
        <v>58500</v>
      </c>
      <c r="U757" s="9">
        <v>6400</v>
      </c>
      <c r="V757" s="8">
        <v>1</v>
      </c>
      <c r="W757" s="8">
        <v>30</v>
      </c>
      <c r="X757" s="6" t="s">
        <v>44</v>
      </c>
      <c r="Y757" s="8">
        <v>0</v>
      </c>
      <c r="Z757" s="8">
        <v>9</v>
      </c>
      <c r="AA757" s="8">
        <v>0</v>
      </c>
      <c r="AB757" s="8">
        <v>0</v>
      </c>
      <c r="AC757" s="8">
        <v>3</v>
      </c>
      <c r="AD757" s="8">
        <v>16</v>
      </c>
      <c r="AE757" s="7" t="s">
        <v>58</v>
      </c>
      <c r="AG757">
        <f t="shared" ca="1" si="33"/>
        <v>9</v>
      </c>
      <c r="AH757" s="23" t="str" cm="1">
        <f t="array" ref="AH757">_xlfn.IFS(E757&gt;49,"50+",E757&gt;39,"40-49",E757&gt;29,"30-39",E757&gt;19,"20-29")</f>
        <v>30-39</v>
      </c>
      <c r="AI757" s="24" t="str" cm="1">
        <f t="array" aca="1" ref="AI757" ca="1">_xlfn.IFS(AG757&gt;10,"10+",AG757&gt;4,"5-10 YIL",AG757&gt;2,"3-5 YIL",AG757&gt;0.9,"1-3 YIL",AG757&lt;1,"0-1 YIL")</f>
        <v>5-10 YIL</v>
      </c>
      <c r="AJ757">
        <f t="shared" si="34"/>
        <v>2016</v>
      </c>
      <c r="AK757" t="e">
        <f t="shared" si="35"/>
        <v>#VALUE!</v>
      </c>
    </row>
    <row r="758" spans="1:37" x14ac:dyDescent="0.3">
      <c r="A758" s="2" t="s">
        <v>1212</v>
      </c>
      <c r="B758" s="3" t="s">
        <v>449</v>
      </c>
      <c r="C758" s="2" t="s">
        <v>48</v>
      </c>
      <c r="D758" s="13">
        <v>34914</v>
      </c>
      <c r="E758" s="4">
        <v>31</v>
      </c>
      <c r="F758" s="2" t="s">
        <v>34</v>
      </c>
      <c r="G758" s="4">
        <v>0</v>
      </c>
      <c r="H758" s="2" t="s">
        <v>88</v>
      </c>
      <c r="I758" s="3" t="s">
        <v>139</v>
      </c>
      <c r="J758" s="3" t="s">
        <v>161</v>
      </c>
      <c r="K758" s="2" t="s">
        <v>51</v>
      </c>
      <c r="L758" s="2" t="s">
        <v>63</v>
      </c>
      <c r="M758" s="3" t="s">
        <v>162</v>
      </c>
      <c r="N758" s="2" t="s">
        <v>41</v>
      </c>
      <c r="O758" s="13">
        <v>41882</v>
      </c>
      <c r="P758" s="13">
        <v>45434</v>
      </c>
      <c r="Q758" s="3" t="s">
        <v>121</v>
      </c>
      <c r="R758" s="2">
        <v>17</v>
      </c>
      <c r="S758" s="2" t="s">
        <v>43</v>
      </c>
      <c r="T758" s="5">
        <v>81100</v>
      </c>
      <c r="U758" s="5">
        <v>7700</v>
      </c>
      <c r="V758" s="4">
        <v>6</v>
      </c>
      <c r="W758" s="4">
        <v>30</v>
      </c>
      <c r="X758" s="2" t="s">
        <v>44</v>
      </c>
      <c r="Y758" s="4">
        <v>0</v>
      </c>
      <c r="Z758" s="4">
        <v>7</v>
      </c>
      <c r="AA758" s="4">
        <v>0</v>
      </c>
      <c r="AB758" s="4">
        <v>0</v>
      </c>
      <c r="AC758" s="4">
        <v>3</v>
      </c>
      <c r="AD758" s="4">
        <v>7</v>
      </c>
      <c r="AE758" s="3" t="s">
        <v>45</v>
      </c>
      <c r="AG758">
        <f t="shared" ca="1" si="33"/>
        <v>11</v>
      </c>
      <c r="AH758" s="23" t="str" cm="1">
        <f t="array" ref="AH758">_xlfn.IFS(E758&gt;49,"50+",E758&gt;39,"40-49",E758&gt;29,"30-39",E758&gt;19,"20-29")</f>
        <v>30-39</v>
      </c>
      <c r="AI758" s="24" t="str" cm="1">
        <f t="array" aca="1" ref="AI758" ca="1">_xlfn.IFS(AG758&gt;10,"10+",AG758&gt;4,"5-10 YIL",AG758&gt;2,"3-5 YIL",AG758&gt;0.9,"1-3 YIL",AG758&lt;1,"0-1 YIL")</f>
        <v>10+</v>
      </c>
      <c r="AJ758">
        <f t="shared" si="34"/>
        <v>2014</v>
      </c>
      <c r="AK758">
        <f t="shared" si="35"/>
        <v>2024</v>
      </c>
    </row>
    <row r="759" spans="1:37" x14ac:dyDescent="0.3">
      <c r="A759" s="6" t="s">
        <v>1213</v>
      </c>
      <c r="B759" s="7" t="s">
        <v>313</v>
      </c>
      <c r="C759" s="6" t="s">
        <v>48</v>
      </c>
      <c r="D759" s="14">
        <v>33150</v>
      </c>
      <c r="E759" s="8">
        <v>36</v>
      </c>
      <c r="F759" s="6" t="s">
        <v>49</v>
      </c>
      <c r="G759" s="8">
        <v>0</v>
      </c>
      <c r="H759" s="6" t="s">
        <v>35</v>
      </c>
      <c r="I759" s="7" t="s">
        <v>36</v>
      </c>
      <c r="J759" s="7" t="s">
        <v>50</v>
      </c>
      <c r="K759" s="6" t="s">
        <v>51</v>
      </c>
      <c r="L759" s="6" t="s">
        <v>39</v>
      </c>
      <c r="M759" s="7" t="s">
        <v>40</v>
      </c>
      <c r="N759" s="6" t="s">
        <v>41</v>
      </c>
      <c r="O759" s="14">
        <v>44021</v>
      </c>
      <c r="P759" s="6" t="s">
        <v>44</v>
      </c>
      <c r="Q759" s="7" t="s">
        <v>44</v>
      </c>
      <c r="R759" s="6" t="s">
        <v>44</v>
      </c>
      <c r="S759" s="6" t="s">
        <v>56</v>
      </c>
      <c r="T759" s="9">
        <v>46000</v>
      </c>
      <c r="U759" s="9">
        <v>0</v>
      </c>
      <c r="V759" s="8">
        <v>25</v>
      </c>
      <c r="W759" s="8">
        <v>29</v>
      </c>
      <c r="X759" s="6" t="s">
        <v>57</v>
      </c>
      <c r="Y759" s="8">
        <v>1</v>
      </c>
      <c r="Z759" s="8">
        <v>8</v>
      </c>
      <c r="AA759" s="8">
        <v>0</v>
      </c>
      <c r="AB759" s="8">
        <v>0</v>
      </c>
      <c r="AC759" s="8">
        <v>3</v>
      </c>
      <c r="AD759" s="8">
        <v>10</v>
      </c>
      <c r="AE759" s="7" t="s">
        <v>45</v>
      </c>
      <c r="AG759">
        <f t="shared" ca="1" si="33"/>
        <v>5</v>
      </c>
      <c r="AH759" s="23" t="str" cm="1">
        <f t="array" ref="AH759">_xlfn.IFS(E759&gt;49,"50+",E759&gt;39,"40-49",E759&gt;29,"30-39",E759&gt;19,"20-29")</f>
        <v>30-39</v>
      </c>
      <c r="AI759" s="24" t="str" cm="1">
        <f t="array" aca="1" ref="AI759" ca="1">_xlfn.IFS(AG759&gt;10,"10+",AG759&gt;4,"5-10 YIL",AG759&gt;2,"3-5 YIL",AG759&gt;0.9,"1-3 YIL",AG759&lt;1,"0-1 YIL")</f>
        <v>5-10 YIL</v>
      </c>
      <c r="AJ759">
        <f t="shared" si="34"/>
        <v>2020</v>
      </c>
      <c r="AK759" t="e">
        <f t="shared" si="35"/>
        <v>#VALUE!</v>
      </c>
    </row>
    <row r="760" spans="1:37" x14ac:dyDescent="0.3">
      <c r="A760" s="2" t="s">
        <v>1214</v>
      </c>
      <c r="B760" s="3" t="s">
        <v>100</v>
      </c>
      <c r="C760" s="2" t="s">
        <v>33</v>
      </c>
      <c r="D760" s="13">
        <v>35371</v>
      </c>
      <c r="E760" s="4">
        <v>30</v>
      </c>
      <c r="F760" s="2" t="s">
        <v>34</v>
      </c>
      <c r="G760" s="4">
        <v>0</v>
      </c>
      <c r="H760" s="2" t="s">
        <v>35</v>
      </c>
      <c r="I760" s="3" t="s">
        <v>36</v>
      </c>
      <c r="J760" s="3" t="s">
        <v>50</v>
      </c>
      <c r="K760" s="2" t="s">
        <v>51</v>
      </c>
      <c r="L760" s="2" t="s">
        <v>39</v>
      </c>
      <c r="M760" s="3" t="s">
        <v>40</v>
      </c>
      <c r="N760" s="2" t="s">
        <v>41</v>
      </c>
      <c r="O760" s="13">
        <v>42217</v>
      </c>
      <c r="P760" s="2" t="s">
        <v>44</v>
      </c>
      <c r="Q760" s="3" t="s">
        <v>44</v>
      </c>
      <c r="R760" s="2" t="s">
        <v>44</v>
      </c>
      <c r="S760" s="2" t="s">
        <v>56</v>
      </c>
      <c r="T760" s="5">
        <v>42000</v>
      </c>
      <c r="U760" s="5">
        <v>0</v>
      </c>
      <c r="V760" s="4">
        <v>19</v>
      </c>
      <c r="W760" s="4">
        <v>28</v>
      </c>
      <c r="X760" s="2" t="s">
        <v>57</v>
      </c>
      <c r="Y760" s="4">
        <v>2</v>
      </c>
      <c r="Z760" s="4">
        <v>10</v>
      </c>
      <c r="AA760" s="4">
        <v>0</v>
      </c>
      <c r="AB760" s="4">
        <v>0</v>
      </c>
      <c r="AC760" s="4">
        <v>2</v>
      </c>
      <c r="AD760" s="4">
        <v>13</v>
      </c>
      <c r="AE760" s="3" t="s">
        <v>96</v>
      </c>
      <c r="AG760">
        <f t="shared" ca="1" si="33"/>
        <v>10</v>
      </c>
      <c r="AH760" s="23" t="str" cm="1">
        <f t="array" ref="AH760">_xlfn.IFS(E760&gt;49,"50+",E760&gt;39,"40-49",E760&gt;29,"30-39",E760&gt;19,"20-29")</f>
        <v>30-39</v>
      </c>
      <c r="AI760" s="24" t="str" cm="1">
        <f t="array" aca="1" ref="AI760" ca="1">_xlfn.IFS(AG760&gt;10,"10+",AG760&gt;4,"5-10 YIL",AG760&gt;2,"3-5 YIL",AG760&gt;0.9,"1-3 YIL",AG760&lt;1,"0-1 YIL")</f>
        <v>5-10 YIL</v>
      </c>
      <c r="AJ760">
        <f t="shared" si="34"/>
        <v>2015</v>
      </c>
      <c r="AK760" t="e">
        <f t="shared" si="35"/>
        <v>#VALUE!</v>
      </c>
    </row>
    <row r="761" spans="1:37" x14ac:dyDescent="0.3">
      <c r="A761" s="6" t="s">
        <v>1215</v>
      </c>
      <c r="B761" s="7" t="s">
        <v>996</v>
      </c>
      <c r="C761" s="6" t="s">
        <v>33</v>
      </c>
      <c r="D761" s="14">
        <v>29613</v>
      </c>
      <c r="E761" s="8">
        <v>45</v>
      </c>
      <c r="F761" s="6" t="s">
        <v>49</v>
      </c>
      <c r="G761" s="8">
        <v>2</v>
      </c>
      <c r="H761" s="6" t="s">
        <v>35</v>
      </c>
      <c r="I761" s="7" t="s">
        <v>70</v>
      </c>
      <c r="J761" s="7" t="s">
        <v>71</v>
      </c>
      <c r="K761" s="6" t="s">
        <v>51</v>
      </c>
      <c r="L761" s="6" t="s">
        <v>63</v>
      </c>
      <c r="M761" s="7" t="s">
        <v>72</v>
      </c>
      <c r="N761" s="6" t="s">
        <v>67</v>
      </c>
      <c r="O761" s="14">
        <v>43018</v>
      </c>
      <c r="P761" s="6" t="s">
        <v>44</v>
      </c>
      <c r="Q761" s="7" t="s">
        <v>44</v>
      </c>
      <c r="R761" s="6" t="s">
        <v>44</v>
      </c>
      <c r="S761" s="6" t="s">
        <v>56</v>
      </c>
      <c r="T761" s="9">
        <v>55900</v>
      </c>
      <c r="U761" s="9">
        <v>0</v>
      </c>
      <c r="V761" s="8">
        <v>5</v>
      </c>
      <c r="W761" s="8">
        <v>30</v>
      </c>
      <c r="X761" s="6" t="s">
        <v>44</v>
      </c>
      <c r="Y761" s="8">
        <v>0</v>
      </c>
      <c r="Z761" s="8">
        <v>3</v>
      </c>
      <c r="AA761" s="8">
        <v>0</v>
      </c>
      <c r="AB761" s="8">
        <v>0</v>
      </c>
      <c r="AC761" s="8">
        <v>3</v>
      </c>
      <c r="AD761" s="8">
        <v>5</v>
      </c>
      <c r="AE761" s="7" t="s">
        <v>82</v>
      </c>
      <c r="AG761">
        <f t="shared" ca="1" si="33"/>
        <v>8</v>
      </c>
      <c r="AH761" s="23" t="str" cm="1">
        <f t="array" ref="AH761">_xlfn.IFS(E761&gt;49,"50+",E761&gt;39,"40-49",E761&gt;29,"30-39",E761&gt;19,"20-29")</f>
        <v>40-49</v>
      </c>
      <c r="AI761" s="24" t="str" cm="1">
        <f t="array" aca="1" ref="AI761" ca="1">_xlfn.IFS(AG761&gt;10,"10+",AG761&gt;4,"5-10 YIL",AG761&gt;2,"3-5 YIL",AG761&gt;0.9,"1-3 YIL",AG761&lt;1,"0-1 YIL")</f>
        <v>5-10 YIL</v>
      </c>
      <c r="AJ761">
        <f t="shared" si="34"/>
        <v>2017</v>
      </c>
      <c r="AK761" t="e">
        <f t="shared" si="35"/>
        <v>#VALUE!</v>
      </c>
    </row>
    <row r="762" spans="1:37" x14ac:dyDescent="0.3">
      <c r="A762" s="2" t="s">
        <v>1216</v>
      </c>
      <c r="B762" s="3" t="s">
        <v>541</v>
      </c>
      <c r="C762" s="2" t="s">
        <v>33</v>
      </c>
      <c r="D762" s="13">
        <v>27588</v>
      </c>
      <c r="E762" s="4">
        <v>51</v>
      </c>
      <c r="F762" s="2" t="s">
        <v>34</v>
      </c>
      <c r="G762" s="4">
        <v>0</v>
      </c>
      <c r="H762" s="2" t="s">
        <v>35</v>
      </c>
      <c r="I762" s="3" t="s">
        <v>61</v>
      </c>
      <c r="J762" s="3" t="s">
        <v>124</v>
      </c>
      <c r="K762" s="2" t="s">
        <v>79</v>
      </c>
      <c r="L762" s="2" t="s">
        <v>63</v>
      </c>
      <c r="M762" s="3" t="s">
        <v>80</v>
      </c>
      <c r="N762" s="2" t="s">
        <v>41</v>
      </c>
      <c r="O762" s="13">
        <v>39662</v>
      </c>
      <c r="P762" s="13">
        <v>45817</v>
      </c>
      <c r="Q762" s="3" t="s">
        <v>121</v>
      </c>
      <c r="R762" s="2">
        <v>17</v>
      </c>
      <c r="S762" s="2" t="s">
        <v>43</v>
      </c>
      <c r="T762" s="5">
        <v>106500</v>
      </c>
      <c r="U762" s="5">
        <v>0</v>
      </c>
      <c r="V762" s="4">
        <v>2</v>
      </c>
      <c r="W762" s="4">
        <v>30</v>
      </c>
      <c r="X762" s="2" t="s">
        <v>44</v>
      </c>
      <c r="Y762" s="4">
        <v>0</v>
      </c>
      <c r="Z762" s="4">
        <v>0</v>
      </c>
      <c r="AA762" s="4">
        <v>0</v>
      </c>
      <c r="AB762" s="4">
        <v>0</v>
      </c>
      <c r="AC762" s="4">
        <v>2</v>
      </c>
      <c r="AD762" s="4">
        <v>14</v>
      </c>
      <c r="AE762" s="3" t="s">
        <v>45</v>
      </c>
      <c r="AG762">
        <f t="shared" ca="1" si="33"/>
        <v>17</v>
      </c>
      <c r="AH762" s="23" t="str" cm="1">
        <f t="array" ref="AH762">_xlfn.IFS(E762&gt;49,"50+",E762&gt;39,"40-49",E762&gt;29,"30-39",E762&gt;19,"20-29")</f>
        <v>50+</v>
      </c>
      <c r="AI762" s="24" t="str" cm="1">
        <f t="array" aca="1" ref="AI762" ca="1">_xlfn.IFS(AG762&gt;10,"10+",AG762&gt;4,"5-10 YIL",AG762&gt;2,"3-5 YIL",AG762&gt;0.9,"1-3 YIL",AG762&lt;1,"0-1 YIL")</f>
        <v>10+</v>
      </c>
      <c r="AJ762">
        <f t="shared" si="34"/>
        <v>2008</v>
      </c>
      <c r="AK762">
        <f t="shared" si="35"/>
        <v>2025</v>
      </c>
    </row>
    <row r="763" spans="1:37" x14ac:dyDescent="0.3">
      <c r="A763" s="6" t="s">
        <v>1217</v>
      </c>
      <c r="B763" s="7" t="s">
        <v>300</v>
      </c>
      <c r="C763" s="6" t="s">
        <v>48</v>
      </c>
      <c r="D763" s="14">
        <v>32030</v>
      </c>
      <c r="E763" s="8">
        <v>39</v>
      </c>
      <c r="F763" s="6" t="s">
        <v>34</v>
      </c>
      <c r="G763" s="8">
        <v>0</v>
      </c>
      <c r="H763" s="6" t="s">
        <v>35</v>
      </c>
      <c r="I763" s="7" t="s">
        <v>148</v>
      </c>
      <c r="J763" s="7" t="s">
        <v>149</v>
      </c>
      <c r="K763" s="6" t="s">
        <v>51</v>
      </c>
      <c r="L763" s="6" t="s">
        <v>63</v>
      </c>
      <c r="M763" s="7" t="s">
        <v>150</v>
      </c>
      <c r="N763" s="6" t="s">
        <v>41</v>
      </c>
      <c r="O763" s="14">
        <v>44169</v>
      </c>
      <c r="P763" s="14">
        <v>44916</v>
      </c>
      <c r="Q763" s="7" t="s">
        <v>177</v>
      </c>
      <c r="R763" s="6">
        <v>3</v>
      </c>
      <c r="S763" s="6" t="s">
        <v>43</v>
      </c>
      <c r="T763" s="9">
        <v>50400</v>
      </c>
      <c r="U763" s="9">
        <v>3400</v>
      </c>
      <c r="V763" s="8">
        <v>1</v>
      </c>
      <c r="W763" s="8">
        <v>27</v>
      </c>
      <c r="X763" s="6" t="s">
        <v>57</v>
      </c>
      <c r="Y763" s="8">
        <v>3</v>
      </c>
      <c r="Z763" s="8">
        <v>5</v>
      </c>
      <c r="AA763" s="8">
        <v>0</v>
      </c>
      <c r="AB763" s="8">
        <v>0</v>
      </c>
      <c r="AC763" s="8">
        <v>4</v>
      </c>
      <c r="AD763" s="8">
        <v>17</v>
      </c>
      <c r="AE763" s="7" t="s">
        <v>45</v>
      </c>
      <c r="AG763">
        <f t="shared" ca="1" si="33"/>
        <v>5</v>
      </c>
      <c r="AH763" s="23" t="str" cm="1">
        <f t="array" ref="AH763">_xlfn.IFS(E763&gt;49,"50+",E763&gt;39,"40-49",E763&gt;29,"30-39",E763&gt;19,"20-29")</f>
        <v>30-39</v>
      </c>
      <c r="AI763" s="24" t="str" cm="1">
        <f t="array" aca="1" ref="AI763" ca="1">_xlfn.IFS(AG763&gt;10,"10+",AG763&gt;4,"5-10 YIL",AG763&gt;2,"3-5 YIL",AG763&gt;0.9,"1-3 YIL",AG763&lt;1,"0-1 YIL")</f>
        <v>5-10 YIL</v>
      </c>
      <c r="AJ763">
        <f t="shared" si="34"/>
        <v>2020</v>
      </c>
      <c r="AK763">
        <f t="shared" si="35"/>
        <v>2022</v>
      </c>
    </row>
    <row r="764" spans="1:37" x14ac:dyDescent="0.3">
      <c r="A764" s="2" t="s">
        <v>1218</v>
      </c>
      <c r="B764" s="3" t="s">
        <v>549</v>
      </c>
      <c r="C764" s="2" t="s">
        <v>48</v>
      </c>
      <c r="D764" s="13">
        <v>37993</v>
      </c>
      <c r="E764" s="4">
        <v>22</v>
      </c>
      <c r="F764" s="2" t="s">
        <v>49</v>
      </c>
      <c r="G764" s="4">
        <v>3</v>
      </c>
      <c r="H764" s="2" t="s">
        <v>35</v>
      </c>
      <c r="I764" s="3" t="s">
        <v>139</v>
      </c>
      <c r="J764" s="3" t="s">
        <v>235</v>
      </c>
      <c r="K764" s="2" t="s">
        <v>38</v>
      </c>
      <c r="L764" s="2" t="s">
        <v>63</v>
      </c>
      <c r="M764" s="3" t="s">
        <v>162</v>
      </c>
      <c r="N764" s="2" t="s">
        <v>41</v>
      </c>
      <c r="O764" s="13">
        <v>45321</v>
      </c>
      <c r="P764" s="2" t="s">
        <v>44</v>
      </c>
      <c r="Q764" s="3" t="s">
        <v>44</v>
      </c>
      <c r="R764" s="2" t="s">
        <v>44</v>
      </c>
      <c r="S764" s="2" t="s">
        <v>56</v>
      </c>
      <c r="T764" s="5">
        <v>45900</v>
      </c>
      <c r="U764" s="5">
        <v>0</v>
      </c>
      <c r="V764" s="4">
        <v>0</v>
      </c>
      <c r="W764" s="4">
        <v>27</v>
      </c>
      <c r="X764" s="2" t="s">
        <v>57</v>
      </c>
      <c r="Y764" s="4">
        <v>3</v>
      </c>
      <c r="Z764" s="4">
        <v>13</v>
      </c>
      <c r="AA764" s="4">
        <v>0</v>
      </c>
      <c r="AB764" s="4">
        <v>0</v>
      </c>
      <c r="AC764" s="4">
        <v>3</v>
      </c>
      <c r="AD764" s="4">
        <v>16</v>
      </c>
      <c r="AE764" s="3" t="s">
        <v>58</v>
      </c>
      <c r="AG764">
        <f t="shared" ca="1" si="33"/>
        <v>2</v>
      </c>
      <c r="AH764" s="23" t="str" cm="1">
        <f t="array" ref="AH764">_xlfn.IFS(E764&gt;49,"50+",E764&gt;39,"40-49",E764&gt;29,"30-39",E764&gt;19,"20-29")</f>
        <v>20-29</v>
      </c>
      <c r="AI764" s="24" t="str" cm="1">
        <f t="array" aca="1" ref="AI764" ca="1">_xlfn.IFS(AG764&gt;10,"10+",AG764&gt;4,"5-10 YIL",AG764&gt;2,"3-5 YIL",AG764&gt;0.9,"1-3 YIL",AG764&lt;1,"0-1 YIL")</f>
        <v>1-3 YIL</v>
      </c>
      <c r="AJ764">
        <f t="shared" si="34"/>
        <v>2024</v>
      </c>
      <c r="AK764" t="e">
        <f t="shared" si="35"/>
        <v>#VALUE!</v>
      </c>
    </row>
    <row r="765" spans="1:37" x14ac:dyDescent="0.3">
      <c r="A765" s="6" t="s">
        <v>1219</v>
      </c>
      <c r="B765" s="7" t="s">
        <v>388</v>
      </c>
      <c r="C765" s="6" t="s">
        <v>33</v>
      </c>
      <c r="D765" s="14">
        <v>29816</v>
      </c>
      <c r="E765" s="8">
        <v>45</v>
      </c>
      <c r="F765" s="6" t="s">
        <v>34</v>
      </c>
      <c r="G765" s="8">
        <v>0</v>
      </c>
      <c r="H765" s="6" t="s">
        <v>85</v>
      </c>
      <c r="I765" s="7" t="s">
        <v>139</v>
      </c>
      <c r="J765" s="7" t="s">
        <v>161</v>
      </c>
      <c r="K765" s="6" t="s">
        <v>51</v>
      </c>
      <c r="L765" s="6" t="s">
        <v>63</v>
      </c>
      <c r="M765" s="7" t="s">
        <v>162</v>
      </c>
      <c r="N765" s="6" t="s">
        <v>41</v>
      </c>
      <c r="O765" s="14">
        <v>43669</v>
      </c>
      <c r="P765" s="6" t="s">
        <v>44</v>
      </c>
      <c r="Q765" s="7" t="s">
        <v>44</v>
      </c>
      <c r="R765" s="6" t="s">
        <v>44</v>
      </c>
      <c r="S765" s="6" t="s">
        <v>56</v>
      </c>
      <c r="T765" s="9">
        <v>72100</v>
      </c>
      <c r="U765" s="9">
        <v>0</v>
      </c>
      <c r="V765" s="8">
        <v>0</v>
      </c>
      <c r="W765" s="8">
        <v>25</v>
      </c>
      <c r="X765" s="6" t="s">
        <v>57</v>
      </c>
      <c r="Y765" s="8">
        <v>5</v>
      </c>
      <c r="Z765" s="8">
        <v>4</v>
      </c>
      <c r="AA765" s="8">
        <v>0</v>
      </c>
      <c r="AB765" s="8">
        <v>0</v>
      </c>
      <c r="AC765" s="8">
        <v>4</v>
      </c>
      <c r="AD765" s="8">
        <v>36</v>
      </c>
      <c r="AE765" s="7" t="s">
        <v>58</v>
      </c>
      <c r="AG765">
        <f t="shared" ca="1" si="33"/>
        <v>6</v>
      </c>
      <c r="AH765" s="23" t="str" cm="1">
        <f t="array" ref="AH765">_xlfn.IFS(E765&gt;49,"50+",E765&gt;39,"40-49",E765&gt;29,"30-39",E765&gt;19,"20-29")</f>
        <v>40-49</v>
      </c>
      <c r="AI765" s="24" t="str" cm="1">
        <f t="array" aca="1" ref="AI765" ca="1">_xlfn.IFS(AG765&gt;10,"10+",AG765&gt;4,"5-10 YIL",AG765&gt;2,"3-5 YIL",AG765&gt;0.9,"1-3 YIL",AG765&lt;1,"0-1 YIL")</f>
        <v>5-10 YIL</v>
      </c>
      <c r="AJ765">
        <f t="shared" si="34"/>
        <v>2019</v>
      </c>
      <c r="AK765" t="e">
        <f t="shared" si="35"/>
        <v>#VALUE!</v>
      </c>
    </row>
    <row r="766" spans="1:37" x14ac:dyDescent="0.3">
      <c r="A766" s="2" t="s">
        <v>1220</v>
      </c>
      <c r="B766" s="3" t="s">
        <v>1075</v>
      </c>
      <c r="C766" s="2" t="s">
        <v>33</v>
      </c>
      <c r="D766" s="13">
        <v>35563</v>
      </c>
      <c r="E766" s="4">
        <v>29</v>
      </c>
      <c r="F766" s="2" t="s">
        <v>49</v>
      </c>
      <c r="G766" s="4">
        <v>0</v>
      </c>
      <c r="H766" s="2" t="s">
        <v>35</v>
      </c>
      <c r="I766" s="3" t="s">
        <v>139</v>
      </c>
      <c r="J766" s="3" t="s">
        <v>235</v>
      </c>
      <c r="K766" s="2" t="s">
        <v>38</v>
      </c>
      <c r="L766" s="2" t="s">
        <v>63</v>
      </c>
      <c r="M766" s="3" t="s">
        <v>162</v>
      </c>
      <c r="N766" s="2" t="s">
        <v>67</v>
      </c>
      <c r="O766" s="13">
        <v>45713</v>
      </c>
      <c r="P766" s="13">
        <v>46033</v>
      </c>
      <c r="Q766" s="3" t="s">
        <v>53</v>
      </c>
      <c r="R766" s="2">
        <v>4</v>
      </c>
      <c r="S766" s="2" t="s">
        <v>43</v>
      </c>
      <c r="T766" s="5">
        <v>46100</v>
      </c>
      <c r="U766" s="5">
        <v>0</v>
      </c>
      <c r="V766" s="4">
        <v>9</v>
      </c>
      <c r="W766" s="4">
        <v>30</v>
      </c>
      <c r="X766" s="2" t="s">
        <v>44</v>
      </c>
      <c r="Y766" s="4">
        <v>0</v>
      </c>
      <c r="Z766" s="4">
        <v>12</v>
      </c>
      <c r="AA766" s="4">
        <v>0</v>
      </c>
      <c r="AB766" s="4">
        <v>0</v>
      </c>
      <c r="AC766" s="4">
        <v>1</v>
      </c>
      <c r="AD766" s="4">
        <v>10</v>
      </c>
      <c r="AE766" s="3" t="s">
        <v>58</v>
      </c>
      <c r="AG766">
        <f t="shared" ca="1" si="33"/>
        <v>1</v>
      </c>
      <c r="AH766" s="23" t="str" cm="1">
        <f t="array" ref="AH766">_xlfn.IFS(E766&gt;49,"50+",E766&gt;39,"40-49",E766&gt;29,"30-39",E766&gt;19,"20-29")</f>
        <v>20-29</v>
      </c>
      <c r="AI766" s="24" t="str" cm="1">
        <f t="array" aca="1" ref="AI766" ca="1">_xlfn.IFS(AG766&gt;10,"10+",AG766&gt;4,"5-10 YIL",AG766&gt;2,"3-5 YIL",AG766&gt;0.9,"1-3 YIL",AG766&lt;1,"0-1 YIL")</f>
        <v>1-3 YIL</v>
      </c>
      <c r="AJ766">
        <f t="shared" si="34"/>
        <v>2025</v>
      </c>
      <c r="AK766">
        <f t="shared" si="35"/>
        <v>2026</v>
      </c>
    </row>
    <row r="767" spans="1:37" x14ac:dyDescent="0.3">
      <c r="A767" s="6" t="s">
        <v>1221</v>
      </c>
      <c r="B767" s="7" t="s">
        <v>958</v>
      </c>
      <c r="C767" s="6" t="s">
        <v>48</v>
      </c>
      <c r="D767" s="14">
        <v>37790</v>
      </c>
      <c r="E767" s="8">
        <v>23</v>
      </c>
      <c r="F767" s="6" t="s">
        <v>34</v>
      </c>
      <c r="G767" s="8">
        <v>0</v>
      </c>
      <c r="H767" s="6" t="s">
        <v>35</v>
      </c>
      <c r="I767" s="7" t="s">
        <v>139</v>
      </c>
      <c r="J767" s="7" t="s">
        <v>235</v>
      </c>
      <c r="K767" s="6" t="s">
        <v>38</v>
      </c>
      <c r="L767" s="6" t="s">
        <v>63</v>
      </c>
      <c r="M767" s="7" t="s">
        <v>162</v>
      </c>
      <c r="N767" s="6" t="s">
        <v>41</v>
      </c>
      <c r="O767" s="14">
        <v>45579</v>
      </c>
      <c r="P767" s="6" t="s">
        <v>44</v>
      </c>
      <c r="Q767" s="7" t="s">
        <v>44</v>
      </c>
      <c r="R767" s="6" t="s">
        <v>44</v>
      </c>
      <c r="S767" s="6" t="s">
        <v>56</v>
      </c>
      <c r="T767" s="9">
        <v>47200</v>
      </c>
      <c r="U767" s="9">
        <v>6000</v>
      </c>
      <c r="V767" s="8">
        <v>4</v>
      </c>
      <c r="W767" s="8">
        <v>30</v>
      </c>
      <c r="X767" s="6" t="s">
        <v>44</v>
      </c>
      <c r="Y767" s="8">
        <v>0</v>
      </c>
      <c r="Z767" s="8">
        <v>2</v>
      </c>
      <c r="AA767" s="8">
        <v>0</v>
      </c>
      <c r="AB767" s="8">
        <v>0</v>
      </c>
      <c r="AC767" s="8">
        <v>4</v>
      </c>
      <c r="AD767" s="8">
        <v>33</v>
      </c>
      <c r="AE767" s="7" t="s">
        <v>45</v>
      </c>
      <c r="AG767">
        <f t="shared" ca="1" si="33"/>
        <v>1</v>
      </c>
      <c r="AH767" s="23" t="str" cm="1">
        <f t="array" ref="AH767">_xlfn.IFS(E767&gt;49,"50+",E767&gt;39,"40-49",E767&gt;29,"30-39",E767&gt;19,"20-29")</f>
        <v>20-29</v>
      </c>
      <c r="AI767" s="24" t="str" cm="1">
        <f t="array" aca="1" ref="AI767" ca="1">_xlfn.IFS(AG767&gt;10,"10+",AG767&gt;4,"5-10 YIL",AG767&gt;2,"3-5 YIL",AG767&gt;0.9,"1-3 YIL",AG767&lt;1,"0-1 YIL")</f>
        <v>1-3 YIL</v>
      </c>
      <c r="AJ767">
        <f t="shared" si="34"/>
        <v>2024</v>
      </c>
      <c r="AK767" t="e">
        <f t="shared" si="35"/>
        <v>#VALUE!</v>
      </c>
    </row>
    <row r="768" spans="1:37" x14ac:dyDescent="0.3">
      <c r="A768" s="2" t="s">
        <v>1222</v>
      </c>
      <c r="B768" s="3" t="s">
        <v>1223</v>
      </c>
      <c r="C768" s="2" t="s">
        <v>33</v>
      </c>
      <c r="D768" s="13">
        <v>37248</v>
      </c>
      <c r="E768" s="4">
        <v>25</v>
      </c>
      <c r="F768" s="2" t="s">
        <v>34</v>
      </c>
      <c r="G768" s="4">
        <v>0</v>
      </c>
      <c r="H768" s="2" t="s">
        <v>35</v>
      </c>
      <c r="I768" s="3" t="s">
        <v>36</v>
      </c>
      <c r="J768" s="3" t="s">
        <v>37</v>
      </c>
      <c r="K768" s="2" t="s">
        <v>38</v>
      </c>
      <c r="L768" s="2" t="s">
        <v>39</v>
      </c>
      <c r="M768" s="3" t="s">
        <v>40</v>
      </c>
      <c r="N768" s="2" t="s">
        <v>41</v>
      </c>
      <c r="O768" s="13">
        <v>45916</v>
      </c>
      <c r="P768" s="2" t="s">
        <v>44</v>
      </c>
      <c r="Q768" s="3" t="s">
        <v>44</v>
      </c>
      <c r="R768" s="2" t="s">
        <v>44</v>
      </c>
      <c r="S768" s="2" t="s">
        <v>56</v>
      </c>
      <c r="T768" s="5">
        <v>28200</v>
      </c>
      <c r="U768" s="5">
        <v>0</v>
      </c>
      <c r="V768" s="4">
        <v>29</v>
      </c>
      <c r="W768" s="4">
        <v>30</v>
      </c>
      <c r="X768" s="2" t="s">
        <v>44</v>
      </c>
      <c r="Y768" s="4">
        <v>0</v>
      </c>
      <c r="Z768" s="4">
        <v>0</v>
      </c>
      <c r="AA768" s="4">
        <v>0</v>
      </c>
      <c r="AB768" s="4">
        <v>0</v>
      </c>
      <c r="AC768" s="4">
        <v>4</v>
      </c>
      <c r="AD768" s="4">
        <v>19</v>
      </c>
      <c r="AE768" s="3" t="s">
        <v>58</v>
      </c>
      <c r="AG768">
        <f t="shared" ca="1" si="33"/>
        <v>0</v>
      </c>
      <c r="AH768" s="23" t="str" cm="1">
        <f t="array" ref="AH768">_xlfn.IFS(E768&gt;49,"50+",E768&gt;39,"40-49",E768&gt;29,"30-39",E768&gt;19,"20-29")</f>
        <v>20-29</v>
      </c>
      <c r="AI768" s="24" t="str" cm="1">
        <f t="array" aca="1" ref="AI768" ca="1">_xlfn.IFS(AG768&gt;10,"10+",AG768&gt;4,"5-10 YIL",AG768&gt;2,"3-5 YIL",AG768&gt;0.9,"1-3 YIL",AG768&lt;1,"0-1 YIL")</f>
        <v>0-1 YIL</v>
      </c>
      <c r="AJ768">
        <f t="shared" si="34"/>
        <v>2025</v>
      </c>
      <c r="AK768" t="e">
        <f t="shared" si="35"/>
        <v>#VALUE!</v>
      </c>
    </row>
    <row r="769" spans="1:37" x14ac:dyDescent="0.3">
      <c r="A769" s="6" t="s">
        <v>1224</v>
      </c>
      <c r="B769" s="7" t="s">
        <v>801</v>
      </c>
      <c r="C769" s="6" t="s">
        <v>48</v>
      </c>
      <c r="D769" s="14">
        <v>33730</v>
      </c>
      <c r="E769" s="8">
        <v>34</v>
      </c>
      <c r="F769" s="6" t="s">
        <v>49</v>
      </c>
      <c r="G769" s="8">
        <v>1</v>
      </c>
      <c r="H769" s="6" t="s">
        <v>85</v>
      </c>
      <c r="I769" s="7" t="s">
        <v>61</v>
      </c>
      <c r="J769" s="7" t="s">
        <v>107</v>
      </c>
      <c r="K769" s="6" t="s">
        <v>51</v>
      </c>
      <c r="L769" s="6" t="s">
        <v>63</v>
      </c>
      <c r="M769" s="7" t="s">
        <v>64</v>
      </c>
      <c r="N769" s="6" t="s">
        <v>89</v>
      </c>
      <c r="O769" s="14">
        <v>42993</v>
      </c>
      <c r="P769" s="6" t="s">
        <v>44</v>
      </c>
      <c r="Q769" s="7" t="s">
        <v>44</v>
      </c>
      <c r="R769" s="6" t="s">
        <v>44</v>
      </c>
      <c r="S769" s="6" t="s">
        <v>56</v>
      </c>
      <c r="T769" s="9">
        <v>57900</v>
      </c>
      <c r="U769" s="9">
        <v>17700</v>
      </c>
      <c r="V769" s="8">
        <v>1</v>
      </c>
      <c r="W769" s="8">
        <v>30</v>
      </c>
      <c r="X769" s="6" t="s">
        <v>44</v>
      </c>
      <c r="Y769" s="8">
        <v>0</v>
      </c>
      <c r="Z769" s="8">
        <v>2</v>
      </c>
      <c r="AA769" s="8">
        <v>0</v>
      </c>
      <c r="AB769" s="8">
        <v>0</v>
      </c>
      <c r="AC769" s="8">
        <v>4</v>
      </c>
      <c r="AD769" s="8">
        <v>18</v>
      </c>
      <c r="AE769" s="7" t="s">
        <v>73</v>
      </c>
      <c r="AG769">
        <f t="shared" ca="1" si="33"/>
        <v>8</v>
      </c>
      <c r="AH769" s="23" t="str" cm="1">
        <f t="array" ref="AH769">_xlfn.IFS(E769&gt;49,"50+",E769&gt;39,"40-49",E769&gt;29,"30-39",E769&gt;19,"20-29")</f>
        <v>30-39</v>
      </c>
      <c r="AI769" s="24" t="str" cm="1">
        <f t="array" aca="1" ref="AI769" ca="1">_xlfn.IFS(AG769&gt;10,"10+",AG769&gt;4,"5-10 YIL",AG769&gt;2,"3-5 YIL",AG769&gt;0.9,"1-3 YIL",AG769&lt;1,"0-1 YIL")</f>
        <v>5-10 YIL</v>
      </c>
      <c r="AJ769">
        <f t="shared" si="34"/>
        <v>2017</v>
      </c>
      <c r="AK769" t="e">
        <f t="shared" si="35"/>
        <v>#VALUE!</v>
      </c>
    </row>
    <row r="770" spans="1:37" x14ac:dyDescent="0.3">
      <c r="A770" s="2" t="s">
        <v>1225</v>
      </c>
      <c r="B770" s="3" t="s">
        <v>1059</v>
      </c>
      <c r="C770" s="2" t="s">
        <v>33</v>
      </c>
      <c r="D770" s="13">
        <v>36251</v>
      </c>
      <c r="E770" s="4">
        <v>27</v>
      </c>
      <c r="F770" s="2" t="s">
        <v>49</v>
      </c>
      <c r="G770" s="4">
        <v>0</v>
      </c>
      <c r="H770" s="2" t="s">
        <v>184</v>
      </c>
      <c r="I770" s="3" t="s">
        <v>36</v>
      </c>
      <c r="J770" s="3" t="s">
        <v>37</v>
      </c>
      <c r="K770" s="2" t="s">
        <v>38</v>
      </c>
      <c r="L770" s="2" t="s">
        <v>39</v>
      </c>
      <c r="M770" s="3" t="s">
        <v>40</v>
      </c>
      <c r="N770" s="2" t="s">
        <v>41</v>
      </c>
      <c r="O770" s="13">
        <v>45726</v>
      </c>
      <c r="P770" s="2" t="s">
        <v>44</v>
      </c>
      <c r="Q770" s="3" t="s">
        <v>44</v>
      </c>
      <c r="R770" s="2" t="s">
        <v>44</v>
      </c>
      <c r="S770" s="2" t="s">
        <v>56</v>
      </c>
      <c r="T770" s="5">
        <v>25700</v>
      </c>
      <c r="U770" s="5">
        <v>0</v>
      </c>
      <c r="V770" s="4">
        <v>10</v>
      </c>
      <c r="W770" s="4">
        <v>27</v>
      </c>
      <c r="X770" s="2" t="s">
        <v>81</v>
      </c>
      <c r="Y770" s="4">
        <v>0</v>
      </c>
      <c r="Z770" s="4">
        <v>0</v>
      </c>
      <c r="AA770" s="4">
        <v>3</v>
      </c>
      <c r="AB770" s="4">
        <v>0</v>
      </c>
      <c r="AC770" s="4">
        <v>1</v>
      </c>
      <c r="AD770" s="4">
        <v>7</v>
      </c>
      <c r="AE770" s="3" t="s">
        <v>58</v>
      </c>
      <c r="AG770">
        <f t="shared" ca="1" si="33"/>
        <v>1</v>
      </c>
      <c r="AH770" s="23" t="str" cm="1">
        <f t="array" ref="AH770">_xlfn.IFS(E770&gt;49,"50+",E770&gt;39,"40-49",E770&gt;29,"30-39",E770&gt;19,"20-29")</f>
        <v>20-29</v>
      </c>
      <c r="AI770" s="24" t="str" cm="1">
        <f t="array" aca="1" ref="AI770" ca="1">_xlfn.IFS(AG770&gt;10,"10+",AG770&gt;4,"5-10 YIL",AG770&gt;2,"3-5 YIL",AG770&gt;0.9,"1-3 YIL",AG770&lt;1,"0-1 YIL")</f>
        <v>1-3 YIL</v>
      </c>
      <c r="AJ770">
        <f t="shared" si="34"/>
        <v>2025</v>
      </c>
      <c r="AK770" t="e">
        <f t="shared" si="35"/>
        <v>#VALUE!</v>
      </c>
    </row>
    <row r="771" spans="1:37" x14ac:dyDescent="0.3">
      <c r="A771" s="6" t="s">
        <v>1226</v>
      </c>
      <c r="B771" s="7" t="s">
        <v>1227</v>
      </c>
      <c r="C771" s="6" t="s">
        <v>48</v>
      </c>
      <c r="D771" s="14">
        <v>36679</v>
      </c>
      <c r="E771" s="8">
        <v>26</v>
      </c>
      <c r="F771" s="6" t="s">
        <v>49</v>
      </c>
      <c r="G771" s="8">
        <v>2</v>
      </c>
      <c r="H771" s="6" t="s">
        <v>35</v>
      </c>
      <c r="I771" s="7" t="s">
        <v>61</v>
      </c>
      <c r="J771" s="7" t="s">
        <v>62</v>
      </c>
      <c r="K771" s="6" t="s">
        <v>38</v>
      </c>
      <c r="L771" s="6" t="s">
        <v>63</v>
      </c>
      <c r="M771" s="7" t="s">
        <v>64</v>
      </c>
      <c r="N771" s="6" t="s">
        <v>95</v>
      </c>
      <c r="O771" s="14">
        <v>44840</v>
      </c>
      <c r="P771" s="6" t="s">
        <v>44</v>
      </c>
      <c r="Q771" s="7" t="s">
        <v>44</v>
      </c>
      <c r="R771" s="6" t="s">
        <v>44</v>
      </c>
      <c r="S771" s="6" t="s">
        <v>56</v>
      </c>
      <c r="T771" s="9">
        <v>33100</v>
      </c>
      <c r="U771" s="9">
        <v>10500</v>
      </c>
      <c r="V771" s="8">
        <v>1</v>
      </c>
      <c r="W771" s="8">
        <v>30</v>
      </c>
      <c r="X771" s="6" t="s">
        <v>44</v>
      </c>
      <c r="Y771" s="8">
        <v>0</v>
      </c>
      <c r="Z771" s="8">
        <v>5</v>
      </c>
      <c r="AA771" s="8">
        <v>0</v>
      </c>
      <c r="AB771" s="8">
        <v>0</v>
      </c>
      <c r="AC771" s="8">
        <v>3</v>
      </c>
      <c r="AD771" s="8">
        <v>8</v>
      </c>
      <c r="AE771" s="7" t="s">
        <v>45</v>
      </c>
      <c r="AG771">
        <f t="shared" ref="AG771:AG834" ca="1" si="36">DATEDIF(O771,TODAY(),"Y")</f>
        <v>3</v>
      </c>
      <c r="AH771" s="23" t="str" cm="1">
        <f t="array" ref="AH771">_xlfn.IFS(E771&gt;49,"50+",E771&gt;39,"40-49",E771&gt;29,"30-39",E771&gt;19,"20-29")</f>
        <v>20-29</v>
      </c>
      <c r="AI771" s="24" t="str" cm="1">
        <f t="array" aca="1" ref="AI771" ca="1">_xlfn.IFS(AG771&gt;10,"10+",AG771&gt;4,"5-10 YIL",AG771&gt;2,"3-5 YIL",AG771&gt;0.9,"1-3 YIL",AG771&lt;1,"0-1 YIL")</f>
        <v>3-5 YIL</v>
      </c>
      <c r="AJ771">
        <f t="shared" ref="AJ771:AJ834" si="37">YEAR(O771)</f>
        <v>2022</v>
      </c>
      <c r="AK771" t="e">
        <f t="shared" ref="AK771:AK834" si="38">YEAR(P771)</f>
        <v>#VALUE!</v>
      </c>
    </row>
    <row r="772" spans="1:37" x14ac:dyDescent="0.3">
      <c r="A772" s="2" t="s">
        <v>1228</v>
      </c>
      <c r="B772" s="3" t="s">
        <v>302</v>
      </c>
      <c r="C772" s="2" t="s">
        <v>48</v>
      </c>
      <c r="D772" s="13">
        <v>36999</v>
      </c>
      <c r="E772" s="4">
        <v>25</v>
      </c>
      <c r="F772" s="2" t="s">
        <v>34</v>
      </c>
      <c r="G772" s="4">
        <v>0</v>
      </c>
      <c r="H772" s="2" t="s">
        <v>35</v>
      </c>
      <c r="I772" s="3" t="s">
        <v>70</v>
      </c>
      <c r="J772" s="3" t="s">
        <v>92</v>
      </c>
      <c r="K772" s="2" t="s">
        <v>38</v>
      </c>
      <c r="L772" s="2" t="s">
        <v>63</v>
      </c>
      <c r="M772" s="3" t="s">
        <v>72</v>
      </c>
      <c r="N772" s="2" t="s">
        <v>67</v>
      </c>
      <c r="O772" s="13">
        <v>45406</v>
      </c>
      <c r="P772" s="2" t="s">
        <v>44</v>
      </c>
      <c r="Q772" s="3" t="s">
        <v>44</v>
      </c>
      <c r="R772" s="2" t="s">
        <v>44</v>
      </c>
      <c r="S772" s="2" t="s">
        <v>56</v>
      </c>
      <c r="T772" s="5">
        <v>39600</v>
      </c>
      <c r="U772" s="5">
        <v>0</v>
      </c>
      <c r="V772" s="4">
        <v>4</v>
      </c>
      <c r="W772" s="4">
        <v>27</v>
      </c>
      <c r="X772" s="2" t="s">
        <v>81</v>
      </c>
      <c r="Y772" s="4">
        <v>0</v>
      </c>
      <c r="Z772" s="4">
        <v>9</v>
      </c>
      <c r="AA772" s="4">
        <v>3</v>
      </c>
      <c r="AB772" s="4">
        <v>0</v>
      </c>
      <c r="AC772" s="4">
        <v>3</v>
      </c>
      <c r="AD772" s="4">
        <v>18</v>
      </c>
      <c r="AE772" s="3" t="s">
        <v>58</v>
      </c>
      <c r="AG772">
        <f t="shared" ca="1" si="36"/>
        <v>2</v>
      </c>
      <c r="AH772" s="23" t="str" cm="1">
        <f t="array" ref="AH772">_xlfn.IFS(E772&gt;49,"50+",E772&gt;39,"40-49",E772&gt;29,"30-39",E772&gt;19,"20-29")</f>
        <v>20-29</v>
      </c>
      <c r="AI772" s="24" t="str" cm="1">
        <f t="array" aca="1" ref="AI772" ca="1">_xlfn.IFS(AG772&gt;10,"10+",AG772&gt;4,"5-10 YIL",AG772&gt;2,"3-5 YIL",AG772&gt;0.9,"1-3 YIL",AG772&lt;1,"0-1 YIL")</f>
        <v>1-3 YIL</v>
      </c>
      <c r="AJ772">
        <f t="shared" si="37"/>
        <v>2024</v>
      </c>
      <c r="AK772" t="e">
        <f t="shared" si="38"/>
        <v>#VALUE!</v>
      </c>
    </row>
    <row r="773" spans="1:37" x14ac:dyDescent="0.3">
      <c r="A773" s="6" t="s">
        <v>1229</v>
      </c>
      <c r="B773" s="7" t="s">
        <v>514</v>
      </c>
      <c r="C773" s="6" t="s">
        <v>48</v>
      </c>
      <c r="D773" s="14">
        <v>37327</v>
      </c>
      <c r="E773" s="8">
        <v>24</v>
      </c>
      <c r="F773" s="6" t="s">
        <v>49</v>
      </c>
      <c r="G773" s="8">
        <v>1</v>
      </c>
      <c r="H773" s="6" t="s">
        <v>35</v>
      </c>
      <c r="I773" s="7" t="s">
        <v>36</v>
      </c>
      <c r="J773" s="7" t="s">
        <v>37</v>
      </c>
      <c r="K773" s="6" t="s">
        <v>38</v>
      </c>
      <c r="L773" s="6" t="s">
        <v>39</v>
      </c>
      <c r="M773" s="7" t="s">
        <v>40</v>
      </c>
      <c r="N773" s="6" t="s">
        <v>52</v>
      </c>
      <c r="O773" s="14">
        <v>45031</v>
      </c>
      <c r="P773" s="6" t="s">
        <v>44</v>
      </c>
      <c r="Q773" s="7" t="s">
        <v>44</v>
      </c>
      <c r="R773" s="6" t="s">
        <v>44</v>
      </c>
      <c r="S773" s="6" t="s">
        <v>56</v>
      </c>
      <c r="T773" s="9">
        <v>28100</v>
      </c>
      <c r="U773" s="9">
        <v>0</v>
      </c>
      <c r="V773" s="8">
        <v>34</v>
      </c>
      <c r="W773" s="8">
        <v>29</v>
      </c>
      <c r="X773" s="6" t="s">
        <v>57</v>
      </c>
      <c r="Y773" s="8">
        <v>1</v>
      </c>
      <c r="Z773" s="8">
        <v>8</v>
      </c>
      <c r="AA773" s="8">
        <v>0</v>
      </c>
      <c r="AB773" s="8">
        <v>0</v>
      </c>
      <c r="AC773" s="8">
        <v>2</v>
      </c>
      <c r="AD773" s="8">
        <v>6</v>
      </c>
      <c r="AE773" s="7" t="s">
        <v>96</v>
      </c>
      <c r="AG773">
        <f t="shared" ca="1" si="36"/>
        <v>3</v>
      </c>
      <c r="AH773" s="23" t="str" cm="1">
        <f t="array" ref="AH773">_xlfn.IFS(E773&gt;49,"50+",E773&gt;39,"40-49",E773&gt;29,"30-39",E773&gt;19,"20-29")</f>
        <v>20-29</v>
      </c>
      <c r="AI773" s="24" t="str" cm="1">
        <f t="array" aca="1" ref="AI773" ca="1">_xlfn.IFS(AG773&gt;10,"10+",AG773&gt;4,"5-10 YIL",AG773&gt;2,"3-5 YIL",AG773&gt;0.9,"1-3 YIL",AG773&lt;1,"0-1 YIL")</f>
        <v>3-5 YIL</v>
      </c>
      <c r="AJ773">
        <f t="shared" si="37"/>
        <v>2023</v>
      </c>
      <c r="AK773" t="e">
        <f t="shared" si="38"/>
        <v>#VALUE!</v>
      </c>
    </row>
    <row r="774" spans="1:37" x14ac:dyDescent="0.3">
      <c r="A774" s="2" t="s">
        <v>1230</v>
      </c>
      <c r="B774" s="3" t="s">
        <v>116</v>
      </c>
      <c r="C774" s="2" t="s">
        <v>48</v>
      </c>
      <c r="D774" s="13">
        <v>35760</v>
      </c>
      <c r="E774" s="4">
        <v>29</v>
      </c>
      <c r="F774" s="2" t="s">
        <v>49</v>
      </c>
      <c r="G774" s="4">
        <v>2</v>
      </c>
      <c r="H774" s="2" t="s">
        <v>35</v>
      </c>
      <c r="I774" s="3" t="s">
        <v>36</v>
      </c>
      <c r="J774" s="3" t="s">
        <v>37</v>
      </c>
      <c r="K774" s="2" t="s">
        <v>38</v>
      </c>
      <c r="L774" s="2" t="s">
        <v>39</v>
      </c>
      <c r="M774" s="3" t="s">
        <v>40</v>
      </c>
      <c r="N774" s="2" t="s">
        <v>52</v>
      </c>
      <c r="O774" s="13">
        <v>45589</v>
      </c>
      <c r="P774" s="2" t="s">
        <v>44</v>
      </c>
      <c r="Q774" s="3" t="s">
        <v>44</v>
      </c>
      <c r="R774" s="2" t="s">
        <v>44</v>
      </c>
      <c r="S774" s="2" t="s">
        <v>56</v>
      </c>
      <c r="T774" s="5">
        <v>25900</v>
      </c>
      <c r="U774" s="5">
        <v>0</v>
      </c>
      <c r="V774" s="4">
        <v>36</v>
      </c>
      <c r="W774" s="4">
        <v>30</v>
      </c>
      <c r="X774" s="2" t="s">
        <v>44</v>
      </c>
      <c r="Y774" s="4">
        <v>0</v>
      </c>
      <c r="Z774" s="4">
        <v>6</v>
      </c>
      <c r="AA774" s="4">
        <v>0</v>
      </c>
      <c r="AB774" s="4">
        <v>0</v>
      </c>
      <c r="AC774" s="4">
        <v>1</v>
      </c>
      <c r="AD774" s="4">
        <v>9</v>
      </c>
      <c r="AE774" s="3" t="s">
        <v>58</v>
      </c>
      <c r="AG774">
        <f t="shared" ca="1" si="36"/>
        <v>1</v>
      </c>
      <c r="AH774" s="23" t="str" cm="1">
        <f t="array" ref="AH774">_xlfn.IFS(E774&gt;49,"50+",E774&gt;39,"40-49",E774&gt;29,"30-39",E774&gt;19,"20-29")</f>
        <v>20-29</v>
      </c>
      <c r="AI774" s="24" t="str" cm="1">
        <f t="array" aca="1" ref="AI774" ca="1">_xlfn.IFS(AG774&gt;10,"10+",AG774&gt;4,"5-10 YIL",AG774&gt;2,"3-5 YIL",AG774&gt;0.9,"1-3 YIL",AG774&lt;1,"0-1 YIL")</f>
        <v>1-3 YIL</v>
      </c>
      <c r="AJ774">
        <f t="shared" si="37"/>
        <v>2024</v>
      </c>
      <c r="AK774" t="e">
        <f t="shared" si="38"/>
        <v>#VALUE!</v>
      </c>
    </row>
    <row r="775" spans="1:37" x14ac:dyDescent="0.3">
      <c r="A775" s="6" t="s">
        <v>1231</v>
      </c>
      <c r="B775" s="7" t="s">
        <v>1232</v>
      </c>
      <c r="C775" s="6" t="s">
        <v>33</v>
      </c>
      <c r="D775" s="14">
        <v>35281</v>
      </c>
      <c r="E775" s="8">
        <v>30</v>
      </c>
      <c r="F775" s="6" t="s">
        <v>49</v>
      </c>
      <c r="G775" s="8">
        <v>2</v>
      </c>
      <c r="H775" s="6" t="s">
        <v>35</v>
      </c>
      <c r="I775" s="7" t="s">
        <v>61</v>
      </c>
      <c r="J775" s="7" t="s">
        <v>107</v>
      </c>
      <c r="K775" s="6" t="s">
        <v>51</v>
      </c>
      <c r="L775" s="6" t="s">
        <v>63</v>
      </c>
      <c r="M775" s="7" t="s">
        <v>64</v>
      </c>
      <c r="N775" s="6" t="s">
        <v>95</v>
      </c>
      <c r="O775" s="14">
        <v>43894</v>
      </c>
      <c r="P775" s="6" t="s">
        <v>44</v>
      </c>
      <c r="Q775" s="7" t="s">
        <v>44</v>
      </c>
      <c r="R775" s="6" t="s">
        <v>44</v>
      </c>
      <c r="S775" s="6" t="s">
        <v>56</v>
      </c>
      <c r="T775" s="9">
        <v>56400</v>
      </c>
      <c r="U775" s="9">
        <v>18700</v>
      </c>
      <c r="V775" s="8">
        <v>0</v>
      </c>
      <c r="W775" s="8">
        <v>30</v>
      </c>
      <c r="X775" s="6" t="s">
        <v>44</v>
      </c>
      <c r="Y775" s="8">
        <v>0</v>
      </c>
      <c r="Z775" s="8">
        <v>0</v>
      </c>
      <c r="AA775" s="8">
        <v>0</v>
      </c>
      <c r="AB775" s="8">
        <v>0</v>
      </c>
      <c r="AC775" s="8">
        <v>1</v>
      </c>
      <c r="AD775" s="8">
        <v>4</v>
      </c>
      <c r="AE775" s="7" t="s">
        <v>58</v>
      </c>
      <c r="AG775">
        <f t="shared" ca="1" si="36"/>
        <v>6</v>
      </c>
      <c r="AH775" s="23" t="str" cm="1">
        <f t="array" ref="AH775">_xlfn.IFS(E775&gt;49,"50+",E775&gt;39,"40-49",E775&gt;29,"30-39",E775&gt;19,"20-29")</f>
        <v>30-39</v>
      </c>
      <c r="AI775" s="24" t="str" cm="1">
        <f t="array" aca="1" ref="AI775" ca="1">_xlfn.IFS(AG775&gt;10,"10+",AG775&gt;4,"5-10 YIL",AG775&gt;2,"3-5 YIL",AG775&gt;0.9,"1-3 YIL",AG775&lt;1,"0-1 YIL")</f>
        <v>5-10 YIL</v>
      </c>
      <c r="AJ775">
        <f t="shared" si="37"/>
        <v>2020</v>
      </c>
      <c r="AK775" t="e">
        <f t="shared" si="38"/>
        <v>#VALUE!</v>
      </c>
    </row>
    <row r="776" spans="1:37" x14ac:dyDescent="0.3">
      <c r="A776" s="2" t="s">
        <v>1233</v>
      </c>
      <c r="B776" s="3" t="s">
        <v>237</v>
      </c>
      <c r="C776" s="2" t="s">
        <v>48</v>
      </c>
      <c r="D776" s="13">
        <v>29446</v>
      </c>
      <c r="E776" s="4">
        <v>46</v>
      </c>
      <c r="F776" s="2" t="s">
        <v>34</v>
      </c>
      <c r="G776" s="4">
        <v>0</v>
      </c>
      <c r="H776" s="2" t="s">
        <v>35</v>
      </c>
      <c r="I776" s="3" t="s">
        <v>36</v>
      </c>
      <c r="J776" s="3" t="s">
        <v>50</v>
      </c>
      <c r="K776" s="2" t="s">
        <v>51</v>
      </c>
      <c r="L776" s="2" t="s">
        <v>39</v>
      </c>
      <c r="M776" s="3" t="s">
        <v>40</v>
      </c>
      <c r="N776" s="2" t="s">
        <v>89</v>
      </c>
      <c r="O776" s="13">
        <v>44922</v>
      </c>
      <c r="P776" s="2" t="s">
        <v>44</v>
      </c>
      <c r="Q776" s="3" t="s">
        <v>44</v>
      </c>
      <c r="R776" s="2" t="s">
        <v>44</v>
      </c>
      <c r="S776" s="2" t="s">
        <v>56</v>
      </c>
      <c r="T776" s="5">
        <v>38900</v>
      </c>
      <c r="U776" s="5">
        <v>0</v>
      </c>
      <c r="V776" s="4">
        <v>19</v>
      </c>
      <c r="W776" s="4">
        <v>30</v>
      </c>
      <c r="X776" s="2" t="s">
        <v>44</v>
      </c>
      <c r="Y776" s="4">
        <v>0</v>
      </c>
      <c r="Z776" s="4">
        <v>0</v>
      </c>
      <c r="AA776" s="4">
        <v>0</v>
      </c>
      <c r="AB776" s="4">
        <v>0</v>
      </c>
      <c r="AC776" s="4">
        <v>3</v>
      </c>
      <c r="AD776" s="4">
        <v>18</v>
      </c>
      <c r="AE776" s="3" t="s">
        <v>45</v>
      </c>
      <c r="AG776">
        <f t="shared" ca="1" si="36"/>
        <v>3</v>
      </c>
      <c r="AH776" s="23" t="str" cm="1">
        <f t="array" ref="AH776">_xlfn.IFS(E776&gt;49,"50+",E776&gt;39,"40-49",E776&gt;29,"30-39",E776&gt;19,"20-29")</f>
        <v>40-49</v>
      </c>
      <c r="AI776" s="24" t="str" cm="1">
        <f t="array" aca="1" ref="AI776" ca="1">_xlfn.IFS(AG776&gt;10,"10+",AG776&gt;4,"5-10 YIL",AG776&gt;2,"3-5 YIL",AG776&gt;0.9,"1-3 YIL",AG776&lt;1,"0-1 YIL")</f>
        <v>3-5 YIL</v>
      </c>
      <c r="AJ776">
        <f t="shared" si="37"/>
        <v>2022</v>
      </c>
      <c r="AK776" t="e">
        <f t="shared" si="38"/>
        <v>#VALUE!</v>
      </c>
    </row>
    <row r="777" spans="1:37" x14ac:dyDescent="0.3">
      <c r="A777" s="6" t="s">
        <v>1234</v>
      </c>
      <c r="B777" s="7" t="s">
        <v>158</v>
      </c>
      <c r="C777" s="6" t="s">
        <v>48</v>
      </c>
      <c r="D777" s="14">
        <v>27198</v>
      </c>
      <c r="E777" s="8">
        <v>52</v>
      </c>
      <c r="F777" s="6" t="s">
        <v>49</v>
      </c>
      <c r="G777" s="8">
        <v>2</v>
      </c>
      <c r="H777" s="6" t="s">
        <v>184</v>
      </c>
      <c r="I777" s="7" t="s">
        <v>36</v>
      </c>
      <c r="J777" s="7" t="s">
        <v>78</v>
      </c>
      <c r="K777" s="6" t="s">
        <v>79</v>
      </c>
      <c r="L777" s="6" t="s">
        <v>63</v>
      </c>
      <c r="M777" s="7" t="s">
        <v>80</v>
      </c>
      <c r="N777" s="6" t="s">
        <v>41</v>
      </c>
      <c r="O777" s="14">
        <v>43581</v>
      </c>
      <c r="P777" s="6" t="s">
        <v>44</v>
      </c>
      <c r="Q777" s="7" t="s">
        <v>44</v>
      </c>
      <c r="R777" s="6" t="s">
        <v>44</v>
      </c>
      <c r="S777" s="6" t="s">
        <v>56</v>
      </c>
      <c r="T777" s="9">
        <v>101400</v>
      </c>
      <c r="U777" s="9">
        <v>0</v>
      </c>
      <c r="V777" s="8">
        <v>2</v>
      </c>
      <c r="W777" s="8">
        <v>30</v>
      </c>
      <c r="X777" s="6" t="s">
        <v>44</v>
      </c>
      <c r="Y777" s="8">
        <v>0</v>
      </c>
      <c r="Z777" s="8">
        <v>9</v>
      </c>
      <c r="AA777" s="8">
        <v>0</v>
      </c>
      <c r="AB777" s="8">
        <v>0</v>
      </c>
      <c r="AC777" s="8">
        <v>2</v>
      </c>
      <c r="AD777" s="8">
        <v>15</v>
      </c>
      <c r="AE777" s="7" t="s">
        <v>58</v>
      </c>
      <c r="AG777">
        <f t="shared" ca="1" si="36"/>
        <v>7</v>
      </c>
      <c r="AH777" s="23" t="str" cm="1">
        <f t="array" ref="AH777">_xlfn.IFS(E777&gt;49,"50+",E777&gt;39,"40-49",E777&gt;29,"30-39",E777&gt;19,"20-29")</f>
        <v>50+</v>
      </c>
      <c r="AI777" s="24" t="str" cm="1">
        <f t="array" aca="1" ref="AI777" ca="1">_xlfn.IFS(AG777&gt;10,"10+",AG777&gt;4,"5-10 YIL",AG777&gt;2,"3-5 YIL",AG777&gt;0.9,"1-3 YIL",AG777&lt;1,"0-1 YIL")</f>
        <v>5-10 YIL</v>
      </c>
      <c r="AJ777">
        <f t="shared" si="37"/>
        <v>2019</v>
      </c>
      <c r="AK777" t="e">
        <f t="shared" si="38"/>
        <v>#VALUE!</v>
      </c>
    </row>
    <row r="778" spans="1:37" x14ac:dyDescent="0.3">
      <c r="A778" s="2" t="s">
        <v>1235</v>
      </c>
      <c r="B778" s="3" t="s">
        <v>1236</v>
      </c>
      <c r="C778" s="2" t="s">
        <v>33</v>
      </c>
      <c r="D778" s="13">
        <v>33415</v>
      </c>
      <c r="E778" s="4">
        <v>35</v>
      </c>
      <c r="F778" s="2" t="s">
        <v>49</v>
      </c>
      <c r="G778" s="4">
        <v>2</v>
      </c>
      <c r="H778" s="2" t="s">
        <v>35</v>
      </c>
      <c r="I778" s="3" t="s">
        <v>36</v>
      </c>
      <c r="J778" s="3" t="s">
        <v>50</v>
      </c>
      <c r="K778" s="2" t="s">
        <v>51</v>
      </c>
      <c r="L778" s="2" t="s">
        <v>39</v>
      </c>
      <c r="M778" s="3" t="s">
        <v>40</v>
      </c>
      <c r="N778" s="2" t="s">
        <v>41</v>
      </c>
      <c r="O778" s="13">
        <v>45066</v>
      </c>
      <c r="P778" s="13">
        <v>46125</v>
      </c>
      <c r="Q778" s="3" t="s">
        <v>177</v>
      </c>
      <c r="R778" s="2">
        <v>3</v>
      </c>
      <c r="S778" s="2" t="s">
        <v>43</v>
      </c>
      <c r="T778" s="5">
        <v>44900</v>
      </c>
      <c r="U778" s="5">
        <v>0</v>
      </c>
      <c r="V778" s="4">
        <v>26</v>
      </c>
      <c r="W778" s="4">
        <v>30</v>
      </c>
      <c r="X778" s="2" t="s">
        <v>44</v>
      </c>
      <c r="Y778" s="4">
        <v>0</v>
      </c>
      <c r="Z778" s="4">
        <v>3</v>
      </c>
      <c r="AA778" s="4">
        <v>0</v>
      </c>
      <c r="AB778" s="4">
        <v>0</v>
      </c>
      <c r="AC778" s="4">
        <v>4</v>
      </c>
      <c r="AD778" s="4">
        <v>23</v>
      </c>
      <c r="AE778" s="3" t="s">
        <v>45</v>
      </c>
      <c r="AG778">
        <f t="shared" ca="1" si="36"/>
        <v>3</v>
      </c>
      <c r="AH778" s="23" t="str" cm="1">
        <f t="array" ref="AH778">_xlfn.IFS(E778&gt;49,"50+",E778&gt;39,"40-49",E778&gt;29,"30-39",E778&gt;19,"20-29")</f>
        <v>30-39</v>
      </c>
      <c r="AI778" s="24" t="str" cm="1">
        <f t="array" aca="1" ref="AI778" ca="1">_xlfn.IFS(AG778&gt;10,"10+",AG778&gt;4,"5-10 YIL",AG778&gt;2,"3-5 YIL",AG778&gt;0.9,"1-3 YIL",AG778&lt;1,"0-1 YIL")</f>
        <v>3-5 YIL</v>
      </c>
      <c r="AJ778">
        <f t="shared" si="37"/>
        <v>2023</v>
      </c>
      <c r="AK778">
        <f t="shared" si="38"/>
        <v>2026</v>
      </c>
    </row>
    <row r="779" spans="1:37" x14ac:dyDescent="0.3">
      <c r="A779" s="6" t="s">
        <v>1237</v>
      </c>
      <c r="B779" s="7" t="s">
        <v>166</v>
      </c>
      <c r="C779" s="6" t="s">
        <v>48</v>
      </c>
      <c r="D779" s="14">
        <v>36773</v>
      </c>
      <c r="E779" s="8">
        <v>26</v>
      </c>
      <c r="F779" s="6" t="s">
        <v>34</v>
      </c>
      <c r="G779" s="8">
        <v>0</v>
      </c>
      <c r="H779" s="6" t="s">
        <v>35</v>
      </c>
      <c r="I779" s="7" t="s">
        <v>36</v>
      </c>
      <c r="J779" s="7" t="s">
        <v>37</v>
      </c>
      <c r="K779" s="6" t="s">
        <v>38</v>
      </c>
      <c r="L779" s="6" t="s">
        <v>39</v>
      </c>
      <c r="M779" s="7" t="s">
        <v>40</v>
      </c>
      <c r="N779" s="6" t="s">
        <v>67</v>
      </c>
      <c r="O779" s="14">
        <v>45442</v>
      </c>
      <c r="P779" s="6" t="s">
        <v>44</v>
      </c>
      <c r="Q779" s="7" t="s">
        <v>44</v>
      </c>
      <c r="R779" s="6" t="s">
        <v>44</v>
      </c>
      <c r="S779" s="6" t="s">
        <v>56</v>
      </c>
      <c r="T779" s="9">
        <v>27300</v>
      </c>
      <c r="U779" s="9">
        <v>0</v>
      </c>
      <c r="V779" s="8">
        <v>20</v>
      </c>
      <c r="W779" s="8">
        <v>30</v>
      </c>
      <c r="X779" s="6" t="s">
        <v>44</v>
      </c>
      <c r="Y779" s="8">
        <v>0</v>
      </c>
      <c r="Z779" s="8">
        <v>12</v>
      </c>
      <c r="AA779" s="8">
        <v>0</v>
      </c>
      <c r="AB779" s="8">
        <v>0</v>
      </c>
      <c r="AC779" s="8">
        <v>3</v>
      </c>
      <c r="AD779" s="8">
        <v>9</v>
      </c>
      <c r="AE779" s="7" t="s">
        <v>96</v>
      </c>
      <c r="AG779">
        <f t="shared" ca="1" si="36"/>
        <v>2</v>
      </c>
      <c r="AH779" s="23" t="str" cm="1">
        <f t="array" ref="AH779">_xlfn.IFS(E779&gt;49,"50+",E779&gt;39,"40-49",E779&gt;29,"30-39",E779&gt;19,"20-29")</f>
        <v>20-29</v>
      </c>
      <c r="AI779" s="24" t="str" cm="1">
        <f t="array" aca="1" ref="AI779" ca="1">_xlfn.IFS(AG779&gt;10,"10+",AG779&gt;4,"5-10 YIL",AG779&gt;2,"3-5 YIL",AG779&gt;0.9,"1-3 YIL",AG779&lt;1,"0-1 YIL")</f>
        <v>1-3 YIL</v>
      </c>
      <c r="AJ779">
        <f t="shared" si="37"/>
        <v>2024</v>
      </c>
      <c r="AK779" t="e">
        <f t="shared" si="38"/>
        <v>#VALUE!</v>
      </c>
    </row>
    <row r="780" spans="1:37" x14ac:dyDescent="0.3">
      <c r="A780" s="2" t="s">
        <v>1238</v>
      </c>
      <c r="B780" s="3" t="s">
        <v>1227</v>
      </c>
      <c r="C780" s="2" t="s">
        <v>48</v>
      </c>
      <c r="D780" s="13">
        <v>31724</v>
      </c>
      <c r="E780" s="4">
        <v>40</v>
      </c>
      <c r="F780" s="2" t="s">
        <v>34</v>
      </c>
      <c r="G780" s="4">
        <v>0</v>
      </c>
      <c r="H780" s="2" t="s">
        <v>35</v>
      </c>
      <c r="I780" s="3" t="s">
        <v>36</v>
      </c>
      <c r="J780" s="3" t="s">
        <v>78</v>
      </c>
      <c r="K780" s="2" t="s">
        <v>79</v>
      </c>
      <c r="L780" s="2" t="s">
        <v>63</v>
      </c>
      <c r="M780" s="3" t="s">
        <v>80</v>
      </c>
      <c r="N780" s="2" t="s">
        <v>67</v>
      </c>
      <c r="O780" s="13">
        <v>41472</v>
      </c>
      <c r="P780" s="2" t="s">
        <v>44</v>
      </c>
      <c r="Q780" s="3" t="s">
        <v>44</v>
      </c>
      <c r="R780" s="2" t="s">
        <v>44</v>
      </c>
      <c r="S780" s="2" t="s">
        <v>56</v>
      </c>
      <c r="T780" s="5">
        <v>92600</v>
      </c>
      <c r="U780" s="5">
        <v>0</v>
      </c>
      <c r="V780" s="4">
        <v>5</v>
      </c>
      <c r="W780" s="4">
        <v>20</v>
      </c>
      <c r="X780" s="2" t="s">
        <v>57</v>
      </c>
      <c r="Y780" s="4">
        <v>10</v>
      </c>
      <c r="Z780" s="4">
        <v>4</v>
      </c>
      <c r="AA780" s="4">
        <v>0</v>
      </c>
      <c r="AB780" s="4">
        <v>0</v>
      </c>
      <c r="AC780" s="4">
        <v>3</v>
      </c>
      <c r="AD780" s="4">
        <v>18</v>
      </c>
      <c r="AE780" s="3" t="s">
        <v>45</v>
      </c>
      <c r="AG780">
        <f t="shared" ca="1" si="36"/>
        <v>12</v>
      </c>
      <c r="AH780" s="23" t="str" cm="1">
        <f t="array" ref="AH780">_xlfn.IFS(E780&gt;49,"50+",E780&gt;39,"40-49",E780&gt;29,"30-39",E780&gt;19,"20-29")</f>
        <v>40-49</v>
      </c>
      <c r="AI780" s="24" t="str" cm="1">
        <f t="array" aca="1" ref="AI780" ca="1">_xlfn.IFS(AG780&gt;10,"10+",AG780&gt;4,"5-10 YIL",AG780&gt;2,"3-5 YIL",AG780&gt;0.9,"1-3 YIL",AG780&lt;1,"0-1 YIL")</f>
        <v>10+</v>
      </c>
      <c r="AJ780">
        <f t="shared" si="37"/>
        <v>2013</v>
      </c>
      <c r="AK780" t="e">
        <f t="shared" si="38"/>
        <v>#VALUE!</v>
      </c>
    </row>
    <row r="781" spans="1:37" x14ac:dyDescent="0.3">
      <c r="A781" s="6" t="s">
        <v>1239</v>
      </c>
      <c r="B781" s="7" t="s">
        <v>683</v>
      </c>
      <c r="C781" s="6" t="s">
        <v>48</v>
      </c>
      <c r="D781" s="14">
        <v>33058</v>
      </c>
      <c r="E781" s="8">
        <v>36</v>
      </c>
      <c r="F781" s="6" t="s">
        <v>34</v>
      </c>
      <c r="G781" s="8">
        <v>0</v>
      </c>
      <c r="H781" s="6" t="s">
        <v>88</v>
      </c>
      <c r="I781" s="7" t="s">
        <v>139</v>
      </c>
      <c r="J781" s="7" t="s">
        <v>140</v>
      </c>
      <c r="K781" s="6" t="s">
        <v>79</v>
      </c>
      <c r="L781" s="6" t="s">
        <v>63</v>
      </c>
      <c r="M781" s="7" t="s">
        <v>80</v>
      </c>
      <c r="N781" s="6" t="s">
        <v>89</v>
      </c>
      <c r="O781" s="14">
        <v>42484</v>
      </c>
      <c r="P781" s="6" t="s">
        <v>44</v>
      </c>
      <c r="Q781" s="7" t="s">
        <v>44</v>
      </c>
      <c r="R781" s="6" t="s">
        <v>44</v>
      </c>
      <c r="S781" s="6" t="s">
        <v>56</v>
      </c>
      <c r="T781" s="9">
        <v>131100</v>
      </c>
      <c r="U781" s="9">
        <v>0</v>
      </c>
      <c r="V781" s="8">
        <v>9</v>
      </c>
      <c r="W781" s="8">
        <v>30</v>
      </c>
      <c r="X781" s="6" t="s">
        <v>44</v>
      </c>
      <c r="Y781" s="8">
        <v>0</v>
      </c>
      <c r="Z781" s="8">
        <v>2</v>
      </c>
      <c r="AA781" s="8">
        <v>0</v>
      </c>
      <c r="AB781" s="8">
        <v>0</v>
      </c>
      <c r="AC781" s="8">
        <v>3</v>
      </c>
      <c r="AD781" s="8">
        <v>16</v>
      </c>
      <c r="AE781" s="7" t="s">
        <v>45</v>
      </c>
      <c r="AG781">
        <f t="shared" ca="1" si="36"/>
        <v>10</v>
      </c>
      <c r="AH781" s="23" t="str" cm="1">
        <f t="array" ref="AH781">_xlfn.IFS(E781&gt;49,"50+",E781&gt;39,"40-49",E781&gt;29,"30-39",E781&gt;19,"20-29")</f>
        <v>30-39</v>
      </c>
      <c r="AI781" s="24" t="str" cm="1">
        <f t="array" aca="1" ref="AI781" ca="1">_xlfn.IFS(AG781&gt;10,"10+",AG781&gt;4,"5-10 YIL",AG781&gt;2,"3-5 YIL",AG781&gt;0.9,"1-3 YIL",AG781&lt;1,"0-1 YIL")</f>
        <v>5-10 YIL</v>
      </c>
      <c r="AJ781">
        <f t="shared" si="37"/>
        <v>2016</v>
      </c>
      <c r="AK781" t="e">
        <f t="shared" si="38"/>
        <v>#VALUE!</v>
      </c>
    </row>
    <row r="782" spans="1:37" x14ac:dyDescent="0.3">
      <c r="A782" s="2" t="s">
        <v>1240</v>
      </c>
      <c r="B782" s="3" t="s">
        <v>256</v>
      </c>
      <c r="C782" s="2" t="s">
        <v>48</v>
      </c>
      <c r="D782" s="13">
        <v>37947</v>
      </c>
      <c r="E782" s="4">
        <v>23</v>
      </c>
      <c r="F782" s="2" t="s">
        <v>34</v>
      </c>
      <c r="G782" s="4">
        <v>0</v>
      </c>
      <c r="H782" s="2" t="s">
        <v>35</v>
      </c>
      <c r="I782" s="3" t="s">
        <v>148</v>
      </c>
      <c r="J782" s="3" t="s">
        <v>252</v>
      </c>
      <c r="K782" s="2" t="s">
        <v>38</v>
      </c>
      <c r="L782" s="2" t="s">
        <v>63</v>
      </c>
      <c r="M782" s="3" t="s">
        <v>150</v>
      </c>
      <c r="N782" s="2" t="s">
        <v>41</v>
      </c>
      <c r="O782" s="13">
        <v>44930</v>
      </c>
      <c r="P782" s="2" t="s">
        <v>44</v>
      </c>
      <c r="Q782" s="3" t="s">
        <v>44</v>
      </c>
      <c r="R782" s="2" t="s">
        <v>44</v>
      </c>
      <c r="S782" s="2" t="s">
        <v>56</v>
      </c>
      <c r="T782" s="5">
        <v>32900</v>
      </c>
      <c r="U782" s="5">
        <v>1800</v>
      </c>
      <c r="V782" s="4">
        <v>8</v>
      </c>
      <c r="W782" s="4">
        <v>30</v>
      </c>
      <c r="X782" s="2" t="s">
        <v>44</v>
      </c>
      <c r="Y782" s="4">
        <v>0</v>
      </c>
      <c r="Z782" s="4">
        <v>8</v>
      </c>
      <c r="AA782" s="4">
        <v>0</v>
      </c>
      <c r="AB782" s="4">
        <v>0</v>
      </c>
      <c r="AC782" s="4">
        <v>3</v>
      </c>
      <c r="AD782" s="4">
        <v>10</v>
      </c>
      <c r="AE782" s="3" t="s">
        <v>58</v>
      </c>
      <c r="AG782">
        <f t="shared" ca="1" si="36"/>
        <v>3</v>
      </c>
      <c r="AH782" s="23" t="str" cm="1">
        <f t="array" ref="AH782">_xlfn.IFS(E782&gt;49,"50+",E782&gt;39,"40-49",E782&gt;29,"30-39",E782&gt;19,"20-29")</f>
        <v>20-29</v>
      </c>
      <c r="AI782" s="24" t="str" cm="1">
        <f t="array" aca="1" ref="AI782" ca="1">_xlfn.IFS(AG782&gt;10,"10+",AG782&gt;4,"5-10 YIL",AG782&gt;2,"3-5 YIL",AG782&gt;0.9,"1-3 YIL",AG782&lt;1,"0-1 YIL")</f>
        <v>3-5 YIL</v>
      </c>
      <c r="AJ782">
        <f t="shared" si="37"/>
        <v>2023</v>
      </c>
      <c r="AK782" t="e">
        <f t="shared" si="38"/>
        <v>#VALUE!</v>
      </c>
    </row>
    <row r="783" spans="1:37" x14ac:dyDescent="0.3">
      <c r="A783" s="6" t="s">
        <v>1241</v>
      </c>
      <c r="B783" s="7" t="s">
        <v>406</v>
      </c>
      <c r="C783" s="6" t="s">
        <v>48</v>
      </c>
      <c r="D783" s="14">
        <v>36805</v>
      </c>
      <c r="E783" s="8">
        <v>26</v>
      </c>
      <c r="F783" s="6" t="s">
        <v>34</v>
      </c>
      <c r="G783" s="8">
        <v>0</v>
      </c>
      <c r="H783" s="6" t="s">
        <v>35</v>
      </c>
      <c r="I783" s="7" t="s">
        <v>36</v>
      </c>
      <c r="J783" s="7" t="s">
        <v>37</v>
      </c>
      <c r="K783" s="6" t="s">
        <v>38</v>
      </c>
      <c r="L783" s="6" t="s">
        <v>39</v>
      </c>
      <c r="M783" s="7" t="s">
        <v>40</v>
      </c>
      <c r="N783" s="6" t="s">
        <v>41</v>
      </c>
      <c r="O783" s="14">
        <v>45519</v>
      </c>
      <c r="P783" s="6" t="s">
        <v>44</v>
      </c>
      <c r="Q783" s="7" t="s">
        <v>44</v>
      </c>
      <c r="R783" s="6" t="s">
        <v>44</v>
      </c>
      <c r="S783" s="6" t="s">
        <v>56</v>
      </c>
      <c r="T783" s="9">
        <v>28400</v>
      </c>
      <c r="U783" s="9">
        <v>0</v>
      </c>
      <c r="V783" s="8">
        <v>22</v>
      </c>
      <c r="W783" s="8">
        <v>30</v>
      </c>
      <c r="X783" s="6" t="s">
        <v>44</v>
      </c>
      <c r="Y783" s="8">
        <v>0</v>
      </c>
      <c r="Z783" s="8">
        <v>9</v>
      </c>
      <c r="AA783" s="8">
        <v>0</v>
      </c>
      <c r="AB783" s="8">
        <v>0</v>
      </c>
      <c r="AC783" s="8">
        <v>3</v>
      </c>
      <c r="AD783" s="8">
        <v>15</v>
      </c>
      <c r="AE783" s="7" t="s">
        <v>58</v>
      </c>
      <c r="AG783">
        <f t="shared" ca="1" si="36"/>
        <v>1</v>
      </c>
      <c r="AH783" s="23" t="str" cm="1">
        <f t="array" ref="AH783">_xlfn.IFS(E783&gt;49,"50+",E783&gt;39,"40-49",E783&gt;29,"30-39",E783&gt;19,"20-29")</f>
        <v>20-29</v>
      </c>
      <c r="AI783" s="24" t="str" cm="1">
        <f t="array" aca="1" ref="AI783" ca="1">_xlfn.IFS(AG783&gt;10,"10+",AG783&gt;4,"5-10 YIL",AG783&gt;2,"3-5 YIL",AG783&gt;0.9,"1-3 YIL",AG783&lt;1,"0-1 YIL")</f>
        <v>1-3 YIL</v>
      </c>
      <c r="AJ783">
        <f t="shared" si="37"/>
        <v>2024</v>
      </c>
      <c r="AK783" t="e">
        <f t="shared" si="38"/>
        <v>#VALUE!</v>
      </c>
    </row>
    <row r="784" spans="1:37" x14ac:dyDescent="0.3">
      <c r="A784" s="2" t="s">
        <v>1242</v>
      </c>
      <c r="B784" s="3" t="s">
        <v>1243</v>
      </c>
      <c r="C784" s="2" t="s">
        <v>33</v>
      </c>
      <c r="D784" s="13">
        <v>32974</v>
      </c>
      <c r="E784" s="4">
        <v>36</v>
      </c>
      <c r="F784" s="2" t="s">
        <v>34</v>
      </c>
      <c r="G784" s="4">
        <v>0</v>
      </c>
      <c r="H784" s="2" t="s">
        <v>35</v>
      </c>
      <c r="I784" s="3" t="s">
        <v>61</v>
      </c>
      <c r="J784" s="3" t="s">
        <v>124</v>
      </c>
      <c r="K784" s="2" t="s">
        <v>79</v>
      </c>
      <c r="L784" s="2" t="s">
        <v>63</v>
      </c>
      <c r="M784" s="3" t="s">
        <v>80</v>
      </c>
      <c r="N784" s="2" t="s">
        <v>41</v>
      </c>
      <c r="O784" s="13">
        <v>40495</v>
      </c>
      <c r="P784" s="2" t="s">
        <v>44</v>
      </c>
      <c r="Q784" s="3" t="s">
        <v>44</v>
      </c>
      <c r="R784" s="2" t="s">
        <v>44</v>
      </c>
      <c r="S784" s="2" t="s">
        <v>56</v>
      </c>
      <c r="T784" s="5">
        <v>116900</v>
      </c>
      <c r="U784" s="5">
        <v>33200</v>
      </c>
      <c r="V784" s="4">
        <v>3</v>
      </c>
      <c r="W784" s="4">
        <v>30</v>
      </c>
      <c r="X784" s="2" t="s">
        <v>44</v>
      </c>
      <c r="Y784" s="4">
        <v>0</v>
      </c>
      <c r="Z784" s="4">
        <v>9</v>
      </c>
      <c r="AA784" s="4">
        <v>0</v>
      </c>
      <c r="AB784" s="4">
        <v>0</v>
      </c>
      <c r="AC784" s="4">
        <v>3</v>
      </c>
      <c r="AD784" s="4">
        <v>17</v>
      </c>
      <c r="AE784" s="3" t="s">
        <v>58</v>
      </c>
      <c r="AG784">
        <f t="shared" ca="1" si="36"/>
        <v>15</v>
      </c>
      <c r="AH784" s="23" t="str" cm="1">
        <f t="array" ref="AH784">_xlfn.IFS(E784&gt;49,"50+",E784&gt;39,"40-49",E784&gt;29,"30-39",E784&gt;19,"20-29")</f>
        <v>30-39</v>
      </c>
      <c r="AI784" s="24" t="str" cm="1">
        <f t="array" aca="1" ref="AI784" ca="1">_xlfn.IFS(AG784&gt;10,"10+",AG784&gt;4,"5-10 YIL",AG784&gt;2,"3-5 YIL",AG784&gt;0.9,"1-3 YIL",AG784&lt;1,"0-1 YIL")</f>
        <v>10+</v>
      </c>
      <c r="AJ784">
        <f t="shared" si="37"/>
        <v>2010</v>
      </c>
      <c r="AK784" t="e">
        <f t="shared" si="38"/>
        <v>#VALUE!</v>
      </c>
    </row>
    <row r="785" spans="1:37" x14ac:dyDescent="0.3">
      <c r="A785" s="6" t="s">
        <v>1244</v>
      </c>
      <c r="B785" s="7" t="s">
        <v>582</v>
      </c>
      <c r="C785" s="6" t="s">
        <v>48</v>
      </c>
      <c r="D785" s="14">
        <v>30523</v>
      </c>
      <c r="E785" s="8">
        <v>43</v>
      </c>
      <c r="F785" s="6" t="s">
        <v>34</v>
      </c>
      <c r="G785" s="8">
        <v>0</v>
      </c>
      <c r="H785" s="6" t="s">
        <v>35</v>
      </c>
      <c r="I785" s="7" t="s">
        <v>61</v>
      </c>
      <c r="J785" s="7" t="s">
        <v>107</v>
      </c>
      <c r="K785" s="6" t="s">
        <v>51</v>
      </c>
      <c r="L785" s="6" t="s">
        <v>63</v>
      </c>
      <c r="M785" s="7" t="s">
        <v>64</v>
      </c>
      <c r="N785" s="6" t="s">
        <v>41</v>
      </c>
      <c r="O785" s="14">
        <v>42786</v>
      </c>
      <c r="P785" s="6" t="s">
        <v>44</v>
      </c>
      <c r="Q785" s="7" t="s">
        <v>44</v>
      </c>
      <c r="R785" s="6" t="s">
        <v>44</v>
      </c>
      <c r="S785" s="6" t="s">
        <v>56</v>
      </c>
      <c r="T785" s="9">
        <v>61700</v>
      </c>
      <c r="U785" s="9">
        <v>19200</v>
      </c>
      <c r="V785" s="8">
        <v>5</v>
      </c>
      <c r="W785" s="8">
        <v>29</v>
      </c>
      <c r="X785" s="6" t="s">
        <v>57</v>
      </c>
      <c r="Y785" s="8">
        <v>1</v>
      </c>
      <c r="Z785" s="8">
        <v>9</v>
      </c>
      <c r="AA785" s="8">
        <v>0</v>
      </c>
      <c r="AB785" s="8">
        <v>0</v>
      </c>
      <c r="AC785" s="8">
        <v>3</v>
      </c>
      <c r="AD785" s="8">
        <v>19</v>
      </c>
      <c r="AE785" s="7" t="s">
        <v>45</v>
      </c>
      <c r="AG785">
        <f t="shared" ca="1" si="36"/>
        <v>9</v>
      </c>
      <c r="AH785" s="23" t="str" cm="1">
        <f t="array" ref="AH785">_xlfn.IFS(E785&gt;49,"50+",E785&gt;39,"40-49",E785&gt;29,"30-39",E785&gt;19,"20-29")</f>
        <v>40-49</v>
      </c>
      <c r="AI785" s="24" t="str" cm="1">
        <f t="array" aca="1" ref="AI785" ca="1">_xlfn.IFS(AG785&gt;10,"10+",AG785&gt;4,"5-10 YIL",AG785&gt;2,"3-5 YIL",AG785&gt;0.9,"1-3 YIL",AG785&lt;1,"0-1 YIL")</f>
        <v>5-10 YIL</v>
      </c>
      <c r="AJ785">
        <f t="shared" si="37"/>
        <v>2017</v>
      </c>
      <c r="AK785" t="e">
        <f t="shared" si="38"/>
        <v>#VALUE!</v>
      </c>
    </row>
    <row r="786" spans="1:37" x14ac:dyDescent="0.3">
      <c r="A786" s="2" t="s">
        <v>1245</v>
      </c>
      <c r="B786" s="3" t="s">
        <v>495</v>
      </c>
      <c r="C786" s="2" t="s">
        <v>48</v>
      </c>
      <c r="D786" s="13">
        <v>31207</v>
      </c>
      <c r="E786" s="4">
        <v>41</v>
      </c>
      <c r="F786" s="2" t="s">
        <v>49</v>
      </c>
      <c r="G786" s="4">
        <v>0</v>
      </c>
      <c r="H786" s="2" t="s">
        <v>184</v>
      </c>
      <c r="I786" s="3" t="s">
        <v>61</v>
      </c>
      <c r="J786" s="3" t="s">
        <v>107</v>
      </c>
      <c r="K786" s="2" t="s">
        <v>51</v>
      </c>
      <c r="L786" s="2" t="s">
        <v>63</v>
      </c>
      <c r="M786" s="3" t="s">
        <v>64</v>
      </c>
      <c r="N786" s="2" t="s">
        <v>41</v>
      </c>
      <c r="O786" s="13">
        <v>43456</v>
      </c>
      <c r="P786" s="2" t="s">
        <v>44</v>
      </c>
      <c r="Q786" s="3" t="s">
        <v>44</v>
      </c>
      <c r="R786" s="2" t="s">
        <v>44</v>
      </c>
      <c r="S786" s="2" t="s">
        <v>56</v>
      </c>
      <c r="T786" s="5">
        <v>58400</v>
      </c>
      <c r="U786" s="5">
        <v>0</v>
      </c>
      <c r="V786" s="4">
        <v>5</v>
      </c>
      <c r="W786" s="4">
        <v>30</v>
      </c>
      <c r="X786" s="2" t="s">
        <v>44</v>
      </c>
      <c r="Y786" s="4">
        <v>0</v>
      </c>
      <c r="Z786" s="4">
        <v>4</v>
      </c>
      <c r="AA786" s="4">
        <v>0</v>
      </c>
      <c r="AB786" s="4">
        <v>0</v>
      </c>
      <c r="AC786" s="4">
        <v>3</v>
      </c>
      <c r="AD786" s="4">
        <v>12</v>
      </c>
      <c r="AE786" s="3" t="s">
        <v>58</v>
      </c>
      <c r="AG786">
        <f t="shared" ca="1" si="36"/>
        <v>7</v>
      </c>
      <c r="AH786" s="23" t="str" cm="1">
        <f t="array" ref="AH786">_xlfn.IFS(E786&gt;49,"50+",E786&gt;39,"40-49",E786&gt;29,"30-39",E786&gt;19,"20-29")</f>
        <v>40-49</v>
      </c>
      <c r="AI786" s="24" t="str" cm="1">
        <f t="array" aca="1" ref="AI786" ca="1">_xlfn.IFS(AG786&gt;10,"10+",AG786&gt;4,"5-10 YIL",AG786&gt;2,"3-5 YIL",AG786&gt;0.9,"1-3 YIL",AG786&lt;1,"0-1 YIL")</f>
        <v>5-10 YIL</v>
      </c>
      <c r="AJ786">
        <f t="shared" si="37"/>
        <v>2018</v>
      </c>
      <c r="AK786" t="e">
        <f t="shared" si="38"/>
        <v>#VALUE!</v>
      </c>
    </row>
    <row r="787" spans="1:37" x14ac:dyDescent="0.3">
      <c r="A787" s="6" t="s">
        <v>1246</v>
      </c>
      <c r="B787" s="7" t="s">
        <v>1247</v>
      </c>
      <c r="C787" s="6" t="s">
        <v>48</v>
      </c>
      <c r="D787" s="14">
        <v>37775</v>
      </c>
      <c r="E787" s="8">
        <v>23</v>
      </c>
      <c r="F787" s="6" t="s">
        <v>49</v>
      </c>
      <c r="G787" s="8">
        <v>1</v>
      </c>
      <c r="H787" s="6" t="s">
        <v>35</v>
      </c>
      <c r="I787" s="7" t="s">
        <v>36</v>
      </c>
      <c r="J787" s="7" t="s">
        <v>37</v>
      </c>
      <c r="K787" s="6" t="s">
        <v>38</v>
      </c>
      <c r="L787" s="6" t="s">
        <v>39</v>
      </c>
      <c r="M787" s="7" t="s">
        <v>40</v>
      </c>
      <c r="N787" s="6" t="s">
        <v>41</v>
      </c>
      <c r="O787" s="14">
        <v>45842</v>
      </c>
      <c r="P787" s="6" t="s">
        <v>44</v>
      </c>
      <c r="Q787" s="7" t="s">
        <v>44</v>
      </c>
      <c r="R787" s="6" t="s">
        <v>44</v>
      </c>
      <c r="S787" s="6" t="s">
        <v>56</v>
      </c>
      <c r="T787" s="9">
        <v>24000</v>
      </c>
      <c r="U787" s="9">
        <v>0</v>
      </c>
      <c r="V787" s="8">
        <v>16</v>
      </c>
      <c r="W787" s="8">
        <v>30</v>
      </c>
      <c r="X787" s="6" t="s">
        <v>44</v>
      </c>
      <c r="Y787" s="8">
        <v>0</v>
      </c>
      <c r="Z787" s="8">
        <v>0</v>
      </c>
      <c r="AA787" s="8">
        <v>0</v>
      </c>
      <c r="AB787" s="8">
        <v>0</v>
      </c>
      <c r="AC787" s="8">
        <v>4</v>
      </c>
      <c r="AD787" s="8">
        <v>23</v>
      </c>
      <c r="AE787" s="7" t="s">
        <v>58</v>
      </c>
      <c r="AG787">
        <f t="shared" ca="1" si="36"/>
        <v>0</v>
      </c>
      <c r="AH787" s="23" t="str" cm="1">
        <f t="array" ref="AH787">_xlfn.IFS(E787&gt;49,"50+",E787&gt;39,"40-49",E787&gt;29,"30-39",E787&gt;19,"20-29")</f>
        <v>20-29</v>
      </c>
      <c r="AI787" s="24" t="str" cm="1">
        <f t="array" aca="1" ref="AI787" ca="1">_xlfn.IFS(AG787&gt;10,"10+",AG787&gt;4,"5-10 YIL",AG787&gt;2,"3-5 YIL",AG787&gt;0.9,"1-3 YIL",AG787&lt;1,"0-1 YIL")</f>
        <v>0-1 YIL</v>
      </c>
      <c r="AJ787">
        <f t="shared" si="37"/>
        <v>2025</v>
      </c>
      <c r="AK787" t="e">
        <f t="shared" si="38"/>
        <v>#VALUE!</v>
      </c>
    </row>
    <row r="788" spans="1:37" x14ac:dyDescent="0.3">
      <c r="A788" s="2" t="s">
        <v>1248</v>
      </c>
      <c r="B788" s="3" t="s">
        <v>179</v>
      </c>
      <c r="C788" s="2" t="s">
        <v>48</v>
      </c>
      <c r="D788" s="13">
        <v>29499</v>
      </c>
      <c r="E788" s="4">
        <v>46</v>
      </c>
      <c r="F788" s="2" t="s">
        <v>49</v>
      </c>
      <c r="G788" s="4">
        <v>2</v>
      </c>
      <c r="H788" s="2" t="s">
        <v>35</v>
      </c>
      <c r="I788" s="3" t="s">
        <v>139</v>
      </c>
      <c r="J788" s="3" t="s">
        <v>161</v>
      </c>
      <c r="K788" s="2" t="s">
        <v>51</v>
      </c>
      <c r="L788" s="2" t="s">
        <v>63</v>
      </c>
      <c r="M788" s="3" t="s">
        <v>162</v>
      </c>
      <c r="N788" s="2" t="s">
        <v>41</v>
      </c>
      <c r="O788" s="13">
        <v>44984</v>
      </c>
      <c r="P788" s="2" t="s">
        <v>44</v>
      </c>
      <c r="Q788" s="3" t="s">
        <v>44</v>
      </c>
      <c r="R788" s="2" t="s">
        <v>44</v>
      </c>
      <c r="S788" s="2" t="s">
        <v>56</v>
      </c>
      <c r="T788" s="5">
        <v>78500</v>
      </c>
      <c r="U788" s="5">
        <v>8100</v>
      </c>
      <c r="V788" s="4">
        <v>1</v>
      </c>
      <c r="W788" s="4">
        <v>30</v>
      </c>
      <c r="X788" s="2" t="s">
        <v>44</v>
      </c>
      <c r="Y788" s="4">
        <v>0</v>
      </c>
      <c r="Z788" s="4">
        <v>4</v>
      </c>
      <c r="AA788" s="4">
        <v>0</v>
      </c>
      <c r="AB788" s="4">
        <v>0</v>
      </c>
      <c r="AC788" s="4">
        <v>3</v>
      </c>
      <c r="AD788" s="4">
        <v>11</v>
      </c>
      <c r="AE788" s="3" t="s">
        <v>58</v>
      </c>
      <c r="AG788">
        <f t="shared" ca="1" si="36"/>
        <v>3</v>
      </c>
      <c r="AH788" s="23" t="str" cm="1">
        <f t="array" ref="AH788">_xlfn.IFS(E788&gt;49,"50+",E788&gt;39,"40-49",E788&gt;29,"30-39",E788&gt;19,"20-29")</f>
        <v>40-49</v>
      </c>
      <c r="AI788" s="24" t="str" cm="1">
        <f t="array" aca="1" ref="AI788" ca="1">_xlfn.IFS(AG788&gt;10,"10+",AG788&gt;4,"5-10 YIL",AG788&gt;2,"3-5 YIL",AG788&gt;0.9,"1-3 YIL",AG788&lt;1,"0-1 YIL")</f>
        <v>3-5 YIL</v>
      </c>
      <c r="AJ788">
        <f t="shared" si="37"/>
        <v>2023</v>
      </c>
      <c r="AK788" t="e">
        <f t="shared" si="38"/>
        <v>#VALUE!</v>
      </c>
    </row>
    <row r="789" spans="1:37" x14ac:dyDescent="0.3">
      <c r="A789" s="6" t="s">
        <v>1249</v>
      </c>
      <c r="B789" s="7" t="s">
        <v>555</v>
      </c>
      <c r="C789" s="6" t="s">
        <v>48</v>
      </c>
      <c r="D789" s="14">
        <v>28968</v>
      </c>
      <c r="E789" s="8">
        <v>47</v>
      </c>
      <c r="F789" s="6" t="s">
        <v>49</v>
      </c>
      <c r="G789" s="8">
        <v>1</v>
      </c>
      <c r="H789" s="6" t="s">
        <v>35</v>
      </c>
      <c r="I789" s="7" t="s">
        <v>148</v>
      </c>
      <c r="J789" s="7" t="s">
        <v>149</v>
      </c>
      <c r="K789" s="6" t="s">
        <v>51</v>
      </c>
      <c r="L789" s="6" t="s">
        <v>63</v>
      </c>
      <c r="M789" s="7" t="s">
        <v>150</v>
      </c>
      <c r="N789" s="6" t="s">
        <v>41</v>
      </c>
      <c r="O789" s="14">
        <v>43432</v>
      </c>
      <c r="P789" s="6" t="s">
        <v>44</v>
      </c>
      <c r="Q789" s="7" t="s">
        <v>44</v>
      </c>
      <c r="R789" s="6" t="s">
        <v>44</v>
      </c>
      <c r="S789" s="6" t="s">
        <v>56</v>
      </c>
      <c r="T789" s="9">
        <v>56700</v>
      </c>
      <c r="U789" s="9">
        <v>0</v>
      </c>
      <c r="V789" s="8">
        <v>7</v>
      </c>
      <c r="W789" s="8">
        <v>28</v>
      </c>
      <c r="X789" s="6" t="s">
        <v>57</v>
      </c>
      <c r="Y789" s="8">
        <v>2</v>
      </c>
      <c r="Z789" s="8">
        <v>7</v>
      </c>
      <c r="AA789" s="8">
        <v>0</v>
      </c>
      <c r="AB789" s="8">
        <v>0</v>
      </c>
      <c r="AC789" s="8">
        <v>3</v>
      </c>
      <c r="AD789" s="8">
        <v>18</v>
      </c>
      <c r="AE789" s="7" t="s">
        <v>73</v>
      </c>
      <c r="AG789">
        <f t="shared" ca="1" si="36"/>
        <v>7</v>
      </c>
      <c r="AH789" s="23" t="str" cm="1">
        <f t="array" ref="AH789">_xlfn.IFS(E789&gt;49,"50+",E789&gt;39,"40-49",E789&gt;29,"30-39",E789&gt;19,"20-29")</f>
        <v>40-49</v>
      </c>
      <c r="AI789" s="24" t="str" cm="1">
        <f t="array" aca="1" ref="AI789" ca="1">_xlfn.IFS(AG789&gt;10,"10+",AG789&gt;4,"5-10 YIL",AG789&gt;2,"3-5 YIL",AG789&gt;0.9,"1-3 YIL",AG789&lt;1,"0-1 YIL")</f>
        <v>5-10 YIL</v>
      </c>
      <c r="AJ789">
        <f t="shared" si="37"/>
        <v>2018</v>
      </c>
      <c r="AK789" t="e">
        <f t="shared" si="38"/>
        <v>#VALUE!</v>
      </c>
    </row>
    <row r="790" spans="1:37" x14ac:dyDescent="0.3">
      <c r="A790" s="2" t="s">
        <v>1250</v>
      </c>
      <c r="B790" s="3" t="s">
        <v>232</v>
      </c>
      <c r="C790" s="2" t="s">
        <v>33</v>
      </c>
      <c r="D790" s="13">
        <v>32319</v>
      </c>
      <c r="E790" s="4">
        <v>38</v>
      </c>
      <c r="F790" s="2" t="s">
        <v>34</v>
      </c>
      <c r="G790" s="4">
        <v>0</v>
      </c>
      <c r="H790" s="2" t="s">
        <v>35</v>
      </c>
      <c r="I790" s="3" t="s">
        <v>36</v>
      </c>
      <c r="J790" s="3" t="s">
        <v>78</v>
      </c>
      <c r="K790" s="2" t="s">
        <v>79</v>
      </c>
      <c r="L790" s="2" t="s">
        <v>63</v>
      </c>
      <c r="M790" s="3" t="s">
        <v>80</v>
      </c>
      <c r="N790" s="2" t="s">
        <v>67</v>
      </c>
      <c r="O790" s="13">
        <v>41216</v>
      </c>
      <c r="P790" s="2" t="s">
        <v>44</v>
      </c>
      <c r="Q790" s="3" t="s">
        <v>44</v>
      </c>
      <c r="R790" s="2" t="s">
        <v>44</v>
      </c>
      <c r="S790" s="2" t="s">
        <v>56</v>
      </c>
      <c r="T790" s="5">
        <v>107200</v>
      </c>
      <c r="U790" s="5">
        <v>0</v>
      </c>
      <c r="V790" s="4">
        <v>2</v>
      </c>
      <c r="W790" s="4">
        <v>30</v>
      </c>
      <c r="X790" s="2" t="s">
        <v>44</v>
      </c>
      <c r="Y790" s="4">
        <v>0</v>
      </c>
      <c r="Z790" s="4">
        <v>0</v>
      </c>
      <c r="AA790" s="4">
        <v>0</v>
      </c>
      <c r="AB790" s="4">
        <v>0</v>
      </c>
      <c r="AC790" s="4">
        <v>3</v>
      </c>
      <c r="AD790" s="4">
        <v>10</v>
      </c>
      <c r="AE790" s="3" t="s">
        <v>82</v>
      </c>
      <c r="AG790">
        <f t="shared" ca="1" si="36"/>
        <v>13</v>
      </c>
      <c r="AH790" s="23" t="str" cm="1">
        <f t="array" ref="AH790">_xlfn.IFS(E790&gt;49,"50+",E790&gt;39,"40-49",E790&gt;29,"30-39",E790&gt;19,"20-29")</f>
        <v>30-39</v>
      </c>
      <c r="AI790" s="24" t="str" cm="1">
        <f t="array" aca="1" ref="AI790" ca="1">_xlfn.IFS(AG790&gt;10,"10+",AG790&gt;4,"5-10 YIL",AG790&gt;2,"3-5 YIL",AG790&gt;0.9,"1-3 YIL",AG790&lt;1,"0-1 YIL")</f>
        <v>10+</v>
      </c>
      <c r="AJ790">
        <f t="shared" si="37"/>
        <v>2012</v>
      </c>
      <c r="AK790" t="e">
        <f t="shared" si="38"/>
        <v>#VALUE!</v>
      </c>
    </row>
    <row r="791" spans="1:37" x14ac:dyDescent="0.3">
      <c r="A791" s="6" t="s">
        <v>1251</v>
      </c>
      <c r="B791" s="7" t="s">
        <v>435</v>
      </c>
      <c r="C791" s="6" t="s">
        <v>48</v>
      </c>
      <c r="D791" s="14">
        <v>36727</v>
      </c>
      <c r="E791" s="8">
        <v>26</v>
      </c>
      <c r="F791" s="6" t="s">
        <v>49</v>
      </c>
      <c r="G791" s="8">
        <v>1</v>
      </c>
      <c r="H791" s="6" t="s">
        <v>85</v>
      </c>
      <c r="I791" s="7" t="s">
        <v>70</v>
      </c>
      <c r="J791" s="7" t="s">
        <v>92</v>
      </c>
      <c r="K791" s="6" t="s">
        <v>38</v>
      </c>
      <c r="L791" s="6" t="s">
        <v>63</v>
      </c>
      <c r="M791" s="7" t="s">
        <v>72</v>
      </c>
      <c r="N791" s="6" t="s">
        <v>95</v>
      </c>
      <c r="O791" s="14">
        <v>44877</v>
      </c>
      <c r="P791" s="6" t="s">
        <v>44</v>
      </c>
      <c r="Q791" s="7" t="s">
        <v>44</v>
      </c>
      <c r="R791" s="6" t="s">
        <v>44</v>
      </c>
      <c r="S791" s="6" t="s">
        <v>56</v>
      </c>
      <c r="T791" s="9">
        <v>35500</v>
      </c>
      <c r="U791" s="9">
        <v>0</v>
      </c>
      <c r="V791" s="8">
        <v>5</v>
      </c>
      <c r="W791" s="8">
        <v>30</v>
      </c>
      <c r="X791" s="6" t="s">
        <v>44</v>
      </c>
      <c r="Y791" s="8">
        <v>0</v>
      </c>
      <c r="Z791" s="8">
        <v>10</v>
      </c>
      <c r="AA791" s="8">
        <v>0</v>
      </c>
      <c r="AB791" s="8">
        <v>0</v>
      </c>
      <c r="AC791" s="8">
        <v>4</v>
      </c>
      <c r="AD791" s="8">
        <v>13</v>
      </c>
      <c r="AE791" s="7" t="s">
        <v>58</v>
      </c>
      <c r="AG791">
        <f t="shared" ca="1" si="36"/>
        <v>3</v>
      </c>
      <c r="AH791" s="23" t="str" cm="1">
        <f t="array" ref="AH791">_xlfn.IFS(E791&gt;49,"50+",E791&gt;39,"40-49",E791&gt;29,"30-39",E791&gt;19,"20-29")</f>
        <v>20-29</v>
      </c>
      <c r="AI791" s="24" t="str" cm="1">
        <f t="array" aca="1" ref="AI791" ca="1">_xlfn.IFS(AG791&gt;10,"10+",AG791&gt;4,"5-10 YIL",AG791&gt;2,"3-5 YIL",AG791&gt;0.9,"1-3 YIL",AG791&lt;1,"0-1 YIL")</f>
        <v>3-5 YIL</v>
      </c>
      <c r="AJ791">
        <f t="shared" si="37"/>
        <v>2022</v>
      </c>
      <c r="AK791" t="e">
        <f t="shared" si="38"/>
        <v>#VALUE!</v>
      </c>
    </row>
    <row r="792" spans="1:37" x14ac:dyDescent="0.3">
      <c r="A792" s="2" t="s">
        <v>1252</v>
      </c>
      <c r="B792" s="3" t="s">
        <v>713</v>
      </c>
      <c r="C792" s="2" t="s">
        <v>48</v>
      </c>
      <c r="D792" s="13">
        <v>36743</v>
      </c>
      <c r="E792" s="4">
        <v>26</v>
      </c>
      <c r="F792" s="2" t="s">
        <v>49</v>
      </c>
      <c r="G792" s="4">
        <v>3</v>
      </c>
      <c r="H792" s="2" t="s">
        <v>35</v>
      </c>
      <c r="I792" s="3" t="s">
        <v>36</v>
      </c>
      <c r="J792" s="3" t="s">
        <v>37</v>
      </c>
      <c r="K792" s="2" t="s">
        <v>38</v>
      </c>
      <c r="L792" s="2" t="s">
        <v>39</v>
      </c>
      <c r="M792" s="3" t="s">
        <v>40</v>
      </c>
      <c r="N792" s="2" t="s">
        <v>41</v>
      </c>
      <c r="O792" s="13">
        <v>45416</v>
      </c>
      <c r="P792" s="2" t="s">
        <v>44</v>
      </c>
      <c r="Q792" s="3" t="s">
        <v>44</v>
      </c>
      <c r="R792" s="2" t="s">
        <v>44</v>
      </c>
      <c r="S792" s="2" t="s">
        <v>56</v>
      </c>
      <c r="T792" s="5">
        <v>24900</v>
      </c>
      <c r="U792" s="5">
        <v>0</v>
      </c>
      <c r="V792" s="4">
        <v>20</v>
      </c>
      <c r="W792" s="4">
        <v>28</v>
      </c>
      <c r="X792" s="2" t="s">
        <v>57</v>
      </c>
      <c r="Y792" s="4">
        <v>2</v>
      </c>
      <c r="Z792" s="4">
        <v>14</v>
      </c>
      <c r="AA792" s="4">
        <v>0</v>
      </c>
      <c r="AB792" s="4">
        <v>0</v>
      </c>
      <c r="AC792" s="4">
        <v>3</v>
      </c>
      <c r="AD792" s="4">
        <v>8</v>
      </c>
      <c r="AE792" s="3" t="s">
        <v>58</v>
      </c>
      <c r="AG792">
        <f t="shared" ca="1" si="36"/>
        <v>2</v>
      </c>
      <c r="AH792" s="23" t="str" cm="1">
        <f t="array" ref="AH792">_xlfn.IFS(E792&gt;49,"50+",E792&gt;39,"40-49",E792&gt;29,"30-39",E792&gt;19,"20-29")</f>
        <v>20-29</v>
      </c>
      <c r="AI792" s="24" t="str" cm="1">
        <f t="array" aca="1" ref="AI792" ca="1">_xlfn.IFS(AG792&gt;10,"10+",AG792&gt;4,"5-10 YIL",AG792&gt;2,"3-5 YIL",AG792&gt;0.9,"1-3 YIL",AG792&lt;1,"0-1 YIL")</f>
        <v>1-3 YIL</v>
      </c>
      <c r="AJ792">
        <f t="shared" si="37"/>
        <v>2024</v>
      </c>
      <c r="AK792" t="e">
        <f t="shared" si="38"/>
        <v>#VALUE!</v>
      </c>
    </row>
    <row r="793" spans="1:37" x14ac:dyDescent="0.3">
      <c r="A793" s="6" t="s">
        <v>1253</v>
      </c>
      <c r="B793" s="7" t="s">
        <v>1254</v>
      </c>
      <c r="C793" s="6" t="s">
        <v>33</v>
      </c>
      <c r="D793" s="14">
        <v>37906</v>
      </c>
      <c r="E793" s="8">
        <v>23</v>
      </c>
      <c r="F793" s="6" t="s">
        <v>34</v>
      </c>
      <c r="G793" s="8">
        <v>0</v>
      </c>
      <c r="H793" s="6" t="s">
        <v>35</v>
      </c>
      <c r="I793" s="7" t="s">
        <v>36</v>
      </c>
      <c r="J793" s="7" t="s">
        <v>37</v>
      </c>
      <c r="K793" s="6" t="s">
        <v>38</v>
      </c>
      <c r="L793" s="6" t="s">
        <v>39</v>
      </c>
      <c r="M793" s="7" t="s">
        <v>40</v>
      </c>
      <c r="N793" s="6" t="s">
        <v>41</v>
      </c>
      <c r="O793" s="14">
        <v>45502</v>
      </c>
      <c r="P793" s="6" t="s">
        <v>44</v>
      </c>
      <c r="Q793" s="7" t="s">
        <v>44</v>
      </c>
      <c r="R793" s="6" t="s">
        <v>44</v>
      </c>
      <c r="S793" s="6" t="s">
        <v>56</v>
      </c>
      <c r="T793" s="9">
        <v>25300</v>
      </c>
      <c r="U793" s="9">
        <v>0</v>
      </c>
      <c r="V793" s="8">
        <v>29</v>
      </c>
      <c r="W793" s="8">
        <v>30</v>
      </c>
      <c r="X793" s="6" t="s">
        <v>44</v>
      </c>
      <c r="Y793" s="8">
        <v>0</v>
      </c>
      <c r="Z793" s="8">
        <v>1</v>
      </c>
      <c r="AA793" s="8">
        <v>0</v>
      </c>
      <c r="AB793" s="8">
        <v>0</v>
      </c>
      <c r="AC793" s="8">
        <v>3</v>
      </c>
      <c r="AD793" s="8">
        <v>9</v>
      </c>
      <c r="AE793" s="7" t="s">
        <v>45</v>
      </c>
      <c r="AG793">
        <f t="shared" ca="1" si="36"/>
        <v>1</v>
      </c>
      <c r="AH793" s="23" t="str" cm="1">
        <f t="array" ref="AH793">_xlfn.IFS(E793&gt;49,"50+",E793&gt;39,"40-49",E793&gt;29,"30-39",E793&gt;19,"20-29")</f>
        <v>20-29</v>
      </c>
      <c r="AI793" s="24" t="str" cm="1">
        <f t="array" aca="1" ref="AI793" ca="1">_xlfn.IFS(AG793&gt;10,"10+",AG793&gt;4,"5-10 YIL",AG793&gt;2,"3-5 YIL",AG793&gt;0.9,"1-3 YIL",AG793&lt;1,"0-1 YIL")</f>
        <v>1-3 YIL</v>
      </c>
      <c r="AJ793">
        <f t="shared" si="37"/>
        <v>2024</v>
      </c>
      <c r="AK793" t="e">
        <f t="shared" si="38"/>
        <v>#VALUE!</v>
      </c>
    </row>
    <row r="794" spans="1:37" x14ac:dyDescent="0.3">
      <c r="A794" s="2" t="s">
        <v>1255</v>
      </c>
      <c r="B794" s="3" t="s">
        <v>104</v>
      </c>
      <c r="C794" s="2" t="s">
        <v>33</v>
      </c>
      <c r="D794" s="13">
        <v>29697</v>
      </c>
      <c r="E794" s="4">
        <v>45</v>
      </c>
      <c r="F794" s="2" t="s">
        <v>49</v>
      </c>
      <c r="G794" s="4">
        <v>1</v>
      </c>
      <c r="H794" s="2" t="s">
        <v>35</v>
      </c>
      <c r="I794" s="3" t="s">
        <v>36</v>
      </c>
      <c r="J794" s="3" t="s">
        <v>50</v>
      </c>
      <c r="K794" s="2" t="s">
        <v>51</v>
      </c>
      <c r="L794" s="2" t="s">
        <v>39</v>
      </c>
      <c r="M794" s="3" t="s">
        <v>40</v>
      </c>
      <c r="N794" s="2" t="s">
        <v>41</v>
      </c>
      <c r="O794" s="13">
        <v>43078</v>
      </c>
      <c r="P794" s="2" t="s">
        <v>44</v>
      </c>
      <c r="Q794" s="3" t="s">
        <v>44</v>
      </c>
      <c r="R794" s="2" t="s">
        <v>44</v>
      </c>
      <c r="S794" s="2" t="s">
        <v>56</v>
      </c>
      <c r="T794" s="5">
        <v>45200</v>
      </c>
      <c r="U794" s="5">
        <v>0</v>
      </c>
      <c r="V794" s="4">
        <v>40</v>
      </c>
      <c r="W794" s="4">
        <v>30</v>
      </c>
      <c r="X794" s="2" t="s">
        <v>44</v>
      </c>
      <c r="Y794" s="4">
        <v>0</v>
      </c>
      <c r="Z794" s="4">
        <v>11</v>
      </c>
      <c r="AA794" s="4">
        <v>0</v>
      </c>
      <c r="AB794" s="4">
        <v>0</v>
      </c>
      <c r="AC794" s="4">
        <v>3</v>
      </c>
      <c r="AD794" s="4">
        <v>5</v>
      </c>
      <c r="AE794" s="3" t="s">
        <v>58</v>
      </c>
      <c r="AG794">
        <f t="shared" ca="1" si="36"/>
        <v>8</v>
      </c>
      <c r="AH794" s="23" t="str" cm="1">
        <f t="array" ref="AH794">_xlfn.IFS(E794&gt;49,"50+",E794&gt;39,"40-49",E794&gt;29,"30-39",E794&gt;19,"20-29")</f>
        <v>40-49</v>
      </c>
      <c r="AI794" s="24" t="str" cm="1">
        <f t="array" aca="1" ref="AI794" ca="1">_xlfn.IFS(AG794&gt;10,"10+",AG794&gt;4,"5-10 YIL",AG794&gt;2,"3-5 YIL",AG794&gt;0.9,"1-3 YIL",AG794&lt;1,"0-1 YIL")</f>
        <v>5-10 YIL</v>
      </c>
      <c r="AJ794">
        <f t="shared" si="37"/>
        <v>2017</v>
      </c>
      <c r="AK794" t="e">
        <f t="shared" si="38"/>
        <v>#VALUE!</v>
      </c>
    </row>
    <row r="795" spans="1:37" x14ac:dyDescent="0.3">
      <c r="A795" s="6" t="s">
        <v>1256</v>
      </c>
      <c r="B795" s="7" t="s">
        <v>768</v>
      </c>
      <c r="C795" s="6" t="s">
        <v>48</v>
      </c>
      <c r="D795" s="14">
        <v>36834</v>
      </c>
      <c r="E795" s="8">
        <v>26</v>
      </c>
      <c r="F795" s="6" t="s">
        <v>49</v>
      </c>
      <c r="G795" s="8">
        <v>1</v>
      </c>
      <c r="H795" s="6" t="s">
        <v>85</v>
      </c>
      <c r="I795" s="7" t="s">
        <v>139</v>
      </c>
      <c r="J795" s="7" t="s">
        <v>235</v>
      </c>
      <c r="K795" s="6" t="s">
        <v>38</v>
      </c>
      <c r="L795" s="6" t="s">
        <v>63</v>
      </c>
      <c r="M795" s="7" t="s">
        <v>162</v>
      </c>
      <c r="N795" s="6" t="s">
        <v>95</v>
      </c>
      <c r="O795" s="14">
        <v>46103</v>
      </c>
      <c r="P795" s="6" t="s">
        <v>44</v>
      </c>
      <c r="Q795" s="7" t="s">
        <v>44</v>
      </c>
      <c r="R795" s="6" t="s">
        <v>44</v>
      </c>
      <c r="S795" s="6" t="s">
        <v>56</v>
      </c>
      <c r="T795" s="9">
        <v>47500</v>
      </c>
      <c r="U795" s="9">
        <v>5000</v>
      </c>
      <c r="V795" s="8">
        <v>9</v>
      </c>
      <c r="W795" s="8">
        <v>29</v>
      </c>
      <c r="X795" s="6" t="s">
        <v>57</v>
      </c>
      <c r="Y795" s="8">
        <v>1</v>
      </c>
      <c r="Z795" s="8">
        <v>0</v>
      </c>
      <c r="AA795" s="8">
        <v>0</v>
      </c>
      <c r="AB795" s="8">
        <v>0</v>
      </c>
      <c r="AC795" s="8">
        <v>3</v>
      </c>
      <c r="AD795" s="8">
        <v>11</v>
      </c>
      <c r="AE795" s="7" t="s">
        <v>58</v>
      </c>
      <c r="AG795">
        <f t="shared" ca="1" si="36"/>
        <v>0</v>
      </c>
      <c r="AH795" s="23" t="str" cm="1">
        <f t="array" ref="AH795">_xlfn.IFS(E795&gt;49,"50+",E795&gt;39,"40-49",E795&gt;29,"30-39",E795&gt;19,"20-29")</f>
        <v>20-29</v>
      </c>
      <c r="AI795" s="24" t="str" cm="1">
        <f t="array" aca="1" ref="AI795" ca="1">_xlfn.IFS(AG795&gt;10,"10+",AG795&gt;4,"5-10 YIL",AG795&gt;2,"3-5 YIL",AG795&gt;0.9,"1-3 YIL",AG795&lt;1,"0-1 YIL")</f>
        <v>0-1 YIL</v>
      </c>
      <c r="AJ795">
        <f t="shared" si="37"/>
        <v>2026</v>
      </c>
      <c r="AK795" t="e">
        <f t="shared" si="38"/>
        <v>#VALUE!</v>
      </c>
    </row>
    <row r="796" spans="1:37" x14ac:dyDescent="0.3">
      <c r="A796" s="2" t="s">
        <v>1257</v>
      </c>
      <c r="B796" s="3" t="s">
        <v>587</v>
      </c>
      <c r="C796" s="2" t="s">
        <v>48</v>
      </c>
      <c r="D796" s="13">
        <v>29041</v>
      </c>
      <c r="E796" s="4">
        <v>47</v>
      </c>
      <c r="F796" s="2" t="s">
        <v>49</v>
      </c>
      <c r="G796" s="4">
        <v>1</v>
      </c>
      <c r="H796" s="2" t="s">
        <v>85</v>
      </c>
      <c r="I796" s="3" t="s">
        <v>36</v>
      </c>
      <c r="J796" s="3" t="s">
        <v>50</v>
      </c>
      <c r="K796" s="2" t="s">
        <v>51</v>
      </c>
      <c r="L796" s="2" t="s">
        <v>39</v>
      </c>
      <c r="M796" s="3" t="s">
        <v>40</v>
      </c>
      <c r="N796" s="2" t="s">
        <v>41</v>
      </c>
      <c r="O796" s="13">
        <v>41851</v>
      </c>
      <c r="P796" s="2" t="s">
        <v>44</v>
      </c>
      <c r="Q796" s="3" t="s">
        <v>44</v>
      </c>
      <c r="R796" s="2" t="s">
        <v>44</v>
      </c>
      <c r="S796" s="2" t="s">
        <v>56</v>
      </c>
      <c r="T796" s="5">
        <v>39300</v>
      </c>
      <c r="U796" s="5">
        <v>0</v>
      </c>
      <c r="V796" s="4">
        <v>36</v>
      </c>
      <c r="W796" s="4">
        <v>29</v>
      </c>
      <c r="X796" s="2" t="s">
        <v>81</v>
      </c>
      <c r="Y796" s="4">
        <v>0</v>
      </c>
      <c r="Z796" s="4">
        <v>4</v>
      </c>
      <c r="AA796" s="4">
        <v>1</v>
      </c>
      <c r="AB796" s="4">
        <v>0</v>
      </c>
      <c r="AC796" s="4">
        <v>2</v>
      </c>
      <c r="AD796" s="4">
        <v>10</v>
      </c>
      <c r="AE796" s="3" t="s">
        <v>45</v>
      </c>
      <c r="AG796">
        <f t="shared" ca="1" si="36"/>
        <v>11</v>
      </c>
      <c r="AH796" s="23" t="str" cm="1">
        <f t="array" ref="AH796">_xlfn.IFS(E796&gt;49,"50+",E796&gt;39,"40-49",E796&gt;29,"30-39",E796&gt;19,"20-29")</f>
        <v>40-49</v>
      </c>
      <c r="AI796" s="24" t="str" cm="1">
        <f t="array" aca="1" ref="AI796" ca="1">_xlfn.IFS(AG796&gt;10,"10+",AG796&gt;4,"5-10 YIL",AG796&gt;2,"3-5 YIL",AG796&gt;0.9,"1-3 YIL",AG796&lt;1,"0-1 YIL")</f>
        <v>10+</v>
      </c>
      <c r="AJ796">
        <f t="shared" si="37"/>
        <v>2014</v>
      </c>
      <c r="AK796" t="e">
        <f t="shared" si="38"/>
        <v>#VALUE!</v>
      </c>
    </row>
    <row r="797" spans="1:37" x14ac:dyDescent="0.3">
      <c r="A797" s="6" t="s">
        <v>1258</v>
      </c>
      <c r="B797" s="7" t="s">
        <v>958</v>
      </c>
      <c r="C797" s="6" t="s">
        <v>48</v>
      </c>
      <c r="D797" s="14">
        <v>37933</v>
      </c>
      <c r="E797" s="8">
        <v>23</v>
      </c>
      <c r="F797" s="6" t="s">
        <v>34</v>
      </c>
      <c r="G797" s="8">
        <v>0</v>
      </c>
      <c r="H797" s="6" t="s">
        <v>88</v>
      </c>
      <c r="I797" s="7" t="s">
        <v>36</v>
      </c>
      <c r="J797" s="7" t="s">
        <v>37</v>
      </c>
      <c r="K797" s="6" t="s">
        <v>38</v>
      </c>
      <c r="L797" s="6" t="s">
        <v>39</v>
      </c>
      <c r="M797" s="7" t="s">
        <v>40</v>
      </c>
      <c r="N797" s="6" t="s">
        <v>41</v>
      </c>
      <c r="O797" s="14">
        <v>44801</v>
      </c>
      <c r="P797" s="14">
        <v>45728</v>
      </c>
      <c r="Q797" s="7" t="s">
        <v>121</v>
      </c>
      <c r="R797" s="6">
        <v>17</v>
      </c>
      <c r="S797" s="6" t="s">
        <v>43</v>
      </c>
      <c r="T797" s="9">
        <v>27400</v>
      </c>
      <c r="U797" s="9">
        <v>0</v>
      </c>
      <c r="V797" s="8">
        <v>42</v>
      </c>
      <c r="W797" s="8">
        <v>28</v>
      </c>
      <c r="X797" s="6" t="s">
        <v>57</v>
      </c>
      <c r="Y797" s="8">
        <v>2</v>
      </c>
      <c r="Z797" s="8">
        <v>6</v>
      </c>
      <c r="AA797" s="8">
        <v>0</v>
      </c>
      <c r="AB797" s="8">
        <v>0</v>
      </c>
      <c r="AC797" s="8">
        <v>3</v>
      </c>
      <c r="AD797" s="8">
        <v>6</v>
      </c>
      <c r="AE797" s="7" t="s">
        <v>82</v>
      </c>
      <c r="AG797">
        <f t="shared" ca="1" si="36"/>
        <v>3</v>
      </c>
      <c r="AH797" s="23" t="str" cm="1">
        <f t="array" ref="AH797">_xlfn.IFS(E797&gt;49,"50+",E797&gt;39,"40-49",E797&gt;29,"30-39",E797&gt;19,"20-29")</f>
        <v>20-29</v>
      </c>
      <c r="AI797" s="24" t="str" cm="1">
        <f t="array" aca="1" ref="AI797" ca="1">_xlfn.IFS(AG797&gt;10,"10+",AG797&gt;4,"5-10 YIL",AG797&gt;2,"3-5 YIL",AG797&gt;0.9,"1-3 YIL",AG797&lt;1,"0-1 YIL")</f>
        <v>3-5 YIL</v>
      </c>
      <c r="AJ797">
        <f t="shared" si="37"/>
        <v>2022</v>
      </c>
      <c r="AK797">
        <f t="shared" si="38"/>
        <v>2025</v>
      </c>
    </row>
    <row r="798" spans="1:37" x14ac:dyDescent="0.3">
      <c r="A798" s="2" t="s">
        <v>1259</v>
      </c>
      <c r="B798" s="3" t="s">
        <v>84</v>
      </c>
      <c r="C798" s="2" t="s">
        <v>33</v>
      </c>
      <c r="D798" s="13">
        <v>36473</v>
      </c>
      <c r="E798" s="4">
        <v>27</v>
      </c>
      <c r="F798" s="2" t="s">
        <v>34</v>
      </c>
      <c r="G798" s="4">
        <v>0</v>
      </c>
      <c r="H798" s="2" t="s">
        <v>88</v>
      </c>
      <c r="I798" s="3" t="s">
        <v>36</v>
      </c>
      <c r="J798" s="3" t="s">
        <v>37</v>
      </c>
      <c r="K798" s="2" t="s">
        <v>38</v>
      </c>
      <c r="L798" s="2" t="s">
        <v>39</v>
      </c>
      <c r="M798" s="3" t="s">
        <v>40</v>
      </c>
      <c r="N798" s="2" t="s">
        <v>41</v>
      </c>
      <c r="O798" s="13">
        <v>44896</v>
      </c>
      <c r="P798" s="2" t="s">
        <v>44</v>
      </c>
      <c r="Q798" s="3" t="s">
        <v>44</v>
      </c>
      <c r="R798" s="2" t="s">
        <v>44</v>
      </c>
      <c r="S798" s="2" t="s">
        <v>56</v>
      </c>
      <c r="T798" s="5">
        <v>25600</v>
      </c>
      <c r="U798" s="5">
        <v>0</v>
      </c>
      <c r="V798" s="4">
        <v>30</v>
      </c>
      <c r="W798" s="4">
        <v>29</v>
      </c>
      <c r="X798" s="2" t="s">
        <v>57</v>
      </c>
      <c r="Y798" s="4">
        <v>1</v>
      </c>
      <c r="Z798" s="4">
        <v>2</v>
      </c>
      <c r="AA798" s="4">
        <v>0</v>
      </c>
      <c r="AB798" s="4">
        <v>0</v>
      </c>
      <c r="AC798" s="4">
        <v>2</v>
      </c>
      <c r="AD798" s="4">
        <v>2</v>
      </c>
      <c r="AE798" s="3" t="s">
        <v>58</v>
      </c>
      <c r="AG798">
        <f t="shared" ca="1" si="36"/>
        <v>3</v>
      </c>
      <c r="AH798" s="23" t="str" cm="1">
        <f t="array" ref="AH798">_xlfn.IFS(E798&gt;49,"50+",E798&gt;39,"40-49",E798&gt;29,"30-39",E798&gt;19,"20-29")</f>
        <v>20-29</v>
      </c>
      <c r="AI798" s="24" t="str" cm="1">
        <f t="array" aca="1" ref="AI798" ca="1">_xlfn.IFS(AG798&gt;10,"10+",AG798&gt;4,"5-10 YIL",AG798&gt;2,"3-5 YIL",AG798&gt;0.9,"1-3 YIL",AG798&lt;1,"0-1 YIL")</f>
        <v>3-5 YIL</v>
      </c>
      <c r="AJ798">
        <f t="shared" si="37"/>
        <v>2022</v>
      </c>
      <c r="AK798" t="e">
        <f t="shared" si="38"/>
        <v>#VALUE!</v>
      </c>
    </row>
    <row r="799" spans="1:37" x14ac:dyDescent="0.3">
      <c r="A799" s="6" t="s">
        <v>1260</v>
      </c>
      <c r="B799" s="7" t="s">
        <v>205</v>
      </c>
      <c r="C799" s="6" t="s">
        <v>48</v>
      </c>
      <c r="D799" s="14">
        <v>35643</v>
      </c>
      <c r="E799" s="8">
        <v>29</v>
      </c>
      <c r="F799" s="6" t="s">
        <v>49</v>
      </c>
      <c r="G799" s="8">
        <v>0</v>
      </c>
      <c r="H799" s="6" t="s">
        <v>35</v>
      </c>
      <c r="I799" s="7" t="s">
        <v>36</v>
      </c>
      <c r="J799" s="7" t="s">
        <v>37</v>
      </c>
      <c r="K799" s="6" t="s">
        <v>38</v>
      </c>
      <c r="L799" s="6" t="s">
        <v>39</v>
      </c>
      <c r="M799" s="7" t="s">
        <v>40</v>
      </c>
      <c r="N799" s="6" t="s">
        <v>41</v>
      </c>
      <c r="O799" s="14">
        <v>45509</v>
      </c>
      <c r="P799" s="6" t="s">
        <v>44</v>
      </c>
      <c r="Q799" s="7" t="s">
        <v>44</v>
      </c>
      <c r="R799" s="6" t="s">
        <v>44</v>
      </c>
      <c r="S799" s="6" t="s">
        <v>56</v>
      </c>
      <c r="T799" s="9">
        <v>26600</v>
      </c>
      <c r="U799" s="9">
        <v>0</v>
      </c>
      <c r="V799" s="8">
        <v>25</v>
      </c>
      <c r="W799" s="8">
        <v>30</v>
      </c>
      <c r="X799" s="6" t="s">
        <v>44</v>
      </c>
      <c r="Y799" s="8">
        <v>0</v>
      </c>
      <c r="Z799" s="8">
        <v>9</v>
      </c>
      <c r="AA799" s="8">
        <v>0</v>
      </c>
      <c r="AB799" s="8">
        <v>0</v>
      </c>
      <c r="AC799" s="8">
        <v>3</v>
      </c>
      <c r="AD799" s="8">
        <v>14</v>
      </c>
      <c r="AE799" s="7" t="s">
        <v>45</v>
      </c>
      <c r="AG799">
        <f t="shared" ca="1" si="36"/>
        <v>1</v>
      </c>
      <c r="AH799" s="23" t="str" cm="1">
        <f t="array" ref="AH799">_xlfn.IFS(E799&gt;49,"50+",E799&gt;39,"40-49",E799&gt;29,"30-39",E799&gt;19,"20-29")</f>
        <v>20-29</v>
      </c>
      <c r="AI799" s="24" t="str" cm="1">
        <f t="array" aca="1" ref="AI799" ca="1">_xlfn.IFS(AG799&gt;10,"10+",AG799&gt;4,"5-10 YIL",AG799&gt;2,"3-5 YIL",AG799&gt;0.9,"1-3 YIL",AG799&lt;1,"0-1 YIL")</f>
        <v>1-3 YIL</v>
      </c>
      <c r="AJ799">
        <f t="shared" si="37"/>
        <v>2024</v>
      </c>
      <c r="AK799" t="e">
        <f t="shared" si="38"/>
        <v>#VALUE!</v>
      </c>
    </row>
    <row r="800" spans="1:37" x14ac:dyDescent="0.3">
      <c r="A800" s="2" t="s">
        <v>1261</v>
      </c>
      <c r="B800" s="3" t="s">
        <v>1262</v>
      </c>
      <c r="C800" s="2" t="s">
        <v>33</v>
      </c>
      <c r="D800" s="13">
        <v>37897</v>
      </c>
      <c r="E800" s="4">
        <v>23</v>
      </c>
      <c r="F800" s="2" t="s">
        <v>49</v>
      </c>
      <c r="G800" s="4">
        <v>0</v>
      </c>
      <c r="H800" s="2" t="s">
        <v>35</v>
      </c>
      <c r="I800" s="3" t="s">
        <v>36</v>
      </c>
      <c r="J800" s="3" t="s">
        <v>37</v>
      </c>
      <c r="K800" s="2" t="s">
        <v>38</v>
      </c>
      <c r="L800" s="2" t="s">
        <v>39</v>
      </c>
      <c r="M800" s="3" t="s">
        <v>40</v>
      </c>
      <c r="N800" s="2" t="s">
        <v>89</v>
      </c>
      <c r="O800" s="13">
        <v>45857</v>
      </c>
      <c r="P800" s="2" t="s">
        <v>44</v>
      </c>
      <c r="Q800" s="3" t="s">
        <v>44</v>
      </c>
      <c r="R800" s="2" t="s">
        <v>44</v>
      </c>
      <c r="S800" s="2" t="s">
        <v>56</v>
      </c>
      <c r="T800" s="5">
        <v>27900</v>
      </c>
      <c r="U800" s="5">
        <v>0</v>
      </c>
      <c r="V800" s="4">
        <v>27</v>
      </c>
      <c r="W800" s="4">
        <v>28</v>
      </c>
      <c r="X800" s="2" t="s">
        <v>57</v>
      </c>
      <c r="Y800" s="4">
        <v>2</v>
      </c>
      <c r="Z800" s="4">
        <v>0</v>
      </c>
      <c r="AA800" s="4">
        <v>0</v>
      </c>
      <c r="AB800" s="4">
        <v>0</v>
      </c>
      <c r="AC800" s="4">
        <v>4</v>
      </c>
      <c r="AD800" s="4">
        <v>39</v>
      </c>
      <c r="AE800" s="3" t="s">
        <v>82</v>
      </c>
      <c r="AG800">
        <f t="shared" ca="1" si="36"/>
        <v>0</v>
      </c>
      <c r="AH800" s="23" t="str" cm="1">
        <f t="array" ref="AH800">_xlfn.IFS(E800&gt;49,"50+",E800&gt;39,"40-49",E800&gt;29,"30-39",E800&gt;19,"20-29")</f>
        <v>20-29</v>
      </c>
      <c r="AI800" s="24" t="str" cm="1">
        <f t="array" aca="1" ref="AI800" ca="1">_xlfn.IFS(AG800&gt;10,"10+",AG800&gt;4,"5-10 YIL",AG800&gt;2,"3-5 YIL",AG800&gt;0.9,"1-3 YIL",AG800&lt;1,"0-1 YIL")</f>
        <v>0-1 YIL</v>
      </c>
      <c r="AJ800">
        <f t="shared" si="37"/>
        <v>2025</v>
      </c>
      <c r="AK800" t="e">
        <f t="shared" si="38"/>
        <v>#VALUE!</v>
      </c>
    </row>
    <row r="801" spans="1:37" x14ac:dyDescent="0.3">
      <c r="A801" s="6" t="s">
        <v>1263</v>
      </c>
      <c r="B801" s="7" t="s">
        <v>337</v>
      </c>
      <c r="C801" s="6" t="s">
        <v>48</v>
      </c>
      <c r="D801" s="14">
        <v>36034</v>
      </c>
      <c r="E801" s="8">
        <v>28</v>
      </c>
      <c r="F801" s="6" t="s">
        <v>34</v>
      </c>
      <c r="G801" s="8">
        <v>0</v>
      </c>
      <c r="H801" s="6" t="s">
        <v>85</v>
      </c>
      <c r="I801" s="7" t="s">
        <v>36</v>
      </c>
      <c r="J801" s="7" t="s">
        <v>37</v>
      </c>
      <c r="K801" s="6" t="s">
        <v>38</v>
      </c>
      <c r="L801" s="6" t="s">
        <v>39</v>
      </c>
      <c r="M801" s="7" t="s">
        <v>40</v>
      </c>
      <c r="N801" s="6" t="s">
        <v>41</v>
      </c>
      <c r="O801" s="14">
        <v>45897</v>
      </c>
      <c r="P801" s="6" t="s">
        <v>44</v>
      </c>
      <c r="Q801" s="7" t="s">
        <v>44</v>
      </c>
      <c r="R801" s="6" t="s">
        <v>44</v>
      </c>
      <c r="S801" s="6" t="s">
        <v>56</v>
      </c>
      <c r="T801" s="9">
        <v>26600</v>
      </c>
      <c r="U801" s="9">
        <v>0</v>
      </c>
      <c r="V801" s="8">
        <v>13</v>
      </c>
      <c r="W801" s="8">
        <v>30</v>
      </c>
      <c r="X801" s="6" t="s">
        <v>44</v>
      </c>
      <c r="Y801" s="8">
        <v>0</v>
      </c>
      <c r="Z801" s="8">
        <v>0</v>
      </c>
      <c r="AA801" s="8">
        <v>0</v>
      </c>
      <c r="AB801" s="8">
        <v>0</v>
      </c>
      <c r="AC801" s="8">
        <v>4</v>
      </c>
      <c r="AD801" s="8">
        <v>29</v>
      </c>
      <c r="AE801" s="7" t="s">
        <v>82</v>
      </c>
      <c r="AG801">
        <f t="shared" ca="1" si="36"/>
        <v>0</v>
      </c>
      <c r="AH801" s="23" t="str" cm="1">
        <f t="array" ref="AH801">_xlfn.IFS(E801&gt;49,"50+",E801&gt;39,"40-49",E801&gt;29,"30-39",E801&gt;19,"20-29")</f>
        <v>20-29</v>
      </c>
      <c r="AI801" s="24" t="str" cm="1">
        <f t="array" aca="1" ref="AI801" ca="1">_xlfn.IFS(AG801&gt;10,"10+",AG801&gt;4,"5-10 YIL",AG801&gt;2,"3-5 YIL",AG801&gt;0.9,"1-3 YIL",AG801&lt;1,"0-1 YIL")</f>
        <v>0-1 YIL</v>
      </c>
      <c r="AJ801">
        <f t="shared" si="37"/>
        <v>2025</v>
      </c>
      <c r="AK801" t="e">
        <f t="shared" si="38"/>
        <v>#VALUE!</v>
      </c>
    </row>
    <row r="802" spans="1:37" x14ac:dyDescent="0.3">
      <c r="A802" s="2" t="s">
        <v>1264</v>
      </c>
      <c r="B802" s="3" t="s">
        <v>280</v>
      </c>
      <c r="C802" s="2" t="s">
        <v>48</v>
      </c>
      <c r="D802" s="13">
        <v>38001</v>
      </c>
      <c r="E802" s="4">
        <v>22</v>
      </c>
      <c r="F802" s="2" t="s">
        <v>49</v>
      </c>
      <c r="G802" s="4">
        <v>1</v>
      </c>
      <c r="H802" s="2" t="s">
        <v>85</v>
      </c>
      <c r="I802" s="3" t="s">
        <v>36</v>
      </c>
      <c r="J802" s="3" t="s">
        <v>37</v>
      </c>
      <c r="K802" s="2" t="s">
        <v>38</v>
      </c>
      <c r="L802" s="2" t="s">
        <v>39</v>
      </c>
      <c r="M802" s="3" t="s">
        <v>40</v>
      </c>
      <c r="N802" s="2" t="s">
        <v>95</v>
      </c>
      <c r="O802" s="13">
        <v>45605</v>
      </c>
      <c r="P802" s="2" t="s">
        <v>44</v>
      </c>
      <c r="Q802" s="3" t="s">
        <v>44</v>
      </c>
      <c r="R802" s="2" t="s">
        <v>44</v>
      </c>
      <c r="S802" s="2" t="s">
        <v>56</v>
      </c>
      <c r="T802" s="5">
        <v>25900</v>
      </c>
      <c r="U802" s="5">
        <v>0</v>
      </c>
      <c r="V802" s="4">
        <v>43</v>
      </c>
      <c r="W802" s="4">
        <v>30</v>
      </c>
      <c r="X802" s="2" t="s">
        <v>44</v>
      </c>
      <c r="Y802" s="4">
        <v>0</v>
      </c>
      <c r="Z802" s="4">
        <v>13</v>
      </c>
      <c r="AA802" s="4">
        <v>0</v>
      </c>
      <c r="AB802" s="4">
        <v>0</v>
      </c>
      <c r="AC802" s="4">
        <v>3</v>
      </c>
      <c r="AD802" s="4">
        <v>8</v>
      </c>
      <c r="AE802" s="3" t="s">
        <v>73</v>
      </c>
      <c r="AG802">
        <f t="shared" ca="1" si="36"/>
        <v>1</v>
      </c>
      <c r="AH802" s="23" t="str" cm="1">
        <f t="array" ref="AH802">_xlfn.IFS(E802&gt;49,"50+",E802&gt;39,"40-49",E802&gt;29,"30-39",E802&gt;19,"20-29")</f>
        <v>20-29</v>
      </c>
      <c r="AI802" s="24" t="str" cm="1">
        <f t="array" aca="1" ref="AI802" ca="1">_xlfn.IFS(AG802&gt;10,"10+",AG802&gt;4,"5-10 YIL",AG802&gt;2,"3-5 YIL",AG802&gt;0.9,"1-3 YIL",AG802&lt;1,"0-1 YIL")</f>
        <v>1-3 YIL</v>
      </c>
      <c r="AJ802">
        <f t="shared" si="37"/>
        <v>2024</v>
      </c>
      <c r="AK802" t="e">
        <f t="shared" si="38"/>
        <v>#VALUE!</v>
      </c>
    </row>
    <row r="803" spans="1:37" x14ac:dyDescent="0.3">
      <c r="A803" s="6" t="s">
        <v>1265</v>
      </c>
      <c r="B803" s="7" t="s">
        <v>575</v>
      </c>
      <c r="C803" s="6" t="s">
        <v>33</v>
      </c>
      <c r="D803" s="14">
        <v>37688</v>
      </c>
      <c r="E803" s="8">
        <v>23</v>
      </c>
      <c r="F803" s="6" t="s">
        <v>49</v>
      </c>
      <c r="G803" s="8">
        <v>1</v>
      </c>
      <c r="H803" s="6" t="s">
        <v>35</v>
      </c>
      <c r="I803" s="7" t="s">
        <v>61</v>
      </c>
      <c r="J803" s="7" t="s">
        <v>62</v>
      </c>
      <c r="K803" s="6" t="s">
        <v>38</v>
      </c>
      <c r="L803" s="6" t="s">
        <v>63</v>
      </c>
      <c r="M803" s="7" t="s">
        <v>64</v>
      </c>
      <c r="N803" s="6" t="s">
        <v>41</v>
      </c>
      <c r="O803" s="14">
        <v>44732</v>
      </c>
      <c r="P803" s="6" t="s">
        <v>44</v>
      </c>
      <c r="Q803" s="7" t="s">
        <v>44</v>
      </c>
      <c r="R803" s="6" t="s">
        <v>44</v>
      </c>
      <c r="S803" s="6" t="s">
        <v>56</v>
      </c>
      <c r="T803" s="9">
        <v>34800</v>
      </c>
      <c r="U803" s="9">
        <v>7700</v>
      </c>
      <c r="V803" s="8">
        <v>0</v>
      </c>
      <c r="W803" s="8">
        <v>30</v>
      </c>
      <c r="X803" s="6" t="s">
        <v>44</v>
      </c>
      <c r="Y803" s="8">
        <v>0</v>
      </c>
      <c r="Z803" s="8">
        <v>3</v>
      </c>
      <c r="AA803" s="8">
        <v>0</v>
      </c>
      <c r="AB803" s="8">
        <v>0</v>
      </c>
      <c r="AC803" s="8">
        <v>2</v>
      </c>
      <c r="AD803" s="8">
        <v>6</v>
      </c>
      <c r="AE803" s="7" t="s">
        <v>45</v>
      </c>
      <c r="AG803">
        <f t="shared" ca="1" si="36"/>
        <v>4</v>
      </c>
      <c r="AH803" s="23" t="str" cm="1">
        <f t="array" ref="AH803">_xlfn.IFS(E803&gt;49,"50+",E803&gt;39,"40-49",E803&gt;29,"30-39",E803&gt;19,"20-29")</f>
        <v>20-29</v>
      </c>
      <c r="AI803" s="24" t="str" cm="1">
        <f t="array" aca="1" ref="AI803" ca="1">_xlfn.IFS(AG803&gt;10,"10+",AG803&gt;4,"5-10 YIL",AG803&gt;2,"3-5 YIL",AG803&gt;0.9,"1-3 YIL",AG803&lt;1,"0-1 YIL")</f>
        <v>3-5 YIL</v>
      </c>
      <c r="AJ803">
        <f t="shared" si="37"/>
        <v>2022</v>
      </c>
      <c r="AK803" t="e">
        <f t="shared" si="38"/>
        <v>#VALUE!</v>
      </c>
    </row>
    <row r="804" spans="1:37" x14ac:dyDescent="0.3">
      <c r="A804" s="2" t="s">
        <v>1266</v>
      </c>
      <c r="B804" s="3" t="s">
        <v>1267</v>
      </c>
      <c r="C804" s="2" t="s">
        <v>48</v>
      </c>
      <c r="D804" s="13">
        <v>35498</v>
      </c>
      <c r="E804" s="4">
        <v>29</v>
      </c>
      <c r="F804" s="2" t="s">
        <v>49</v>
      </c>
      <c r="G804" s="4">
        <v>1</v>
      </c>
      <c r="H804" s="2" t="s">
        <v>35</v>
      </c>
      <c r="I804" s="3" t="s">
        <v>61</v>
      </c>
      <c r="J804" s="3" t="s">
        <v>107</v>
      </c>
      <c r="K804" s="2" t="s">
        <v>51</v>
      </c>
      <c r="L804" s="2" t="s">
        <v>63</v>
      </c>
      <c r="M804" s="3" t="s">
        <v>64</v>
      </c>
      <c r="N804" s="2" t="s">
        <v>41</v>
      </c>
      <c r="O804" s="13">
        <v>43773</v>
      </c>
      <c r="P804" s="2" t="s">
        <v>44</v>
      </c>
      <c r="Q804" s="3" t="s">
        <v>44</v>
      </c>
      <c r="R804" s="2" t="s">
        <v>44</v>
      </c>
      <c r="S804" s="2" t="s">
        <v>56</v>
      </c>
      <c r="T804" s="5">
        <v>55200</v>
      </c>
      <c r="U804" s="5">
        <v>11200</v>
      </c>
      <c r="V804" s="4">
        <v>2</v>
      </c>
      <c r="W804" s="4">
        <v>30</v>
      </c>
      <c r="X804" s="2" t="s">
        <v>44</v>
      </c>
      <c r="Y804" s="4">
        <v>0</v>
      </c>
      <c r="Z804" s="4">
        <v>14</v>
      </c>
      <c r="AA804" s="4">
        <v>0</v>
      </c>
      <c r="AB804" s="4">
        <v>0</v>
      </c>
      <c r="AC804" s="4">
        <v>3</v>
      </c>
      <c r="AD804" s="4">
        <v>6</v>
      </c>
      <c r="AE804" s="3" t="s">
        <v>82</v>
      </c>
      <c r="AG804">
        <f t="shared" ca="1" si="36"/>
        <v>6</v>
      </c>
      <c r="AH804" s="23" t="str" cm="1">
        <f t="array" ref="AH804">_xlfn.IFS(E804&gt;49,"50+",E804&gt;39,"40-49",E804&gt;29,"30-39",E804&gt;19,"20-29")</f>
        <v>20-29</v>
      </c>
      <c r="AI804" s="24" t="str" cm="1">
        <f t="array" aca="1" ref="AI804" ca="1">_xlfn.IFS(AG804&gt;10,"10+",AG804&gt;4,"5-10 YIL",AG804&gt;2,"3-5 YIL",AG804&gt;0.9,"1-3 YIL",AG804&lt;1,"0-1 YIL")</f>
        <v>5-10 YIL</v>
      </c>
      <c r="AJ804">
        <f t="shared" si="37"/>
        <v>2019</v>
      </c>
      <c r="AK804" t="e">
        <f t="shared" si="38"/>
        <v>#VALUE!</v>
      </c>
    </row>
    <row r="805" spans="1:37" x14ac:dyDescent="0.3">
      <c r="A805" s="6" t="s">
        <v>1268</v>
      </c>
      <c r="B805" s="7" t="s">
        <v>551</v>
      </c>
      <c r="C805" s="6" t="s">
        <v>48</v>
      </c>
      <c r="D805" s="14">
        <v>38090</v>
      </c>
      <c r="E805" s="8">
        <v>22</v>
      </c>
      <c r="F805" s="6" t="s">
        <v>49</v>
      </c>
      <c r="G805" s="8">
        <v>1</v>
      </c>
      <c r="H805" s="6" t="s">
        <v>35</v>
      </c>
      <c r="I805" s="7" t="s">
        <v>36</v>
      </c>
      <c r="J805" s="7" t="s">
        <v>37</v>
      </c>
      <c r="K805" s="6" t="s">
        <v>38</v>
      </c>
      <c r="L805" s="6" t="s">
        <v>39</v>
      </c>
      <c r="M805" s="7" t="s">
        <v>40</v>
      </c>
      <c r="N805" s="6" t="s">
        <v>89</v>
      </c>
      <c r="O805" s="14">
        <v>45921</v>
      </c>
      <c r="P805" s="6" t="s">
        <v>44</v>
      </c>
      <c r="Q805" s="7" t="s">
        <v>44</v>
      </c>
      <c r="R805" s="6" t="s">
        <v>44</v>
      </c>
      <c r="S805" s="6" t="s">
        <v>56</v>
      </c>
      <c r="T805" s="9">
        <v>26400</v>
      </c>
      <c r="U805" s="9">
        <v>0</v>
      </c>
      <c r="V805" s="8">
        <v>11</v>
      </c>
      <c r="W805" s="8">
        <v>20</v>
      </c>
      <c r="X805" s="6" t="s">
        <v>57</v>
      </c>
      <c r="Y805" s="8">
        <v>10</v>
      </c>
      <c r="Z805" s="8">
        <v>0</v>
      </c>
      <c r="AA805" s="8">
        <v>0</v>
      </c>
      <c r="AB805" s="8">
        <v>0</v>
      </c>
      <c r="AC805" s="8">
        <v>2</v>
      </c>
      <c r="AD805" s="8">
        <v>12</v>
      </c>
      <c r="AE805" s="7" t="s">
        <v>58</v>
      </c>
      <c r="AG805">
        <f t="shared" ca="1" si="36"/>
        <v>0</v>
      </c>
      <c r="AH805" s="23" t="str" cm="1">
        <f t="array" ref="AH805">_xlfn.IFS(E805&gt;49,"50+",E805&gt;39,"40-49",E805&gt;29,"30-39",E805&gt;19,"20-29")</f>
        <v>20-29</v>
      </c>
      <c r="AI805" s="24" t="str" cm="1">
        <f t="array" aca="1" ref="AI805" ca="1">_xlfn.IFS(AG805&gt;10,"10+",AG805&gt;4,"5-10 YIL",AG805&gt;2,"3-5 YIL",AG805&gt;0.9,"1-3 YIL",AG805&lt;1,"0-1 YIL")</f>
        <v>0-1 YIL</v>
      </c>
      <c r="AJ805">
        <f t="shared" si="37"/>
        <v>2025</v>
      </c>
      <c r="AK805" t="e">
        <f t="shared" si="38"/>
        <v>#VALUE!</v>
      </c>
    </row>
    <row r="806" spans="1:37" x14ac:dyDescent="0.3">
      <c r="A806" s="2" t="s">
        <v>1269</v>
      </c>
      <c r="B806" s="3" t="s">
        <v>1095</v>
      </c>
      <c r="C806" s="2" t="s">
        <v>33</v>
      </c>
      <c r="D806" s="13">
        <v>30899</v>
      </c>
      <c r="E806" s="4">
        <v>42</v>
      </c>
      <c r="F806" s="2" t="s">
        <v>34</v>
      </c>
      <c r="G806" s="4">
        <v>0</v>
      </c>
      <c r="H806" s="2" t="s">
        <v>85</v>
      </c>
      <c r="I806" s="3" t="s">
        <v>36</v>
      </c>
      <c r="J806" s="3" t="s">
        <v>50</v>
      </c>
      <c r="K806" s="2" t="s">
        <v>51</v>
      </c>
      <c r="L806" s="2" t="s">
        <v>39</v>
      </c>
      <c r="M806" s="3" t="s">
        <v>40</v>
      </c>
      <c r="N806" s="2" t="s">
        <v>41</v>
      </c>
      <c r="O806" s="13">
        <v>42725</v>
      </c>
      <c r="P806" s="13">
        <v>43375</v>
      </c>
      <c r="Q806" s="3" t="s">
        <v>177</v>
      </c>
      <c r="R806" s="2">
        <v>3</v>
      </c>
      <c r="S806" s="2" t="s">
        <v>43</v>
      </c>
      <c r="T806" s="5">
        <v>41800</v>
      </c>
      <c r="U806" s="5">
        <v>0</v>
      </c>
      <c r="V806" s="4">
        <v>14</v>
      </c>
      <c r="W806" s="4">
        <v>30</v>
      </c>
      <c r="X806" s="2" t="s">
        <v>44</v>
      </c>
      <c r="Y806" s="4">
        <v>0</v>
      </c>
      <c r="Z806" s="4">
        <v>1</v>
      </c>
      <c r="AA806" s="4">
        <v>0</v>
      </c>
      <c r="AB806" s="4">
        <v>0</v>
      </c>
      <c r="AC806" s="4">
        <v>3</v>
      </c>
      <c r="AD806" s="4">
        <v>2</v>
      </c>
      <c r="AE806" s="3" t="s">
        <v>58</v>
      </c>
      <c r="AG806">
        <f t="shared" ca="1" si="36"/>
        <v>9</v>
      </c>
      <c r="AH806" s="23" t="str" cm="1">
        <f t="array" ref="AH806">_xlfn.IFS(E806&gt;49,"50+",E806&gt;39,"40-49",E806&gt;29,"30-39",E806&gt;19,"20-29")</f>
        <v>40-49</v>
      </c>
      <c r="AI806" s="24" t="str" cm="1">
        <f t="array" aca="1" ref="AI806" ca="1">_xlfn.IFS(AG806&gt;10,"10+",AG806&gt;4,"5-10 YIL",AG806&gt;2,"3-5 YIL",AG806&gt;0.9,"1-3 YIL",AG806&lt;1,"0-1 YIL")</f>
        <v>5-10 YIL</v>
      </c>
      <c r="AJ806">
        <f t="shared" si="37"/>
        <v>2016</v>
      </c>
      <c r="AK806">
        <f t="shared" si="38"/>
        <v>2018</v>
      </c>
    </row>
    <row r="807" spans="1:37" x14ac:dyDescent="0.3">
      <c r="A807" s="6" t="s">
        <v>1270</v>
      </c>
      <c r="B807" s="7" t="s">
        <v>1271</v>
      </c>
      <c r="C807" s="6" t="s">
        <v>33</v>
      </c>
      <c r="D807" s="14">
        <v>37488</v>
      </c>
      <c r="E807" s="8">
        <v>24</v>
      </c>
      <c r="F807" s="6" t="s">
        <v>34</v>
      </c>
      <c r="G807" s="8">
        <v>0</v>
      </c>
      <c r="H807" s="6" t="s">
        <v>88</v>
      </c>
      <c r="I807" s="7" t="s">
        <v>70</v>
      </c>
      <c r="J807" s="7" t="s">
        <v>92</v>
      </c>
      <c r="K807" s="6" t="s">
        <v>38</v>
      </c>
      <c r="L807" s="6" t="s">
        <v>63</v>
      </c>
      <c r="M807" s="7" t="s">
        <v>72</v>
      </c>
      <c r="N807" s="6" t="s">
        <v>52</v>
      </c>
      <c r="O807" s="14">
        <v>45699</v>
      </c>
      <c r="P807" s="6" t="s">
        <v>44</v>
      </c>
      <c r="Q807" s="7" t="s">
        <v>44</v>
      </c>
      <c r="R807" s="6" t="s">
        <v>44</v>
      </c>
      <c r="S807" s="6" t="s">
        <v>56</v>
      </c>
      <c r="T807" s="9">
        <v>36000</v>
      </c>
      <c r="U807" s="9">
        <v>0</v>
      </c>
      <c r="V807" s="8">
        <v>1</v>
      </c>
      <c r="W807" s="8">
        <v>30</v>
      </c>
      <c r="X807" s="6" t="s">
        <v>44</v>
      </c>
      <c r="Y807" s="8">
        <v>0</v>
      </c>
      <c r="Z807" s="8">
        <v>14</v>
      </c>
      <c r="AA807" s="8">
        <v>0</v>
      </c>
      <c r="AB807" s="8">
        <v>0</v>
      </c>
      <c r="AC807" s="8">
        <v>2</v>
      </c>
      <c r="AD807" s="8">
        <v>4</v>
      </c>
      <c r="AE807" s="7" t="s">
        <v>82</v>
      </c>
      <c r="AG807">
        <f t="shared" ca="1" si="36"/>
        <v>1</v>
      </c>
      <c r="AH807" s="23" t="str" cm="1">
        <f t="array" ref="AH807">_xlfn.IFS(E807&gt;49,"50+",E807&gt;39,"40-49",E807&gt;29,"30-39",E807&gt;19,"20-29")</f>
        <v>20-29</v>
      </c>
      <c r="AI807" s="24" t="str" cm="1">
        <f t="array" aca="1" ref="AI807" ca="1">_xlfn.IFS(AG807&gt;10,"10+",AG807&gt;4,"5-10 YIL",AG807&gt;2,"3-5 YIL",AG807&gt;0.9,"1-3 YIL",AG807&lt;1,"0-1 YIL")</f>
        <v>1-3 YIL</v>
      </c>
      <c r="AJ807">
        <f t="shared" si="37"/>
        <v>2025</v>
      </c>
      <c r="AK807" t="e">
        <f t="shared" si="38"/>
        <v>#VALUE!</v>
      </c>
    </row>
    <row r="808" spans="1:37" x14ac:dyDescent="0.3">
      <c r="A808" s="2" t="s">
        <v>1272</v>
      </c>
      <c r="B808" s="3" t="s">
        <v>319</v>
      </c>
      <c r="C808" s="2" t="s">
        <v>48</v>
      </c>
      <c r="D808" s="13">
        <v>35835</v>
      </c>
      <c r="E808" s="4">
        <v>28</v>
      </c>
      <c r="F808" s="2" t="s">
        <v>49</v>
      </c>
      <c r="G808" s="4">
        <v>1</v>
      </c>
      <c r="H808" s="2" t="s">
        <v>88</v>
      </c>
      <c r="I808" s="3" t="s">
        <v>36</v>
      </c>
      <c r="J808" s="3" t="s">
        <v>37</v>
      </c>
      <c r="K808" s="2" t="s">
        <v>38</v>
      </c>
      <c r="L808" s="2" t="s">
        <v>39</v>
      </c>
      <c r="M808" s="3" t="s">
        <v>40</v>
      </c>
      <c r="N808" s="2" t="s">
        <v>67</v>
      </c>
      <c r="O808" s="13">
        <v>44961</v>
      </c>
      <c r="P808" s="2" t="s">
        <v>44</v>
      </c>
      <c r="Q808" s="3" t="s">
        <v>44</v>
      </c>
      <c r="R808" s="2" t="s">
        <v>44</v>
      </c>
      <c r="S808" s="2" t="s">
        <v>56</v>
      </c>
      <c r="T808" s="5">
        <v>27200</v>
      </c>
      <c r="U808" s="5">
        <v>0</v>
      </c>
      <c r="V808" s="4">
        <v>26</v>
      </c>
      <c r="W808" s="4">
        <v>28</v>
      </c>
      <c r="X808" s="2" t="s">
        <v>57</v>
      </c>
      <c r="Y808" s="4">
        <v>1</v>
      </c>
      <c r="Z808" s="4">
        <v>8</v>
      </c>
      <c r="AA808" s="4">
        <v>0</v>
      </c>
      <c r="AB808" s="4">
        <v>1</v>
      </c>
      <c r="AC808" s="4">
        <v>3</v>
      </c>
      <c r="AD808" s="4">
        <v>2</v>
      </c>
      <c r="AE808" s="3" t="s">
        <v>45</v>
      </c>
      <c r="AG808">
        <f t="shared" ca="1" si="36"/>
        <v>3</v>
      </c>
      <c r="AH808" s="23" t="str" cm="1">
        <f t="array" ref="AH808">_xlfn.IFS(E808&gt;49,"50+",E808&gt;39,"40-49",E808&gt;29,"30-39",E808&gt;19,"20-29")</f>
        <v>20-29</v>
      </c>
      <c r="AI808" s="24" t="str" cm="1">
        <f t="array" aca="1" ref="AI808" ca="1">_xlfn.IFS(AG808&gt;10,"10+",AG808&gt;4,"5-10 YIL",AG808&gt;2,"3-5 YIL",AG808&gt;0.9,"1-3 YIL",AG808&lt;1,"0-1 YIL")</f>
        <v>3-5 YIL</v>
      </c>
      <c r="AJ808">
        <f t="shared" si="37"/>
        <v>2023</v>
      </c>
      <c r="AK808" t="e">
        <f t="shared" si="38"/>
        <v>#VALUE!</v>
      </c>
    </row>
    <row r="809" spans="1:37" x14ac:dyDescent="0.3">
      <c r="A809" s="6" t="s">
        <v>1273</v>
      </c>
      <c r="B809" s="7" t="s">
        <v>102</v>
      </c>
      <c r="C809" s="6" t="s">
        <v>48</v>
      </c>
      <c r="D809" s="14">
        <v>30338</v>
      </c>
      <c r="E809" s="8">
        <v>43</v>
      </c>
      <c r="F809" s="6" t="s">
        <v>49</v>
      </c>
      <c r="G809" s="8">
        <v>2</v>
      </c>
      <c r="H809" s="6" t="s">
        <v>35</v>
      </c>
      <c r="I809" s="7" t="s">
        <v>61</v>
      </c>
      <c r="J809" s="7" t="s">
        <v>107</v>
      </c>
      <c r="K809" s="6" t="s">
        <v>51</v>
      </c>
      <c r="L809" s="6" t="s">
        <v>63</v>
      </c>
      <c r="M809" s="7" t="s">
        <v>64</v>
      </c>
      <c r="N809" s="6" t="s">
        <v>41</v>
      </c>
      <c r="O809" s="14">
        <v>44204</v>
      </c>
      <c r="P809" s="6" t="s">
        <v>44</v>
      </c>
      <c r="Q809" s="7" t="s">
        <v>44</v>
      </c>
      <c r="R809" s="6" t="s">
        <v>44</v>
      </c>
      <c r="S809" s="6" t="s">
        <v>56</v>
      </c>
      <c r="T809" s="9">
        <v>54500</v>
      </c>
      <c r="U809" s="9">
        <v>7100</v>
      </c>
      <c r="V809" s="8">
        <v>4</v>
      </c>
      <c r="W809" s="8">
        <v>30</v>
      </c>
      <c r="X809" s="6" t="s">
        <v>44</v>
      </c>
      <c r="Y809" s="8">
        <v>0</v>
      </c>
      <c r="Z809" s="8">
        <v>9</v>
      </c>
      <c r="AA809" s="8">
        <v>0</v>
      </c>
      <c r="AB809" s="8">
        <v>0</v>
      </c>
      <c r="AC809" s="8">
        <v>2</v>
      </c>
      <c r="AD809" s="8">
        <v>5</v>
      </c>
      <c r="AE809" s="7" t="s">
        <v>73</v>
      </c>
      <c r="AG809">
        <f t="shared" ca="1" si="36"/>
        <v>5</v>
      </c>
      <c r="AH809" s="23" t="str" cm="1">
        <f t="array" ref="AH809">_xlfn.IFS(E809&gt;49,"50+",E809&gt;39,"40-49",E809&gt;29,"30-39",E809&gt;19,"20-29")</f>
        <v>40-49</v>
      </c>
      <c r="AI809" s="24" t="str" cm="1">
        <f t="array" aca="1" ref="AI809" ca="1">_xlfn.IFS(AG809&gt;10,"10+",AG809&gt;4,"5-10 YIL",AG809&gt;2,"3-5 YIL",AG809&gt;0.9,"1-3 YIL",AG809&lt;1,"0-1 YIL")</f>
        <v>5-10 YIL</v>
      </c>
      <c r="AJ809">
        <f t="shared" si="37"/>
        <v>2021</v>
      </c>
      <c r="AK809" t="e">
        <f t="shared" si="38"/>
        <v>#VALUE!</v>
      </c>
    </row>
    <row r="810" spans="1:37" x14ac:dyDescent="0.3">
      <c r="A810" s="2" t="s">
        <v>1274</v>
      </c>
      <c r="B810" s="3" t="s">
        <v>693</v>
      </c>
      <c r="C810" s="2" t="s">
        <v>33</v>
      </c>
      <c r="D810" s="13">
        <v>36925</v>
      </c>
      <c r="E810" s="4">
        <v>25</v>
      </c>
      <c r="F810" s="2" t="s">
        <v>34</v>
      </c>
      <c r="G810" s="4">
        <v>0</v>
      </c>
      <c r="H810" s="2" t="s">
        <v>35</v>
      </c>
      <c r="I810" s="3" t="s">
        <v>36</v>
      </c>
      <c r="J810" s="3" t="s">
        <v>37</v>
      </c>
      <c r="K810" s="2" t="s">
        <v>38</v>
      </c>
      <c r="L810" s="2" t="s">
        <v>39</v>
      </c>
      <c r="M810" s="3" t="s">
        <v>40</v>
      </c>
      <c r="N810" s="2" t="s">
        <v>41</v>
      </c>
      <c r="O810" s="13">
        <v>46057</v>
      </c>
      <c r="P810" s="2" t="s">
        <v>44</v>
      </c>
      <c r="Q810" s="3" t="s">
        <v>44</v>
      </c>
      <c r="R810" s="2" t="s">
        <v>44</v>
      </c>
      <c r="S810" s="2" t="s">
        <v>56</v>
      </c>
      <c r="T810" s="5">
        <v>27500</v>
      </c>
      <c r="U810" s="5">
        <v>0</v>
      </c>
      <c r="V810" s="4">
        <v>23</v>
      </c>
      <c r="W810" s="4">
        <v>30</v>
      </c>
      <c r="X810" s="2" t="s">
        <v>44</v>
      </c>
      <c r="Y810" s="4">
        <v>0</v>
      </c>
      <c r="Z810" s="4">
        <v>0</v>
      </c>
      <c r="AA810" s="4">
        <v>0</v>
      </c>
      <c r="AB810" s="4">
        <v>0</v>
      </c>
      <c r="AC810" s="4">
        <v>4</v>
      </c>
      <c r="AD810" s="4">
        <v>28</v>
      </c>
      <c r="AE810" s="3" t="s">
        <v>58</v>
      </c>
      <c r="AG810">
        <f t="shared" ca="1" si="36"/>
        <v>0</v>
      </c>
      <c r="AH810" s="23" t="str" cm="1">
        <f t="array" ref="AH810">_xlfn.IFS(E810&gt;49,"50+",E810&gt;39,"40-49",E810&gt;29,"30-39",E810&gt;19,"20-29")</f>
        <v>20-29</v>
      </c>
      <c r="AI810" s="24" t="str" cm="1">
        <f t="array" aca="1" ref="AI810" ca="1">_xlfn.IFS(AG810&gt;10,"10+",AG810&gt;4,"5-10 YIL",AG810&gt;2,"3-5 YIL",AG810&gt;0.9,"1-3 YIL",AG810&lt;1,"0-1 YIL")</f>
        <v>0-1 YIL</v>
      </c>
      <c r="AJ810">
        <f t="shared" si="37"/>
        <v>2026</v>
      </c>
      <c r="AK810" t="e">
        <f t="shared" si="38"/>
        <v>#VALUE!</v>
      </c>
    </row>
    <row r="811" spans="1:37" x14ac:dyDescent="0.3">
      <c r="A811" s="6" t="s">
        <v>1275</v>
      </c>
      <c r="B811" s="7" t="s">
        <v>642</v>
      </c>
      <c r="C811" s="6" t="s">
        <v>48</v>
      </c>
      <c r="D811" s="14">
        <v>36109</v>
      </c>
      <c r="E811" s="8">
        <v>28</v>
      </c>
      <c r="F811" s="6" t="s">
        <v>34</v>
      </c>
      <c r="G811" s="8">
        <v>0</v>
      </c>
      <c r="H811" s="6" t="s">
        <v>85</v>
      </c>
      <c r="I811" s="7" t="s">
        <v>70</v>
      </c>
      <c r="J811" s="7" t="s">
        <v>71</v>
      </c>
      <c r="K811" s="6" t="s">
        <v>51</v>
      </c>
      <c r="L811" s="6" t="s">
        <v>63</v>
      </c>
      <c r="M811" s="7" t="s">
        <v>72</v>
      </c>
      <c r="N811" s="6" t="s">
        <v>95</v>
      </c>
      <c r="O811" s="14">
        <v>44753</v>
      </c>
      <c r="P811" s="6" t="s">
        <v>44</v>
      </c>
      <c r="Q811" s="7" t="s">
        <v>44</v>
      </c>
      <c r="R811" s="6" t="s">
        <v>44</v>
      </c>
      <c r="S811" s="6" t="s">
        <v>56</v>
      </c>
      <c r="T811" s="9">
        <v>58700</v>
      </c>
      <c r="U811" s="9">
        <v>0</v>
      </c>
      <c r="V811" s="8">
        <v>7</v>
      </c>
      <c r="W811" s="8">
        <v>28</v>
      </c>
      <c r="X811" s="6" t="s">
        <v>57</v>
      </c>
      <c r="Y811" s="8">
        <v>2</v>
      </c>
      <c r="Z811" s="8">
        <v>9</v>
      </c>
      <c r="AA811" s="8">
        <v>0</v>
      </c>
      <c r="AB811" s="8">
        <v>0</v>
      </c>
      <c r="AC811" s="8">
        <v>3</v>
      </c>
      <c r="AD811" s="8">
        <v>8</v>
      </c>
      <c r="AE811" s="7" t="s">
        <v>58</v>
      </c>
      <c r="AG811">
        <f t="shared" ca="1" si="36"/>
        <v>3</v>
      </c>
      <c r="AH811" s="23" t="str" cm="1">
        <f t="array" ref="AH811">_xlfn.IFS(E811&gt;49,"50+",E811&gt;39,"40-49",E811&gt;29,"30-39",E811&gt;19,"20-29")</f>
        <v>20-29</v>
      </c>
      <c r="AI811" s="24" t="str" cm="1">
        <f t="array" aca="1" ref="AI811" ca="1">_xlfn.IFS(AG811&gt;10,"10+",AG811&gt;4,"5-10 YIL",AG811&gt;2,"3-5 YIL",AG811&gt;0.9,"1-3 YIL",AG811&lt;1,"0-1 YIL")</f>
        <v>3-5 YIL</v>
      </c>
      <c r="AJ811">
        <f t="shared" si="37"/>
        <v>2022</v>
      </c>
      <c r="AK811" t="e">
        <f t="shared" si="38"/>
        <v>#VALUE!</v>
      </c>
    </row>
    <row r="812" spans="1:37" x14ac:dyDescent="0.3">
      <c r="A812" s="2" t="s">
        <v>1276</v>
      </c>
      <c r="B812" s="3" t="s">
        <v>298</v>
      </c>
      <c r="C812" s="2" t="s">
        <v>33</v>
      </c>
      <c r="D812" s="13">
        <v>30657</v>
      </c>
      <c r="E812" s="4">
        <v>43</v>
      </c>
      <c r="F812" s="2" t="s">
        <v>49</v>
      </c>
      <c r="G812" s="4">
        <v>2</v>
      </c>
      <c r="H812" s="2" t="s">
        <v>35</v>
      </c>
      <c r="I812" s="3" t="s">
        <v>139</v>
      </c>
      <c r="J812" s="3" t="s">
        <v>161</v>
      </c>
      <c r="K812" s="2" t="s">
        <v>51</v>
      </c>
      <c r="L812" s="2" t="s">
        <v>63</v>
      </c>
      <c r="M812" s="3" t="s">
        <v>162</v>
      </c>
      <c r="N812" s="2" t="s">
        <v>67</v>
      </c>
      <c r="O812" s="13">
        <v>44848</v>
      </c>
      <c r="P812" s="2" t="s">
        <v>44</v>
      </c>
      <c r="Q812" s="3" t="s">
        <v>44</v>
      </c>
      <c r="R812" s="2" t="s">
        <v>44</v>
      </c>
      <c r="S812" s="2" t="s">
        <v>56</v>
      </c>
      <c r="T812" s="5">
        <v>79900</v>
      </c>
      <c r="U812" s="5">
        <v>0</v>
      </c>
      <c r="V812" s="4">
        <v>1</v>
      </c>
      <c r="W812" s="4">
        <v>29</v>
      </c>
      <c r="X812" s="2" t="s">
        <v>57</v>
      </c>
      <c r="Y812" s="4">
        <v>1</v>
      </c>
      <c r="Z812" s="4">
        <v>6</v>
      </c>
      <c r="AA812" s="4">
        <v>0</v>
      </c>
      <c r="AB812" s="4">
        <v>0</v>
      </c>
      <c r="AC812" s="4">
        <v>3</v>
      </c>
      <c r="AD812" s="4">
        <v>6</v>
      </c>
      <c r="AE812" s="3" t="s">
        <v>82</v>
      </c>
      <c r="AG812">
        <f t="shared" ca="1" si="36"/>
        <v>3</v>
      </c>
      <c r="AH812" s="23" t="str" cm="1">
        <f t="array" ref="AH812">_xlfn.IFS(E812&gt;49,"50+",E812&gt;39,"40-49",E812&gt;29,"30-39",E812&gt;19,"20-29")</f>
        <v>40-49</v>
      </c>
      <c r="AI812" s="24" t="str" cm="1">
        <f t="array" aca="1" ref="AI812" ca="1">_xlfn.IFS(AG812&gt;10,"10+",AG812&gt;4,"5-10 YIL",AG812&gt;2,"3-5 YIL",AG812&gt;0.9,"1-3 YIL",AG812&lt;1,"0-1 YIL")</f>
        <v>3-5 YIL</v>
      </c>
      <c r="AJ812">
        <f t="shared" si="37"/>
        <v>2022</v>
      </c>
      <c r="AK812" t="e">
        <f t="shared" si="38"/>
        <v>#VALUE!</v>
      </c>
    </row>
    <row r="813" spans="1:37" x14ac:dyDescent="0.3">
      <c r="A813" s="6" t="s">
        <v>1277</v>
      </c>
      <c r="B813" s="7" t="s">
        <v>708</v>
      </c>
      <c r="C813" s="6" t="s">
        <v>48</v>
      </c>
      <c r="D813" s="14">
        <v>31731</v>
      </c>
      <c r="E813" s="8">
        <v>40</v>
      </c>
      <c r="F813" s="6" t="s">
        <v>49</v>
      </c>
      <c r="G813" s="8">
        <v>1</v>
      </c>
      <c r="H813" s="6" t="s">
        <v>35</v>
      </c>
      <c r="I813" s="7" t="s">
        <v>36</v>
      </c>
      <c r="J813" s="7" t="s">
        <v>50</v>
      </c>
      <c r="K813" s="6" t="s">
        <v>51</v>
      </c>
      <c r="L813" s="6" t="s">
        <v>39</v>
      </c>
      <c r="M813" s="7" t="s">
        <v>40</v>
      </c>
      <c r="N813" s="6" t="s">
        <v>67</v>
      </c>
      <c r="O813" s="14">
        <v>42349</v>
      </c>
      <c r="P813" s="6" t="s">
        <v>44</v>
      </c>
      <c r="Q813" s="7" t="s">
        <v>44</v>
      </c>
      <c r="R813" s="6" t="s">
        <v>44</v>
      </c>
      <c r="S813" s="6" t="s">
        <v>56</v>
      </c>
      <c r="T813" s="9">
        <v>43500</v>
      </c>
      <c r="U813" s="9">
        <v>0</v>
      </c>
      <c r="V813" s="8">
        <v>31</v>
      </c>
      <c r="W813" s="8">
        <v>30</v>
      </c>
      <c r="X813" s="6" t="s">
        <v>44</v>
      </c>
      <c r="Y813" s="8">
        <v>0</v>
      </c>
      <c r="Z813" s="8">
        <v>12</v>
      </c>
      <c r="AA813" s="8">
        <v>0</v>
      </c>
      <c r="AB813" s="8">
        <v>0</v>
      </c>
      <c r="AC813" s="8">
        <v>1</v>
      </c>
      <c r="AD813" s="8">
        <v>13</v>
      </c>
      <c r="AE813" s="7" t="s">
        <v>45</v>
      </c>
      <c r="AG813">
        <f t="shared" ca="1" si="36"/>
        <v>10</v>
      </c>
      <c r="AH813" s="23" t="str" cm="1">
        <f t="array" ref="AH813">_xlfn.IFS(E813&gt;49,"50+",E813&gt;39,"40-49",E813&gt;29,"30-39",E813&gt;19,"20-29")</f>
        <v>40-49</v>
      </c>
      <c r="AI813" s="24" t="str" cm="1">
        <f t="array" aca="1" ref="AI813" ca="1">_xlfn.IFS(AG813&gt;10,"10+",AG813&gt;4,"5-10 YIL",AG813&gt;2,"3-5 YIL",AG813&gt;0.9,"1-3 YIL",AG813&lt;1,"0-1 YIL")</f>
        <v>5-10 YIL</v>
      </c>
      <c r="AJ813">
        <f t="shared" si="37"/>
        <v>2015</v>
      </c>
      <c r="AK813" t="e">
        <f t="shared" si="38"/>
        <v>#VALUE!</v>
      </c>
    </row>
    <row r="814" spans="1:37" x14ac:dyDescent="0.3">
      <c r="A814" s="2" t="s">
        <v>1278</v>
      </c>
      <c r="B814" s="3" t="s">
        <v>348</v>
      </c>
      <c r="C814" s="2" t="s">
        <v>48</v>
      </c>
      <c r="D814" s="13">
        <v>32691</v>
      </c>
      <c r="E814" s="4">
        <v>37</v>
      </c>
      <c r="F814" s="2" t="s">
        <v>49</v>
      </c>
      <c r="G814" s="4">
        <v>1</v>
      </c>
      <c r="H814" s="2" t="s">
        <v>35</v>
      </c>
      <c r="I814" s="3" t="s">
        <v>148</v>
      </c>
      <c r="J814" s="3" t="s">
        <v>149</v>
      </c>
      <c r="K814" s="2" t="s">
        <v>51</v>
      </c>
      <c r="L814" s="2" t="s">
        <v>63</v>
      </c>
      <c r="M814" s="3" t="s">
        <v>150</v>
      </c>
      <c r="N814" s="2" t="s">
        <v>52</v>
      </c>
      <c r="O814" s="13">
        <v>42647</v>
      </c>
      <c r="P814" s="13">
        <v>44294</v>
      </c>
      <c r="Q814" s="3" t="s">
        <v>121</v>
      </c>
      <c r="R814" s="2">
        <v>17</v>
      </c>
      <c r="S814" s="2" t="s">
        <v>43</v>
      </c>
      <c r="T814" s="5">
        <v>51100</v>
      </c>
      <c r="U814" s="5">
        <v>0</v>
      </c>
      <c r="V814" s="4">
        <v>2</v>
      </c>
      <c r="W814" s="4">
        <v>30</v>
      </c>
      <c r="X814" s="2" t="s">
        <v>44</v>
      </c>
      <c r="Y814" s="4">
        <v>0</v>
      </c>
      <c r="Z814" s="4">
        <v>8</v>
      </c>
      <c r="AA814" s="4">
        <v>0</v>
      </c>
      <c r="AB814" s="4">
        <v>0</v>
      </c>
      <c r="AC814" s="4">
        <v>2</v>
      </c>
      <c r="AD814" s="4">
        <v>3</v>
      </c>
      <c r="AE814" s="3" t="s">
        <v>58</v>
      </c>
      <c r="AG814">
        <f t="shared" ca="1" si="36"/>
        <v>9</v>
      </c>
      <c r="AH814" s="23" t="str" cm="1">
        <f t="array" ref="AH814">_xlfn.IFS(E814&gt;49,"50+",E814&gt;39,"40-49",E814&gt;29,"30-39",E814&gt;19,"20-29")</f>
        <v>30-39</v>
      </c>
      <c r="AI814" s="24" t="str" cm="1">
        <f t="array" aca="1" ref="AI814" ca="1">_xlfn.IFS(AG814&gt;10,"10+",AG814&gt;4,"5-10 YIL",AG814&gt;2,"3-5 YIL",AG814&gt;0.9,"1-3 YIL",AG814&lt;1,"0-1 YIL")</f>
        <v>5-10 YIL</v>
      </c>
      <c r="AJ814">
        <f t="shared" si="37"/>
        <v>2016</v>
      </c>
      <c r="AK814">
        <f t="shared" si="38"/>
        <v>2021</v>
      </c>
    </row>
    <row r="815" spans="1:37" x14ac:dyDescent="0.3">
      <c r="A815" s="6" t="s">
        <v>1279</v>
      </c>
      <c r="B815" s="7" t="s">
        <v>340</v>
      </c>
      <c r="C815" s="6" t="s">
        <v>33</v>
      </c>
      <c r="D815" s="14">
        <v>32527</v>
      </c>
      <c r="E815" s="8">
        <v>37</v>
      </c>
      <c r="F815" s="6" t="s">
        <v>49</v>
      </c>
      <c r="G815" s="8">
        <v>1</v>
      </c>
      <c r="H815" s="6" t="s">
        <v>88</v>
      </c>
      <c r="I815" s="7" t="s">
        <v>36</v>
      </c>
      <c r="J815" s="7" t="s">
        <v>50</v>
      </c>
      <c r="K815" s="6" t="s">
        <v>51</v>
      </c>
      <c r="L815" s="6" t="s">
        <v>39</v>
      </c>
      <c r="M815" s="7" t="s">
        <v>40</v>
      </c>
      <c r="N815" s="6" t="s">
        <v>52</v>
      </c>
      <c r="O815" s="14">
        <v>41910</v>
      </c>
      <c r="P815" s="6" t="s">
        <v>44</v>
      </c>
      <c r="Q815" s="7" t="s">
        <v>44</v>
      </c>
      <c r="R815" s="6" t="s">
        <v>44</v>
      </c>
      <c r="S815" s="6" t="s">
        <v>56</v>
      </c>
      <c r="T815" s="9">
        <v>45500</v>
      </c>
      <c r="U815" s="9">
        <v>0</v>
      </c>
      <c r="V815" s="8">
        <v>30</v>
      </c>
      <c r="W815" s="8">
        <v>30</v>
      </c>
      <c r="X815" s="6" t="s">
        <v>44</v>
      </c>
      <c r="Y815" s="8">
        <v>0</v>
      </c>
      <c r="Z815" s="8">
        <v>3</v>
      </c>
      <c r="AA815" s="8">
        <v>0</v>
      </c>
      <c r="AB815" s="8">
        <v>0</v>
      </c>
      <c r="AC815" s="8">
        <v>5</v>
      </c>
      <c r="AD815" s="8">
        <v>26</v>
      </c>
      <c r="AE815" s="7" t="s">
        <v>45</v>
      </c>
      <c r="AG815">
        <f t="shared" ca="1" si="36"/>
        <v>11</v>
      </c>
      <c r="AH815" s="23" t="str" cm="1">
        <f t="array" ref="AH815">_xlfn.IFS(E815&gt;49,"50+",E815&gt;39,"40-49",E815&gt;29,"30-39",E815&gt;19,"20-29")</f>
        <v>30-39</v>
      </c>
      <c r="AI815" s="24" t="str" cm="1">
        <f t="array" aca="1" ref="AI815" ca="1">_xlfn.IFS(AG815&gt;10,"10+",AG815&gt;4,"5-10 YIL",AG815&gt;2,"3-5 YIL",AG815&gt;0.9,"1-3 YIL",AG815&lt;1,"0-1 YIL")</f>
        <v>10+</v>
      </c>
      <c r="AJ815">
        <f t="shared" si="37"/>
        <v>2014</v>
      </c>
      <c r="AK815" t="e">
        <f t="shared" si="38"/>
        <v>#VALUE!</v>
      </c>
    </row>
    <row r="816" spans="1:37" x14ac:dyDescent="0.3">
      <c r="A816" s="2" t="s">
        <v>1280</v>
      </c>
      <c r="B816" s="3" t="s">
        <v>768</v>
      </c>
      <c r="C816" s="2" t="s">
        <v>48</v>
      </c>
      <c r="D816" s="13">
        <v>35107</v>
      </c>
      <c r="E816" s="4">
        <v>30</v>
      </c>
      <c r="F816" s="2" t="s">
        <v>34</v>
      </c>
      <c r="G816" s="4">
        <v>0</v>
      </c>
      <c r="H816" s="2" t="s">
        <v>88</v>
      </c>
      <c r="I816" s="3" t="s">
        <v>61</v>
      </c>
      <c r="J816" s="3" t="s">
        <v>107</v>
      </c>
      <c r="K816" s="2" t="s">
        <v>51</v>
      </c>
      <c r="L816" s="2" t="s">
        <v>63</v>
      </c>
      <c r="M816" s="3" t="s">
        <v>64</v>
      </c>
      <c r="N816" s="2" t="s">
        <v>41</v>
      </c>
      <c r="O816" s="13">
        <v>42827</v>
      </c>
      <c r="P816" s="2" t="s">
        <v>44</v>
      </c>
      <c r="Q816" s="3" t="s">
        <v>44</v>
      </c>
      <c r="R816" s="2" t="s">
        <v>44</v>
      </c>
      <c r="S816" s="2" t="s">
        <v>56</v>
      </c>
      <c r="T816" s="5">
        <v>54900</v>
      </c>
      <c r="U816" s="5">
        <v>15700</v>
      </c>
      <c r="V816" s="4">
        <v>4</v>
      </c>
      <c r="W816" s="4">
        <v>30</v>
      </c>
      <c r="X816" s="2" t="s">
        <v>44</v>
      </c>
      <c r="Y816" s="4">
        <v>0</v>
      </c>
      <c r="Z816" s="4">
        <v>1</v>
      </c>
      <c r="AA816" s="4">
        <v>0</v>
      </c>
      <c r="AB816" s="4">
        <v>0</v>
      </c>
      <c r="AC816" s="4">
        <v>4</v>
      </c>
      <c r="AD816" s="4">
        <v>38</v>
      </c>
      <c r="AE816" s="3" t="s">
        <v>45</v>
      </c>
      <c r="AG816">
        <f t="shared" ca="1" si="36"/>
        <v>9</v>
      </c>
      <c r="AH816" s="23" t="str" cm="1">
        <f t="array" ref="AH816">_xlfn.IFS(E816&gt;49,"50+",E816&gt;39,"40-49",E816&gt;29,"30-39",E816&gt;19,"20-29")</f>
        <v>30-39</v>
      </c>
      <c r="AI816" s="24" t="str" cm="1">
        <f t="array" aca="1" ref="AI816" ca="1">_xlfn.IFS(AG816&gt;10,"10+",AG816&gt;4,"5-10 YIL",AG816&gt;2,"3-5 YIL",AG816&gt;0.9,"1-3 YIL",AG816&lt;1,"0-1 YIL")</f>
        <v>5-10 YIL</v>
      </c>
      <c r="AJ816">
        <f t="shared" si="37"/>
        <v>2017</v>
      </c>
      <c r="AK816" t="e">
        <f t="shared" si="38"/>
        <v>#VALUE!</v>
      </c>
    </row>
    <row r="817" spans="1:37" x14ac:dyDescent="0.3">
      <c r="A817" s="6" t="s">
        <v>1281</v>
      </c>
      <c r="B817" s="7" t="s">
        <v>1033</v>
      </c>
      <c r="C817" s="6" t="s">
        <v>48</v>
      </c>
      <c r="D817" s="14">
        <v>35568</v>
      </c>
      <c r="E817" s="8">
        <v>29</v>
      </c>
      <c r="F817" s="6" t="s">
        <v>49</v>
      </c>
      <c r="G817" s="8">
        <v>1</v>
      </c>
      <c r="H817" s="6" t="s">
        <v>85</v>
      </c>
      <c r="I817" s="7" t="s">
        <v>36</v>
      </c>
      <c r="J817" s="7" t="s">
        <v>37</v>
      </c>
      <c r="K817" s="6" t="s">
        <v>38</v>
      </c>
      <c r="L817" s="6" t="s">
        <v>39</v>
      </c>
      <c r="M817" s="7" t="s">
        <v>40</v>
      </c>
      <c r="N817" s="6" t="s">
        <v>41</v>
      </c>
      <c r="O817" s="14">
        <v>45451</v>
      </c>
      <c r="P817" s="6" t="s">
        <v>44</v>
      </c>
      <c r="Q817" s="7" t="s">
        <v>44</v>
      </c>
      <c r="R817" s="6" t="s">
        <v>44</v>
      </c>
      <c r="S817" s="6" t="s">
        <v>56</v>
      </c>
      <c r="T817" s="9">
        <v>28200</v>
      </c>
      <c r="U817" s="9">
        <v>0</v>
      </c>
      <c r="V817" s="8">
        <v>16</v>
      </c>
      <c r="W817" s="8">
        <v>28</v>
      </c>
      <c r="X817" s="6" t="s">
        <v>57</v>
      </c>
      <c r="Y817" s="8">
        <v>2</v>
      </c>
      <c r="Z817" s="8">
        <v>6</v>
      </c>
      <c r="AA817" s="8">
        <v>0</v>
      </c>
      <c r="AB817" s="8">
        <v>0</v>
      </c>
      <c r="AC817" s="8">
        <v>3</v>
      </c>
      <c r="AD817" s="8">
        <v>13</v>
      </c>
      <c r="AE817" s="7" t="s">
        <v>58</v>
      </c>
      <c r="AG817">
        <f t="shared" ca="1" si="36"/>
        <v>2</v>
      </c>
      <c r="AH817" s="23" t="str" cm="1">
        <f t="array" ref="AH817">_xlfn.IFS(E817&gt;49,"50+",E817&gt;39,"40-49",E817&gt;29,"30-39",E817&gt;19,"20-29")</f>
        <v>20-29</v>
      </c>
      <c r="AI817" s="24" t="str" cm="1">
        <f t="array" aca="1" ref="AI817" ca="1">_xlfn.IFS(AG817&gt;10,"10+",AG817&gt;4,"5-10 YIL",AG817&gt;2,"3-5 YIL",AG817&gt;0.9,"1-3 YIL",AG817&lt;1,"0-1 YIL")</f>
        <v>1-3 YIL</v>
      </c>
      <c r="AJ817">
        <f t="shared" si="37"/>
        <v>2024</v>
      </c>
      <c r="AK817" t="e">
        <f t="shared" si="38"/>
        <v>#VALUE!</v>
      </c>
    </row>
    <row r="818" spans="1:37" x14ac:dyDescent="0.3">
      <c r="A818" s="2" t="s">
        <v>1282</v>
      </c>
      <c r="B818" s="3" t="s">
        <v>55</v>
      </c>
      <c r="C818" s="2" t="s">
        <v>48</v>
      </c>
      <c r="D818" s="13">
        <v>29149</v>
      </c>
      <c r="E818" s="4">
        <v>47</v>
      </c>
      <c r="F818" s="2" t="s">
        <v>49</v>
      </c>
      <c r="G818" s="4">
        <v>2</v>
      </c>
      <c r="H818" s="2" t="s">
        <v>35</v>
      </c>
      <c r="I818" s="3" t="s">
        <v>36</v>
      </c>
      <c r="J818" s="3" t="s">
        <v>50</v>
      </c>
      <c r="K818" s="2" t="s">
        <v>51</v>
      </c>
      <c r="L818" s="2" t="s">
        <v>39</v>
      </c>
      <c r="M818" s="3" t="s">
        <v>40</v>
      </c>
      <c r="N818" s="2" t="s">
        <v>89</v>
      </c>
      <c r="O818" s="13">
        <v>43693</v>
      </c>
      <c r="P818" s="13">
        <v>46078</v>
      </c>
      <c r="Q818" s="3" t="s">
        <v>42</v>
      </c>
      <c r="R818" s="2">
        <v>3</v>
      </c>
      <c r="S818" s="2" t="s">
        <v>43</v>
      </c>
      <c r="T818" s="5">
        <v>41400</v>
      </c>
      <c r="U818" s="5">
        <v>0</v>
      </c>
      <c r="V818" s="4">
        <v>42</v>
      </c>
      <c r="W818" s="4">
        <v>24</v>
      </c>
      <c r="X818" s="2" t="s">
        <v>57</v>
      </c>
      <c r="Y818" s="4">
        <v>5</v>
      </c>
      <c r="Z818" s="4">
        <v>13</v>
      </c>
      <c r="AA818" s="4">
        <v>0</v>
      </c>
      <c r="AB818" s="4">
        <v>1</v>
      </c>
      <c r="AC818" s="4">
        <v>3</v>
      </c>
      <c r="AD818" s="4">
        <v>5</v>
      </c>
      <c r="AE818" s="3" t="s">
        <v>58</v>
      </c>
      <c r="AG818">
        <f t="shared" ca="1" si="36"/>
        <v>6</v>
      </c>
      <c r="AH818" s="23" t="str" cm="1">
        <f t="array" ref="AH818">_xlfn.IFS(E818&gt;49,"50+",E818&gt;39,"40-49",E818&gt;29,"30-39",E818&gt;19,"20-29")</f>
        <v>40-49</v>
      </c>
      <c r="AI818" s="24" t="str" cm="1">
        <f t="array" aca="1" ref="AI818" ca="1">_xlfn.IFS(AG818&gt;10,"10+",AG818&gt;4,"5-10 YIL",AG818&gt;2,"3-5 YIL",AG818&gt;0.9,"1-3 YIL",AG818&lt;1,"0-1 YIL")</f>
        <v>5-10 YIL</v>
      </c>
      <c r="AJ818">
        <f t="shared" si="37"/>
        <v>2019</v>
      </c>
      <c r="AK818">
        <f t="shared" si="38"/>
        <v>2026</v>
      </c>
    </row>
    <row r="819" spans="1:37" x14ac:dyDescent="0.3">
      <c r="A819" s="6" t="s">
        <v>1283</v>
      </c>
      <c r="B819" s="7" t="s">
        <v>549</v>
      </c>
      <c r="C819" s="6" t="s">
        <v>48</v>
      </c>
      <c r="D819" s="14">
        <v>37745</v>
      </c>
      <c r="E819" s="8">
        <v>23</v>
      </c>
      <c r="F819" s="6" t="s">
        <v>34</v>
      </c>
      <c r="G819" s="8">
        <v>0</v>
      </c>
      <c r="H819" s="6" t="s">
        <v>35</v>
      </c>
      <c r="I819" s="7" t="s">
        <v>36</v>
      </c>
      <c r="J819" s="7" t="s">
        <v>37</v>
      </c>
      <c r="K819" s="6" t="s">
        <v>38</v>
      </c>
      <c r="L819" s="6" t="s">
        <v>39</v>
      </c>
      <c r="M819" s="7" t="s">
        <v>40</v>
      </c>
      <c r="N819" s="6" t="s">
        <v>41</v>
      </c>
      <c r="O819" s="14">
        <v>46169</v>
      </c>
      <c r="P819" s="6" t="s">
        <v>44</v>
      </c>
      <c r="Q819" s="7" t="s">
        <v>44</v>
      </c>
      <c r="R819" s="6" t="s">
        <v>44</v>
      </c>
      <c r="S819" s="6" t="s">
        <v>56</v>
      </c>
      <c r="T819" s="9">
        <v>26300</v>
      </c>
      <c r="U819" s="9">
        <v>0</v>
      </c>
      <c r="V819" s="8">
        <v>21</v>
      </c>
      <c r="W819" s="8">
        <v>30</v>
      </c>
      <c r="X819" s="6" t="s">
        <v>44</v>
      </c>
      <c r="Y819" s="8">
        <v>0</v>
      </c>
      <c r="Z819" s="8">
        <v>0</v>
      </c>
      <c r="AA819" s="8">
        <v>0</v>
      </c>
      <c r="AB819" s="8">
        <v>0</v>
      </c>
      <c r="AC819" s="8">
        <v>1</v>
      </c>
      <c r="AD819" s="8">
        <v>19</v>
      </c>
      <c r="AE819" s="7" t="s">
        <v>58</v>
      </c>
      <c r="AG819">
        <f t="shared" ca="1" si="36"/>
        <v>0</v>
      </c>
      <c r="AH819" s="23" t="str" cm="1">
        <f t="array" ref="AH819">_xlfn.IFS(E819&gt;49,"50+",E819&gt;39,"40-49",E819&gt;29,"30-39",E819&gt;19,"20-29")</f>
        <v>20-29</v>
      </c>
      <c r="AI819" s="24" t="str" cm="1">
        <f t="array" aca="1" ref="AI819" ca="1">_xlfn.IFS(AG819&gt;10,"10+",AG819&gt;4,"5-10 YIL",AG819&gt;2,"3-5 YIL",AG819&gt;0.9,"1-3 YIL",AG819&lt;1,"0-1 YIL")</f>
        <v>0-1 YIL</v>
      </c>
      <c r="AJ819">
        <f t="shared" si="37"/>
        <v>2026</v>
      </c>
      <c r="AK819" t="e">
        <f t="shared" si="38"/>
        <v>#VALUE!</v>
      </c>
    </row>
    <row r="820" spans="1:37" x14ac:dyDescent="0.3">
      <c r="A820" s="2" t="s">
        <v>1284</v>
      </c>
      <c r="B820" s="3" t="s">
        <v>909</v>
      </c>
      <c r="C820" s="2" t="s">
        <v>48</v>
      </c>
      <c r="D820" s="13">
        <v>35431</v>
      </c>
      <c r="E820" s="4">
        <v>29</v>
      </c>
      <c r="F820" s="2" t="s">
        <v>34</v>
      </c>
      <c r="G820" s="4">
        <v>0</v>
      </c>
      <c r="H820" s="2" t="s">
        <v>35</v>
      </c>
      <c r="I820" s="3" t="s">
        <v>61</v>
      </c>
      <c r="J820" s="3" t="s">
        <v>62</v>
      </c>
      <c r="K820" s="2" t="s">
        <v>38</v>
      </c>
      <c r="L820" s="2" t="s">
        <v>63</v>
      </c>
      <c r="M820" s="3" t="s">
        <v>64</v>
      </c>
      <c r="N820" s="2" t="s">
        <v>41</v>
      </c>
      <c r="O820" s="13">
        <v>45262</v>
      </c>
      <c r="P820" s="2" t="s">
        <v>44</v>
      </c>
      <c r="Q820" s="3" t="s">
        <v>44</v>
      </c>
      <c r="R820" s="2" t="s">
        <v>44</v>
      </c>
      <c r="S820" s="2" t="s">
        <v>56</v>
      </c>
      <c r="T820" s="5">
        <v>32200</v>
      </c>
      <c r="U820" s="5">
        <v>0</v>
      </c>
      <c r="V820" s="4">
        <v>5</v>
      </c>
      <c r="W820" s="4">
        <v>30</v>
      </c>
      <c r="X820" s="2" t="s">
        <v>44</v>
      </c>
      <c r="Y820" s="4">
        <v>0</v>
      </c>
      <c r="Z820" s="4">
        <v>8</v>
      </c>
      <c r="AA820" s="4">
        <v>0</v>
      </c>
      <c r="AB820" s="4">
        <v>0</v>
      </c>
      <c r="AC820" s="4">
        <v>2</v>
      </c>
      <c r="AD820" s="4">
        <v>2</v>
      </c>
      <c r="AE820" s="3" t="s">
        <v>45</v>
      </c>
      <c r="AG820">
        <f t="shared" ca="1" si="36"/>
        <v>2</v>
      </c>
      <c r="AH820" s="23" t="str" cm="1">
        <f t="array" ref="AH820">_xlfn.IFS(E820&gt;49,"50+",E820&gt;39,"40-49",E820&gt;29,"30-39",E820&gt;19,"20-29")</f>
        <v>20-29</v>
      </c>
      <c r="AI820" s="24" t="str" cm="1">
        <f t="array" aca="1" ref="AI820" ca="1">_xlfn.IFS(AG820&gt;10,"10+",AG820&gt;4,"5-10 YIL",AG820&gt;2,"3-5 YIL",AG820&gt;0.9,"1-3 YIL",AG820&lt;1,"0-1 YIL")</f>
        <v>1-3 YIL</v>
      </c>
      <c r="AJ820">
        <f t="shared" si="37"/>
        <v>2023</v>
      </c>
      <c r="AK820" t="e">
        <f t="shared" si="38"/>
        <v>#VALUE!</v>
      </c>
    </row>
    <row r="821" spans="1:37" x14ac:dyDescent="0.3">
      <c r="A821" s="6" t="s">
        <v>1285</v>
      </c>
      <c r="B821" s="7" t="s">
        <v>114</v>
      </c>
      <c r="C821" s="6" t="s">
        <v>48</v>
      </c>
      <c r="D821" s="14">
        <v>37148</v>
      </c>
      <c r="E821" s="8">
        <v>25</v>
      </c>
      <c r="F821" s="6" t="s">
        <v>49</v>
      </c>
      <c r="G821" s="8">
        <v>1</v>
      </c>
      <c r="H821" s="6" t="s">
        <v>35</v>
      </c>
      <c r="I821" s="7" t="s">
        <v>70</v>
      </c>
      <c r="J821" s="7" t="s">
        <v>92</v>
      </c>
      <c r="K821" s="6" t="s">
        <v>38</v>
      </c>
      <c r="L821" s="6" t="s">
        <v>63</v>
      </c>
      <c r="M821" s="7" t="s">
        <v>72</v>
      </c>
      <c r="N821" s="6" t="s">
        <v>41</v>
      </c>
      <c r="O821" s="14">
        <v>45134</v>
      </c>
      <c r="P821" s="6" t="s">
        <v>44</v>
      </c>
      <c r="Q821" s="7" t="s">
        <v>44</v>
      </c>
      <c r="R821" s="6" t="s">
        <v>44</v>
      </c>
      <c r="S821" s="6" t="s">
        <v>56</v>
      </c>
      <c r="T821" s="9">
        <v>35700</v>
      </c>
      <c r="U821" s="9">
        <v>0</v>
      </c>
      <c r="V821" s="8">
        <v>8</v>
      </c>
      <c r="W821" s="8">
        <v>28</v>
      </c>
      <c r="X821" s="6" t="s">
        <v>57</v>
      </c>
      <c r="Y821" s="8">
        <v>2</v>
      </c>
      <c r="Z821" s="8">
        <v>11</v>
      </c>
      <c r="AA821" s="8">
        <v>0</v>
      </c>
      <c r="AB821" s="8">
        <v>0</v>
      </c>
      <c r="AC821" s="8">
        <v>2</v>
      </c>
      <c r="AD821" s="8">
        <v>4</v>
      </c>
      <c r="AE821" s="7" t="s">
        <v>58</v>
      </c>
      <c r="AG821">
        <f t="shared" ca="1" si="36"/>
        <v>2</v>
      </c>
      <c r="AH821" s="23" t="str" cm="1">
        <f t="array" ref="AH821">_xlfn.IFS(E821&gt;49,"50+",E821&gt;39,"40-49",E821&gt;29,"30-39",E821&gt;19,"20-29")</f>
        <v>20-29</v>
      </c>
      <c r="AI821" s="24" t="str" cm="1">
        <f t="array" aca="1" ref="AI821" ca="1">_xlfn.IFS(AG821&gt;10,"10+",AG821&gt;4,"5-10 YIL",AG821&gt;2,"3-5 YIL",AG821&gt;0.9,"1-3 YIL",AG821&lt;1,"0-1 YIL")</f>
        <v>1-3 YIL</v>
      </c>
      <c r="AJ821">
        <f t="shared" si="37"/>
        <v>2023</v>
      </c>
      <c r="AK821" t="e">
        <f t="shared" si="38"/>
        <v>#VALUE!</v>
      </c>
    </row>
    <row r="822" spans="1:37" x14ac:dyDescent="0.3">
      <c r="A822" s="2" t="s">
        <v>1286</v>
      </c>
      <c r="B822" s="3" t="s">
        <v>335</v>
      </c>
      <c r="C822" s="2" t="s">
        <v>48</v>
      </c>
      <c r="D822" s="13">
        <v>35038</v>
      </c>
      <c r="E822" s="4">
        <v>31</v>
      </c>
      <c r="F822" s="2" t="s">
        <v>34</v>
      </c>
      <c r="G822" s="4">
        <v>0</v>
      </c>
      <c r="H822" s="2" t="s">
        <v>35</v>
      </c>
      <c r="I822" s="3" t="s">
        <v>61</v>
      </c>
      <c r="J822" s="3" t="s">
        <v>107</v>
      </c>
      <c r="K822" s="2" t="s">
        <v>51</v>
      </c>
      <c r="L822" s="2" t="s">
        <v>63</v>
      </c>
      <c r="M822" s="3" t="s">
        <v>64</v>
      </c>
      <c r="N822" s="2" t="s">
        <v>95</v>
      </c>
      <c r="O822" s="13">
        <v>45002</v>
      </c>
      <c r="P822" s="2" t="s">
        <v>44</v>
      </c>
      <c r="Q822" s="3" t="s">
        <v>44</v>
      </c>
      <c r="R822" s="2" t="s">
        <v>44</v>
      </c>
      <c r="S822" s="2" t="s">
        <v>56</v>
      </c>
      <c r="T822" s="5">
        <v>62800</v>
      </c>
      <c r="U822" s="5">
        <v>12900</v>
      </c>
      <c r="V822" s="4">
        <v>1</v>
      </c>
      <c r="W822" s="4">
        <v>27</v>
      </c>
      <c r="X822" s="2" t="s">
        <v>57</v>
      </c>
      <c r="Y822" s="4">
        <v>2</v>
      </c>
      <c r="Z822" s="4">
        <v>1</v>
      </c>
      <c r="AA822" s="4">
        <v>1</v>
      </c>
      <c r="AB822" s="4">
        <v>0</v>
      </c>
      <c r="AC822" s="4">
        <v>3</v>
      </c>
      <c r="AD822" s="4">
        <v>11</v>
      </c>
      <c r="AE822" s="3" t="s">
        <v>58</v>
      </c>
      <c r="AG822">
        <f t="shared" ca="1" si="36"/>
        <v>3</v>
      </c>
      <c r="AH822" s="23" t="str" cm="1">
        <f t="array" ref="AH822">_xlfn.IFS(E822&gt;49,"50+",E822&gt;39,"40-49",E822&gt;29,"30-39",E822&gt;19,"20-29")</f>
        <v>30-39</v>
      </c>
      <c r="AI822" s="24" t="str" cm="1">
        <f t="array" aca="1" ref="AI822" ca="1">_xlfn.IFS(AG822&gt;10,"10+",AG822&gt;4,"5-10 YIL",AG822&gt;2,"3-5 YIL",AG822&gt;0.9,"1-3 YIL",AG822&lt;1,"0-1 YIL")</f>
        <v>3-5 YIL</v>
      </c>
      <c r="AJ822">
        <f t="shared" si="37"/>
        <v>2023</v>
      </c>
      <c r="AK822" t="e">
        <f t="shared" si="38"/>
        <v>#VALUE!</v>
      </c>
    </row>
    <row r="823" spans="1:37" x14ac:dyDescent="0.3">
      <c r="A823" s="6" t="s">
        <v>1287</v>
      </c>
      <c r="B823" s="7" t="s">
        <v>1288</v>
      </c>
      <c r="C823" s="6" t="s">
        <v>33</v>
      </c>
      <c r="D823" s="14">
        <v>36936</v>
      </c>
      <c r="E823" s="8">
        <v>25</v>
      </c>
      <c r="F823" s="6" t="s">
        <v>49</v>
      </c>
      <c r="G823" s="8">
        <v>0</v>
      </c>
      <c r="H823" s="6" t="s">
        <v>35</v>
      </c>
      <c r="I823" s="7" t="s">
        <v>36</v>
      </c>
      <c r="J823" s="7" t="s">
        <v>37</v>
      </c>
      <c r="K823" s="6" t="s">
        <v>38</v>
      </c>
      <c r="L823" s="6" t="s">
        <v>39</v>
      </c>
      <c r="M823" s="7" t="s">
        <v>40</v>
      </c>
      <c r="N823" s="6" t="s">
        <v>67</v>
      </c>
      <c r="O823" s="14">
        <v>44861</v>
      </c>
      <c r="P823" s="6" t="s">
        <v>44</v>
      </c>
      <c r="Q823" s="7" t="s">
        <v>44</v>
      </c>
      <c r="R823" s="6" t="s">
        <v>44</v>
      </c>
      <c r="S823" s="6" t="s">
        <v>56</v>
      </c>
      <c r="T823" s="9">
        <v>26900</v>
      </c>
      <c r="U823" s="9">
        <v>0</v>
      </c>
      <c r="V823" s="8">
        <v>27</v>
      </c>
      <c r="W823" s="8">
        <v>27</v>
      </c>
      <c r="X823" s="6" t="s">
        <v>57</v>
      </c>
      <c r="Y823" s="8">
        <v>3</v>
      </c>
      <c r="Z823" s="8">
        <v>3</v>
      </c>
      <c r="AA823" s="8">
        <v>0</v>
      </c>
      <c r="AB823" s="8">
        <v>0</v>
      </c>
      <c r="AC823" s="8">
        <v>2</v>
      </c>
      <c r="AD823" s="8">
        <v>4</v>
      </c>
      <c r="AE823" s="7" t="s">
        <v>45</v>
      </c>
      <c r="AG823">
        <f t="shared" ca="1" si="36"/>
        <v>3</v>
      </c>
      <c r="AH823" s="23" t="str" cm="1">
        <f t="array" ref="AH823">_xlfn.IFS(E823&gt;49,"50+",E823&gt;39,"40-49",E823&gt;29,"30-39",E823&gt;19,"20-29")</f>
        <v>20-29</v>
      </c>
      <c r="AI823" s="24" t="str" cm="1">
        <f t="array" aca="1" ref="AI823" ca="1">_xlfn.IFS(AG823&gt;10,"10+",AG823&gt;4,"5-10 YIL",AG823&gt;2,"3-5 YIL",AG823&gt;0.9,"1-3 YIL",AG823&lt;1,"0-1 YIL")</f>
        <v>3-5 YIL</v>
      </c>
      <c r="AJ823">
        <f t="shared" si="37"/>
        <v>2022</v>
      </c>
      <c r="AK823" t="e">
        <f t="shared" si="38"/>
        <v>#VALUE!</v>
      </c>
    </row>
    <row r="824" spans="1:37" x14ac:dyDescent="0.3">
      <c r="A824" s="2" t="s">
        <v>1289</v>
      </c>
      <c r="B824" s="3" t="s">
        <v>536</v>
      </c>
      <c r="C824" s="2" t="s">
        <v>48</v>
      </c>
      <c r="D824" s="13">
        <v>37362</v>
      </c>
      <c r="E824" s="4">
        <v>24</v>
      </c>
      <c r="F824" s="2" t="s">
        <v>34</v>
      </c>
      <c r="G824" s="4">
        <v>0</v>
      </c>
      <c r="H824" s="2" t="s">
        <v>35</v>
      </c>
      <c r="I824" s="3" t="s">
        <v>61</v>
      </c>
      <c r="J824" s="3" t="s">
        <v>62</v>
      </c>
      <c r="K824" s="2" t="s">
        <v>38</v>
      </c>
      <c r="L824" s="2" t="s">
        <v>63</v>
      </c>
      <c r="M824" s="3" t="s">
        <v>64</v>
      </c>
      <c r="N824" s="2" t="s">
        <v>95</v>
      </c>
      <c r="O824" s="13">
        <v>44888</v>
      </c>
      <c r="P824" s="2" t="s">
        <v>44</v>
      </c>
      <c r="Q824" s="3" t="s">
        <v>44</v>
      </c>
      <c r="R824" s="2" t="s">
        <v>44</v>
      </c>
      <c r="S824" s="2" t="s">
        <v>56</v>
      </c>
      <c r="T824" s="5">
        <v>30800</v>
      </c>
      <c r="U824" s="5">
        <v>6000</v>
      </c>
      <c r="V824" s="4">
        <v>4</v>
      </c>
      <c r="W824" s="4">
        <v>25</v>
      </c>
      <c r="X824" s="2" t="s">
        <v>57</v>
      </c>
      <c r="Y824" s="4">
        <v>5</v>
      </c>
      <c r="Z824" s="4">
        <v>8</v>
      </c>
      <c r="AA824" s="4">
        <v>0</v>
      </c>
      <c r="AB824" s="4">
        <v>0</v>
      </c>
      <c r="AC824" s="4">
        <v>3</v>
      </c>
      <c r="AD824" s="4">
        <v>6</v>
      </c>
      <c r="AE824" s="3" t="s">
        <v>82</v>
      </c>
      <c r="AG824">
        <f t="shared" ca="1" si="36"/>
        <v>3</v>
      </c>
      <c r="AH824" s="23" t="str" cm="1">
        <f t="array" ref="AH824">_xlfn.IFS(E824&gt;49,"50+",E824&gt;39,"40-49",E824&gt;29,"30-39",E824&gt;19,"20-29")</f>
        <v>20-29</v>
      </c>
      <c r="AI824" s="24" t="str" cm="1">
        <f t="array" aca="1" ref="AI824" ca="1">_xlfn.IFS(AG824&gt;10,"10+",AG824&gt;4,"5-10 YIL",AG824&gt;2,"3-5 YIL",AG824&gt;0.9,"1-3 YIL",AG824&lt;1,"0-1 YIL")</f>
        <v>3-5 YIL</v>
      </c>
      <c r="AJ824">
        <f t="shared" si="37"/>
        <v>2022</v>
      </c>
      <c r="AK824" t="e">
        <f t="shared" si="38"/>
        <v>#VALUE!</v>
      </c>
    </row>
    <row r="825" spans="1:37" x14ac:dyDescent="0.3">
      <c r="A825" s="6" t="s">
        <v>1290</v>
      </c>
      <c r="B825" s="7" t="s">
        <v>1291</v>
      </c>
      <c r="C825" s="6" t="s">
        <v>48</v>
      </c>
      <c r="D825" s="14">
        <v>36330</v>
      </c>
      <c r="E825" s="8">
        <v>27</v>
      </c>
      <c r="F825" s="6" t="s">
        <v>49</v>
      </c>
      <c r="G825" s="8">
        <v>3</v>
      </c>
      <c r="H825" s="6" t="s">
        <v>88</v>
      </c>
      <c r="I825" s="7" t="s">
        <v>36</v>
      </c>
      <c r="J825" s="7" t="s">
        <v>37</v>
      </c>
      <c r="K825" s="6" t="s">
        <v>38</v>
      </c>
      <c r="L825" s="6" t="s">
        <v>39</v>
      </c>
      <c r="M825" s="7" t="s">
        <v>40</v>
      </c>
      <c r="N825" s="6" t="s">
        <v>41</v>
      </c>
      <c r="O825" s="14">
        <v>45522</v>
      </c>
      <c r="P825" s="6" t="s">
        <v>44</v>
      </c>
      <c r="Q825" s="7" t="s">
        <v>44</v>
      </c>
      <c r="R825" s="6" t="s">
        <v>44</v>
      </c>
      <c r="S825" s="6" t="s">
        <v>56</v>
      </c>
      <c r="T825" s="9">
        <v>25600</v>
      </c>
      <c r="U825" s="9">
        <v>0</v>
      </c>
      <c r="V825" s="8">
        <v>36</v>
      </c>
      <c r="W825" s="8">
        <v>30</v>
      </c>
      <c r="X825" s="6" t="s">
        <v>44</v>
      </c>
      <c r="Y825" s="8">
        <v>0</v>
      </c>
      <c r="Z825" s="8">
        <v>14</v>
      </c>
      <c r="AA825" s="8">
        <v>0</v>
      </c>
      <c r="AB825" s="8">
        <v>0</v>
      </c>
      <c r="AC825" s="8">
        <v>2</v>
      </c>
      <c r="AD825" s="8">
        <v>18</v>
      </c>
      <c r="AE825" s="7" t="s">
        <v>58</v>
      </c>
      <c r="AG825">
        <f t="shared" ca="1" si="36"/>
        <v>1</v>
      </c>
      <c r="AH825" s="23" t="str" cm="1">
        <f t="array" ref="AH825">_xlfn.IFS(E825&gt;49,"50+",E825&gt;39,"40-49",E825&gt;29,"30-39",E825&gt;19,"20-29")</f>
        <v>20-29</v>
      </c>
      <c r="AI825" s="24" t="str" cm="1">
        <f t="array" aca="1" ref="AI825" ca="1">_xlfn.IFS(AG825&gt;10,"10+",AG825&gt;4,"5-10 YIL",AG825&gt;2,"3-5 YIL",AG825&gt;0.9,"1-3 YIL",AG825&lt;1,"0-1 YIL")</f>
        <v>1-3 YIL</v>
      </c>
      <c r="AJ825">
        <f t="shared" si="37"/>
        <v>2024</v>
      </c>
      <c r="AK825" t="e">
        <f t="shared" si="38"/>
        <v>#VALUE!</v>
      </c>
    </row>
    <row r="826" spans="1:37" x14ac:dyDescent="0.3">
      <c r="A826" s="2" t="s">
        <v>1292</v>
      </c>
      <c r="B826" s="3" t="s">
        <v>166</v>
      </c>
      <c r="C826" s="2" t="s">
        <v>48</v>
      </c>
      <c r="D826" s="13">
        <v>26852</v>
      </c>
      <c r="E826" s="4">
        <v>53</v>
      </c>
      <c r="F826" s="2" t="s">
        <v>34</v>
      </c>
      <c r="G826" s="4">
        <v>0</v>
      </c>
      <c r="H826" s="2" t="s">
        <v>85</v>
      </c>
      <c r="I826" s="3" t="s">
        <v>61</v>
      </c>
      <c r="J826" s="3" t="s">
        <v>124</v>
      </c>
      <c r="K826" s="2" t="s">
        <v>79</v>
      </c>
      <c r="L826" s="2" t="s">
        <v>63</v>
      </c>
      <c r="M826" s="3" t="s">
        <v>80</v>
      </c>
      <c r="N826" s="2" t="s">
        <v>52</v>
      </c>
      <c r="O826" s="13">
        <v>42732</v>
      </c>
      <c r="P826" s="2" t="s">
        <v>44</v>
      </c>
      <c r="Q826" s="3" t="s">
        <v>44</v>
      </c>
      <c r="R826" s="2" t="s">
        <v>44</v>
      </c>
      <c r="S826" s="2" t="s">
        <v>56</v>
      </c>
      <c r="T826" s="5">
        <v>120000</v>
      </c>
      <c r="U826" s="5">
        <v>23700</v>
      </c>
      <c r="V826" s="4">
        <v>4</v>
      </c>
      <c r="W826" s="4">
        <v>28</v>
      </c>
      <c r="X826" s="2" t="s">
        <v>57</v>
      </c>
      <c r="Y826" s="4">
        <v>2</v>
      </c>
      <c r="Z826" s="4">
        <v>2</v>
      </c>
      <c r="AA826" s="4">
        <v>0</v>
      </c>
      <c r="AB826" s="4">
        <v>0</v>
      </c>
      <c r="AC826" s="4">
        <v>4</v>
      </c>
      <c r="AD826" s="4">
        <v>17</v>
      </c>
      <c r="AE826" s="3" t="s">
        <v>96</v>
      </c>
      <c r="AG826">
        <f t="shared" ca="1" si="36"/>
        <v>9</v>
      </c>
      <c r="AH826" s="23" t="str" cm="1">
        <f t="array" ref="AH826">_xlfn.IFS(E826&gt;49,"50+",E826&gt;39,"40-49",E826&gt;29,"30-39",E826&gt;19,"20-29")</f>
        <v>50+</v>
      </c>
      <c r="AI826" s="24" t="str" cm="1">
        <f t="array" aca="1" ref="AI826" ca="1">_xlfn.IFS(AG826&gt;10,"10+",AG826&gt;4,"5-10 YIL",AG826&gt;2,"3-5 YIL",AG826&gt;0.9,"1-3 YIL",AG826&lt;1,"0-1 YIL")</f>
        <v>5-10 YIL</v>
      </c>
      <c r="AJ826">
        <f t="shared" si="37"/>
        <v>2016</v>
      </c>
      <c r="AK826" t="e">
        <f t="shared" si="38"/>
        <v>#VALUE!</v>
      </c>
    </row>
    <row r="827" spans="1:37" x14ac:dyDescent="0.3">
      <c r="A827" s="6" t="s">
        <v>1293</v>
      </c>
      <c r="B827" s="7" t="s">
        <v>403</v>
      </c>
      <c r="C827" s="6" t="s">
        <v>48</v>
      </c>
      <c r="D827" s="14">
        <v>37489</v>
      </c>
      <c r="E827" s="8">
        <v>24</v>
      </c>
      <c r="F827" s="6" t="s">
        <v>49</v>
      </c>
      <c r="G827" s="8">
        <v>0</v>
      </c>
      <c r="H827" s="6" t="s">
        <v>35</v>
      </c>
      <c r="I827" s="7" t="s">
        <v>70</v>
      </c>
      <c r="J827" s="7" t="s">
        <v>92</v>
      </c>
      <c r="K827" s="6" t="s">
        <v>38</v>
      </c>
      <c r="L827" s="6" t="s">
        <v>63</v>
      </c>
      <c r="M827" s="7" t="s">
        <v>72</v>
      </c>
      <c r="N827" s="6" t="s">
        <v>41</v>
      </c>
      <c r="O827" s="14">
        <v>44838</v>
      </c>
      <c r="P827" s="6" t="s">
        <v>44</v>
      </c>
      <c r="Q827" s="7" t="s">
        <v>44</v>
      </c>
      <c r="R827" s="6" t="s">
        <v>44</v>
      </c>
      <c r="S827" s="6" t="s">
        <v>56</v>
      </c>
      <c r="T827" s="9">
        <v>36500</v>
      </c>
      <c r="U827" s="9">
        <v>0</v>
      </c>
      <c r="V827" s="8">
        <v>5</v>
      </c>
      <c r="W827" s="8">
        <v>30</v>
      </c>
      <c r="X827" s="6" t="s">
        <v>44</v>
      </c>
      <c r="Y827" s="8">
        <v>0</v>
      </c>
      <c r="Z827" s="8">
        <v>8</v>
      </c>
      <c r="AA827" s="8">
        <v>0</v>
      </c>
      <c r="AB827" s="8">
        <v>0</v>
      </c>
      <c r="AC827" s="8">
        <v>4</v>
      </c>
      <c r="AD827" s="8">
        <v>29</v>
      </c>
      <c r="AE827" s="7" t="s">
        <v>45</v>
      </c>
      <c r="AG827">
        <f t="shared" ca="1" si="36"/>
        <v>3</v>
      </c>
      <c r="AH827" s="23" t="str" cm="1">
        <f t="array" ref="AH827">_xlfn.IFS(E827&gt;49,"50+",E827&gt;39,"40-49",E827&gt;29,"30-39",E827&gt;19,"20-29")</f>
        <v>20-29</v>
      </c>
      <c r="AI827" s="24" t="str" cm="1">
        <f t="array" aca="1" ref="AI827" ca="1">_xlfn.IFS(AG827&gt;10,"10+",AG827&gt;4,"5-10 YIL",AG827&gt;2,"3-5 YIL",AG827&gt;0.9,"1-3 YIL",AG827&lt;1,"0-1 YIL")</f>
        <v>3-5 YIL</v>
      </c>
      <c r="AJ827">
        <f t="shared" si="37"/>
        <v>2022</v>
      </c>
      <c r="AK827" t="e">
        <f t="shared" si="38"/>
        <v>#VALUE!</v>
      </c>
    </row>
    <row r="828" spans="1:37" x14ac:dyDescent="0.3">
      <c r="A828" s="2" t="s">
        <v>1294</v>
      </c>
      <c r="B828" s="3" t="s">
        <v>126</v>
      </c>
      <c r="C828" s="2" t="s">
        <v>33</v>
      </c>
      <c r="D828" s="13">
        <v>36136</v>
      </c>
      <c r="E828" s="4">
        <v>28</v>
      </c>
      <c r="F828" s="2" t="s">
        <v>34</v>
      </c>
      <c r="G828" s="4">
        <v>0</v>
      </c>
      <c r="H828" s="2" t="s">
        <v>85</v>
      </c>
      <c r="I828" s="3" t="s">
        <v>36</v>
      </c>
      <c r="J828" s="3" t="s">
        <v>50</v>
      </c>
      <c r="K828" s="2" t="s">
        <v>51</v>
      </c>
      <c r="L828" s="2" t="s">
        <v>39</v>
      </c>
      <c r="M828" s="3" t="s">
        <v>40</v>
      </c>
      <c r="N828" s="2" t="s">
        <v>41</v>
      </c>
      <c r="O828" s="13">
        <v>45028</v>
      </c>
      <c r="P828" s="2" t="s">
        <v>44</v>
      </c>
      <c r="Q828" s="3" t="s">
        <v>44</v>
      </c>
      <c r="R828" s="2" t="s">
        <v>44</v>
      </c>
      <c r="S828" s="2" t="s">
        <v>56</v>
      </c>
      <c r="T828" s="5">
        <v>38000</v>
      </c>
      <c r="U828" s="5">
        <v>0</v>
      </c>
      <c r="V828" s="4">
        <v>40</v>
      </c>
      <c r="W828" s="4">
        <v>28</v>
      </c>
      <c r="X828" s="2" t="s">
        <v>57</v>
      </c>
      <c r="Y828" s="4">
        <v>2</v>
      </c>
      <c r="Z828" s="4">
        <v>11</v>
      </c>
      <c r="AA828" s="4">
        <v>0</v>
      </c>
      <c r="AB828" s="4">
        <v>0</v>
      </c>
      <c r="AC828" s="4">
        <v>3</v>
      </c>
      <c r="AD828" s="4">
        <v>7</v>
      </c>
      <c r="AE828" s="3" t="s">
        <v>73</v>
      </c>
      <c r="AG828">
        <f t="shared" ca="1" si="36"/>
        <v>3</v>
      </c>
      <c r="AH828" s="23" t="str" cm="1">
        <f t="array" ref="AH828">_xlfn.IFS(E828&gt;49,"50+",E828&gt;39,"40-49",E828&gt;29,"30-39",E828&gt;19,"20-29")</f>
        <v>20-29</v>
      </c>
      <c r="AI828" s="24" t="str" cm="1">
        <f t="array" aca="1" ref="AI828" ca="1">_xlfn.IFS(AG828&gt;10,"10+",AG828&gt;4,"5-10 YIL",AG828&gt;2,"3-5 YIL",AG828&gt;0.9,"1-3 YIL",AG828&lt;1,"0-1 YIL")</f>
        <v>3-5 YIL</v>
      </c>
      <c r="AJ828">
        <f t="shared" si="37"/>
        <v>2023</v>
      </c>
      <c r="AK828" t="e">
        <f t="shared" si="38"/>
        <v>#VALUE!</v>
      </c>
    </row>
    <row r="829" spans="1:37" x14ac:dyDescent="0.3">
      <c r="A829" s="6" t="s">
        <v>1295</v>
      </c>
      <c r="B829" s="7" t="s">
        <v>313</v>
      </c>
      <c r="C829" s="6" t="s">
        <v>48</v>
      </c>
      <c r="D829" s="14">
        <v>31431</v>
      </c>
      <c r="E829" s="8">
        <v>40</v>
      </c>
      <c r="F829" s="6" t="s">
        <v>49</v>
      </c>
      <c r="G829" s="8">
        <v>1</v>
      </c>
      <c r="H829" s="6" t="s">
        <v>35</v>
      </c>
      <c r="I829" s="7" t="s">
        <v>139</v>
      </c>
      <c r="J829" s="7" t="s">
        <v>161</v>
      </c>
      <c r="K829" s="6" t="s">
        <v>51</v>
      </c>
      <c r="L829" s="6" t="s">
        <v>63</v>
      </c>
      <c r="M829" s="7" t="s">
        <v>162</v>
      </c>
      <c r="N829" s="6" t="s">
        <v>41</v>
      </c>
      <c r="O829" s="14">
        <v>44807</v>
      </c>
      <c r="P829" s="6" t="s">
        <v>44</v>
      </c>
      <c r="Q829" s="7" t="s">
        <v>44</v>
      </c>
      <c r="R829" s="6" t="s">
        <v>44</v>
      </c>
      <c r="S829" s="6" t="s">
        <v>56</v>
      </c>
      <c r="T829" s="9">
        <v>74500</v>
      </c>
      <c r="U829" s="9">
        <v>0</v>
      </c>
      <c r="V829" s="8">
        <v>1</v>
      </c>
      <c r="W829" s="8">
        <v>30</v>
      </c>
      <c r="X829" s="6" t="s">
        <v>44</v>
      </c>
      <c r="Y829" s="8">
        <v>0</v>
      </c>
      <c r="Z829" s="8">
        <v>13</v>
      </c>
      <c r="AA829" s="8">
        <v>0</v>
      </c>
      <c r="AB829" s="8">
        <v>0</v>
      </c>
      <c r="AC829" s="8">
        <v>3</v>
      </c>
      <c r="AD829" s="8">
        <v>8</v>
      </c>
      <c r="AE829" s="7" t="s">
        <v>58</v>
      </c>
      <c r="AG829">
        <f t="shared" ca="1" si="36"/>
        <v>3</v>
      </c>
      <c r="AH829" s="23" t="str" cm="1">
        <f t="array" ref="AH829">_xlfn.IFS(E829&gt;49,"50+",E829&gt;39,"40-49",E829&gt;29,"30-39",E829&gt;19,"20-29")</f>
        <v>40-49</v>
      </c>
      <c r="AI829" s="24" t="str" cm="1">
        <f t="array" aca="1" ref="AI829" ca="1">_xlfn.IFS(AG829&gt;10,"10+",AG829&gt;4,"5-10 YIL",AG829&gt;2,"3-5 YIL",AG829&gt;0.9,"1-3 YIL",AG829&lt;1,"0-1 YIL")</f>
        <v>3-5 YIL</v>
      </c>
      <c r="AJ829">
        <f t="shared" si="37"/>
        <v>2022</v>
      </c>
      <c r="AK829" t="e">
        <f t="shared" si="38"/>
        <v>#VALUE!</v>
      </c>
    </row>
    <row r="830" spans="1:37" x14ac:dyDescent="0.3">
      <c r="A830" s="2" t="s">
        <v>1296</v>
      </c>
      <c r="B830" s="3" t="s">
        <v>768</v>
      </c>
      <c r="C830" s="2" t="s">
        <v>48</v>
      </c>
      <c r="D830" s="13">
        <v>36363</v>
      </c>
      <c r="E830" s="4">
        <v>27</v>
      </c>
      <c r="F830" s="2" t="s">
        <v>34</v>
      </c>
      <c r="G830" s="4">
        <v>0</v>
      </c>
      <c r="H830" s="2" t="s">
        <v>85</v>
      </c>
      <c r="I830" s="3" t="s">
        <v>36</v>
      </c>
      <c r="J830" s="3" t="s">
        <v>37</v>
      </c>
      <c r="K830" s="2" t="s">
        <v>38</v>
      </c>
      <c r="L830" s="2" t="s">
        <v>39</v>
      </c>
      <c r="M830" s="3" t="s">
        <v>40</v>
      </c>
      <c r="N830" s="2" t="s">
        <v>52</v>
      </c>
      <c r="O830" s="13">
        <v>44949</v>
      </c>
      <c r="P830" s="2" t="s">
        <v>44</v>
      </c>
      <c r="Q830" s="3" t="s">
        <v>44</v>
      </c>
      <c r="R830" s="2" t="s">
        <v>44</v>
      </c>
      <c r="S830" s="2" t="s">
        <v>56</v>
      </c>
      <c r="T830" s="5">
        <v>24700</v>
      </c>
      <c r="U830" s="5">
        <v>0</v>
      </c>
      <c r="V830" s="4">
        <v>17</v>
      </c>
      <c r="W830" s="4">
        <v>30</v>
      </c>
      <c r="X830" s="2" t="s">
        <v>44</v>
      </c>
      <c r="Y830" s="4">
        <v>0</v>
      </c>
      <c r="Z830" s="4">
        <v>14</v>
      </c>
      <c r="AA830" s="4">
        <v>0</v>
      </c>
      <c r="AB830" s="4">
        <v>0</v>
      </c>
      <c r="AC830" s="4">
        <v>3</v>
      </c>
      <c r="AD830" s="4">
        <v>11</v>
      </c>
      <c r="AE830" s="3" t="s">
        <v>58</v>
      </c>
      <c r="AG830">
        <f t="shared" ca="1" si="36"/>
        <v>3</v>
      </c>
      <c r="AH830" s="23" t="str" cm="1">
        <f t="array" ref="AH830">_xlfn.IFS(E830&gt;49,"50+",E830&gt;39,"40-49",E830&gt;29,"30-39",E830&gt;19,"20-29")</f>
        <v>20-29</v>
      </c>
      <c r="AI830" s="24" t="str" cm="1">
        <f t="array" aca="1" ref="AI830" ca="1">_xlfn.IFS(AG830&gt;10,"10+",AG830&gt;4,"5-10 YIL",AG830&gt;2,"3-5 YIL",AG830&gt;0.9,"1-3 YIL",AG830&lt;1,"0-1 YIL")</f>
        <v>3-5 YIL</v>
      </c>
      <c r="AJ830">
        <f t="shared" si="37"/>
        <v>2023</v>
      </c>
      <c r="AK830" t="e">
        <f t="shared" si="38"/>
        <v>#VALUE!</v>
      </c>
    </row>
    <row r="831" spans="1:37" x14ac:dyDescent="0.3">
      <c r="A831" s="6" t="s">
        <v>1297</v>
      </c>
      <c r="B831" s="7" t="s">
        <v>505</v>
      </c>
      <c r="C831" s="6" t="s">
        <v>48</v>
      </c>
      <c r="D831" s="14">
        <v>30957</v>
      </c>
      <c r="E831" s="8">
        <v>42</v>
      </c>
      <c r="F831" s="6" t="s">
        <v>49</v>
      </c>
      <c r="G831" s="8">
        <v>1</v>
      </c>
      <c r="H831" s="6" t="s">
        <v>35</v>
      </c>
      <c r="I831" s="7" t="s">
        <v>36</v>
      </c>
      <c r="J831" s="7" t="s">
        <v>50</v>
      </c>
      <c r="K831" s="6" t="s">
        <v>51</v>
      </c>
      <c r="L831" s="6" t="s">
        <v>39</v>
      </c>
      <c r="M831" s="7" t="s">
        <v>40</v>
      </c>
      <c r="N831" s="6" t="s">
        <v>41</v>
      </c>
      <c r="O831" s="14">
        <v>44784</v>
      </c>
      <c r="P831" s="6" t="s">
        <v>44</v>
      </c>
      <c r="Q831" s="7" t="s">
        <v>44</v>
      </c>
      <c r="R831" s="6" t="s">
        <v>44</v>
      </c>
      <c r="S831" s="6" t="s">
        <v>56</v>
      </c>
      <c r="T831" s="9">
        <v>40900</v>
      </c>
      <c r="U831" s="9">
        <v>0</v>
      </c>
      <c r="V831" s="8">
        <v>24</v>
      </c>
      <c r="W831" s="8">
        <v>25</v>
      </c>
      <c r="X831" s="6" t="s">
        <v>57</v>
      </c>
      <c r="Y831" s="8">
        <v>5</v>
      </c>
      <c r="Z831" s="8">
        <v>8</v>
      </c>
      <c r="AA831" s="8">
        <v>0</v>
      </c>
      <c r="AB831" s="8">
        <v>0</v>
      </c>
      <c r="AC831" s="8">
        <v>3</v>
      </c>
      <c r="AD831" s="8">
        <v>13</v>
      </c>
      <c r="AE831" s="7" t="s">
        <v>45</v>
      </c>
      <c r="AG831">
        <f t="shared" ca="1" si="36"/>
        <v>3</v>
      </c>
      <c r="AH831" s="23" t="str" cm="1">
        <f t="array" ref="AH831">_xlfn.IFS(E831&gt;49,"50+",E831&gt;39,"40-49",E831&gt;29,"30-39",E831&gt;19,"20-29")</f>
        <v>40-49</v>
      </c>
      <c r="AI831" s="24" t="str" cm="1">
        <f t="array" aca="1" ref="AI831" ca="1">_xlfn.IFS(AG831&gt;10,"10+",AG831&gt;4,"5-10 YIL",AG831&gt;2,"3-5 YIL",AG831&gt;0.9,"1-3 YIL",AG831&lt;1,"0-1 YIL")</f>
        <v>3-5 YIL</v>
      </c>
      <c r="AJ831">
        <f t="shared" si="37"/>
        <v>2022</v>
      </c>
      <c r="AK831" t="e">
        <f t="shared" si="38"/>
        <v>#VALUE!</v>
      </c>
    </row>
    <row r="832" spans="1:37" x14ac:dyDescent="0.3">
      <c r="A832" s="2" t="s">
        <v>1298</v>
      </c>
      <c r="B832" s="3" t="s">
        <v>598</v>
      </c>
      <c r="C832" s="2" t="s">
        <v>33</v>
      </c>
      <c r="D832" s="13">
        <v>37668</v>
      </c>
      <c r="E832" s="4">
        <v>23</v>
      </c>
      <c r="F832" s="2" t="s">
        <v>49</v>
      </c>
      <c r="G832" s="4">
        <v>1</v>
      </c>
      <c r="H832" s="2" t="s">
        <v>35</v>
      </c>
      <c r="I832" s="3" t="s">
        <v>36</v>
      </c>
      <c r="J832" s="3" t="s">
        <v>37</v>
      </c>
      <c r="K832" s="2" t="s">
        <v>38</v>
      </c>
      <c r="L832" s="2" t="s">
        <v>39</v>
      </c>
      <c r="M832" s="3" t="s">
        <v>40</v>
      </c>
      <c r="N832" s="2" t="s">
        <v>52</v>
      </c>
      <c r="O832" s="13">
        <v>45501</v>
      </c>
      <c r="P832" s="2" t="s">
        <v>44</v>
      </c>
      <c r="Q832" s="3" t="s">
        <v>44</v>
      </c>
      <c r="R832" s="2" t="s">
        <v>44</v>
      </c>
      <c r="S832" s="2" t="s">
        <v>56</v>
      </c>
      <c r="T832" s="5">
        <v>26800</v>
      </c>
      <c r="U832" s="5">
        <v>0</v>
      </c>
      <c r="V832" s="4">
        <v>29</v>
      </c>
      <c r="W832" s="4">
        <v>30</v>
      </c>
      <c r="X832" s="2" t="s">
        <v>44</v>
      </c>
      <c r="Y832" s="4">
        <v>0</v>
      </c>
      <c r="Z832" s="4">
        <v>13</v>
      </c>
      <c r="AA832" s="4">
        <v>0</v>
      </c>
      <c r="AB832" s="4">
        <v>0</v>
      </c>
      <c r="AC832" s="4">
        <v>3</v>
      </c>
      <c r="AD832" s="4">
        <v>18</v>
      </c>
      <c r="AE832" s="3" t="s">
        <v>58</v>
      </c>
      <c r="AG832">
        <f t="shared" ca="1" si="36"/>
        <v>1</v>
      </c>
      <c r="AH832" s="23" t="str" cm="1">
        <f t="array" ref="AH832">_xlfn.IFS(E832&gt;49,"50+",E832&gt;39,"40-49",E832&gt;29,"30-39",E832&gt;19,"20-29")</f>
        <v>20-29</v>
      </c>
      <c r="AI832" s="24" t="str" cm="1">
        <f t="array" aca="1" ref="AI832" ca="1">_xlfn.IFS(AG832&gt;10,"10+",AG832&gt;4,"5-10 YIL",AG832&gt;2,"3-5 YIL",AG832&gt;0.9,"1-3 YIL",AG832&lt;1,"0-1 YIL")</f>
        <v>1-3 YIL</v>
      </c>
      <c r="AJ832">
        <f t="shared" si="37"/>
        <v>2024</v>
      </c>
      <c r="AK832" t="e">
        <f t="shared" si="38"/>
        <v>#VALUE!</v>
      </c>
    </row>
    <row r="833" spans="1:37" x14ac:dyDescent="0.3">
      <c r="A833" s="6" t="s">
        <v>1299</v>
      </c>
      <c r="B833" s="7" t="s">
        <v>413</v>
      </c>
      <c r="C833" s="6" t="s">
        <v>48</v>
      </c>
      <c r="D833" s="14">
        <v>34497</v>
      </c>
      <c r="E833" s="8">
        <v>32</v>
      </c>
      <c r="F833" s="6" t="s">
        <v>49</v>
      </c>
      <c r="G833" s="8">
        <v>0</v>
      </c>
      <c r="H833" s="6" t="s">
        <v>35</v>
      </c>
      <c r="I833" s="7" t="s">
        <v>70</v>
      </c>
      <c r="J833" s="7" t="s">
        <v>71</v>
      </c>
      <c r="K833" s="6" t="s">
        <v>51</v>
      </c>
      <c r="L833" s="6" t="s">
        <v>63</v>
      </c>
      <c r="M833" s="7" t="s">
        <v>72</v>
      </c>
      <c r="N833" s="6" t="s">
        <v>41</v>
      </c>
      <c r="O833" s="14">
        <v>42555</v>
      </c>
      <c r="P833" s="6" t="s">
        <v>44</v>
      </c>
      <c r="Q833" s="7" t="s">
        <v>44</v>
      </c>
      <c r="R833" s="6" t="s">
        <v>44</v>
      </c>
      <c r="S833" s="6" t="s">
        <v>56</v>
      </c>
      <c r="T833" s="9">
        <v>61000</v>
      </c>
      <c r="U833" s="9">
        <v>0</v>
      </c>
      <c r="V833" s="8">
        <v>6</v>
      </c>
      <c r="W833" s="8">
        <v>28</v>
      </c>
      <c r="X833" s="6" t="s">
        <v>57</v>
      </c>
      <c r="Y833" s="8">
        <v>2</v>
      </c>
      <c r="Z833" s="8">
        <v>9</v>
      </c>
      <c r="AA833" s="8">
        <v>0</v>
      </c>
      <c r="AB833" s="8">
        <v>0</v>
      </c>
      <c r="AC833" s="8">
        <v>1</v>
      </c>
      <c r="AD833" s="8">
        <v>12</v>
      </c>
      <c r="AE833" s="7" t="s">
        <v>45</v>
      </c>
      <c r="AG833">
        <f t="shared" ca="1" si="36"/>
        <v>9</v>
      </c>
      <c r="AH833" s="23" t="str" cm="1">
        <f t="array" ref="AH833">_xlfn.IFS(E833&gt;49,"50+",E833&gt;39,"40-49",E833&gt;29,"30-39",E833&gt;19,"20-29")</f>
        <v>30-39</v>
      </c>
      <c r="AI833" s="24" t="str" cm="1">
        <f t="array" aca="1" ref="AI833" ca="1">_xlfn.IFS(AG833&gt;10,"10+",AG833&gt;4,"5-10 YIL",AG833&gt;2,"3-5 YIL",AG833&gt;0.9,"1-3 YIL",AG833&lt;1,"0-1 YIL")</f>
        <v>5-10 YIL</v>
      </c>
      <c r="AJ833">
        <f t="shared" si="37"/>
        <v>2016</v>
      </c>
      <c r="AK833" t="e">
        <f t="shared" si="38"/>
        <v>#VALUE!</v>
      </c>
    </row>
    <row r="834" spans="1:37" x14ac:dyDescent="0.3">
      <c r="A834" s="2" t="s">
        <v>1300</v>
      </c>
      <c r="B834" s="3" t="s">
        <v>616</v>
      </c>
      <c r="C834" s="2" t="s">
        <v>48</v>
      </c>
      <c r="D834" s="13">
        <v>37088</v>
      </c>
      <c r="E834" s="4">
        <v>25</v>
      </c>
      <c r="F834" s="2" t="s">
        <v>34</v>
      </c>
      <c r="G834" s="4">
        <v>0</v>
      </c>
      <c r="H834" s="2" t="s">
        <v>35</v>
      </c>
      <c r="I834" s="3" t="s">
        <v>36</v>
      </c>
      <c r="J834" s="3" t="s">
        <v>37</v>
      </c>
      <c r="K834" s="2" t="s">
        <v>38</v>
      </c>
      <c r="L834" s="2" t="s">
        <v>39</v>
      </c>
      <c r="M834" s="3" t="s">
        <v>40</v>
      </c>
      <c r="N834" s="2" t="s">
        <v>41</v>
      </c>
      <c r="O834" s="13">
        <v>44722</v>
      </c>
      <c r="P834" s="13">
        <v>45371</v>
      </c>
      <c r="Q834" s="3" t="s">
        <v>53</v>
      </c>
      <c r="R834" s="2">
        <v>4</v>
      </c>
      <c r="S834" s="2" t="s">
        <v>43</v>
      </c>
      <c r="T834" s="5">
        <v>27500</v>
      </c>
      <c r="U834" s="5">
        <v>0</v>
      </c>
      <c r="V834" s="4">
        <v>10</v>
      </c>
      <c r="W834" s="4">
        <v>30</v>
      </c>
      <c r="X834" s="2" t="s">
        <v>44</v>
      </c>
      <c r="Y834" s="4">
        <v>0</v>
      </c>
      <c r="Z834" s="4">
        <v>13</v>
      </c>
      <c r="AA834" s="4">
        <v>0</v>
      </c>
      <c r="AB834" s="4">
        <v>0</v>
      </c>
      <c r="AC834" s="4">
        <v>3</v>
      </c>
      <c r="AD834" s="4">
        <v>6</v>
      </c>
      <c r="AE834" s="3" t="s">
        <v>45</v>
      </c>
      <c r="AG834">
        <f t="shared" ca="1" si="36"/>
        <v>4</v>
      </c>
      <c r="AH834" s="23" t="str" cm="1">
        <f t="array" ref="AH834">_xlfn.IFS(E834&gt;49,"50+",E834&gt;39,"40-49",E834&gt;29,"30-39",E834&gt;19,"20-29")</f>
        <v>20-29</v>
      </c>
      <c r="AI834" s="24" t="str" cm="1">
        <f t="array" aca="1" ref="AI834" ca="1">_xlfn.IFS(AG834&gt;10,"10+",AG834&gt;4,"5-10 YIL",AG834&gt;2,"3-5 YIL",AG834&gt;0.9,"1-3 YIL",AG834&lt;1,"0-1 YIL")</f>
        <v>3-5 YIL</v>
      </c>
      <c r="AJ834">
        <f t="shared" si="37"/>
        <v>2022</v>
      </c>
      <c r="AK834">
        <f t="shared" si="38"/>
        <v>2024</v>
      </c>
    </row>
    <row r="835" spans="1:37" x14ac:dyDescent="0.3">
      <c r="A835" s="6" t="s">
        <v>1301</v>
      </c>
      <c r="B835" s="7" t="s">
        <v>401</v>
      </c>
      <c r="C835" s="6" t="s">
        <v>48</v>
      </c>
      <c r="D835" s="14">
        <v>37727</v>
      </c>
      <c r="E835" s="8">
        <v>23</v>
      </c>
      <c r="F835" s="6" t="s">
        <v>49</v>
      </c>
      <c r="G835" s="8">
        <v>1</v>
      </c>
      <c r="H835" s="6" t="s">
        <v>35</v>
      </c>
      <c r="I835" s="7" t="s">
        <v>61</v>
      </c>
      <c r="J835" s="7" t="s">
        <v>62</v>
      </c>
      <c r="K835" s="6" t="s">
        <v>38</v>
      </c>
      <c r="L835" s="6" t="s">
        <v>63</v>
      </c>
      <c r="M835" s="7" t="s">
        <v>64</v>
      </c>
      <c r="N835" s="6" t="s">
        <v>41</v>
      </c>
      <c r="O835" s="14">
        <v>46075</v>
      </c>
      <c r="P835" s="6" t="s">
        <v>44</v>
      </c>
      <c r="Q835" s="7" t="s">
        <v>44</v>
      </c>
      <c r="R835" s="6" t="s">
        <v>44</v>
      </c>
      <c r="S835" s="6" t="s">
        <v>56</v>
      </c>
      <c r="T835" s="9">
        <v>32200</v>
      </c>
      <c r="U835" s="9">
        <v>5100</v>
      </c>
      <c r="V835" s="8">
        <v>0</v>
      </c>
      <c r="W835" s="8">
        <v>30</v>
      </c>
      <c r="X835" s="6" t="s">
        <v>44</v>
      </c>
      <c r="Y835" s="8">
        <v>0</v>
      </c>
      <c r="Z835" s="8">
        <v>0</v>
      </c>
      <c r="AA835" s="8">
        <v>0</v>
      </c>
      <c r="AB835" s="8">
        <v>0</v>
      </c>
      <c r="AC835" s="8">
        <v>3</v>
      </c>
      <c r="AD835" s="8">
        <v>11</v>
      </c>
      <c r="AE835" s="7" t="s">
        <v>45</v>
      </c>
      <c r="AG835">
        <f t="shared" ref="AG835:AG898" ca="1" si="39">DATEDIF(O835,TODAY(),"Y")</f>
        <v>0</v>
      </c>
      <c r="AH835" s="23" t="str" cm="1">
        <f t="array" ref="AH835">_xlfn.IFS(E835&gt;49,"50+",E835&gt;39,"40-49",E835&gt;29,"30-39",E835&gt;19,"20-29")</f>
        <v>20-29</v>
      </c>
      <c r="AI835" s="24" t="str" cm="1">
        <f t="array" aca="1" ref="AI835" ca="1">_xlfn.IFS(AG835&gt;10,"10+",AG835&gt;4,"5-10 YIL",AG835&gt;2,"3-5 YIL",AG835&gt;0.9,"1-3 YIL",AG835&lt;1,"0-1 YIL")</f>
        <v>0-1 YIL</v>
      </c>
      <c r="AJ835">
        <f t="shared" ref="AJ835:AJ898" si="40">YEAR(O835)</f>
        <v>2026</v>
      </c>
      <c r="AK835" t="e">
        <f t="shared" ref="AK835:AK898" si="41">YEAR(P835)</f>
        <v>#VALUE!</v>
      </c>
    </row>
    <row r="836" spans="1:37" x14ac:dyDescent="0.3">
      <c r="A836" s="2" t="s">
        <v>1302</v>
      </c>
      <c r="B836" s="3" t="s">
        <v>1303</v>
      </c>
      <c r="C836" s="2" t="s">
        <v>33</v>
      </c>
      <c r="D836" s="13">
        <v>34732</v>
      </c>
      <c r="E836" s="4">
        <v>31</v>
      </c>
      <c r="F836" s="2" t="s">
        <v>49</v>
      </c>
      <c r="G836" s="4">
        <v>0</v>
      </c>
      <c r="H836" s="2" t="s">
        <v>35</v>
      </c>
      <c r="I836" s="3" t="s">
        <v>36</v>
      </c>
      <c r="J836" s="3" t="s">
        <v>50</v>
      </c>
      <c r="K836" s="2" t="s">
        <v>51</v>
      </c>
      <c r="L836" s="2" t="s">
        <v>39</v>
      </c>
      <c r="M836" s="3" t="s">
        <v>40</v>
      </c>
      <c r="N836" s="2" t="s">
        <v>41</v>
      </c>
      <c r="O836" s="13">
        <v>42630</v>
      </c>
      <c r="P836" s="2" t="s">
        <v>44</v>
      </c>
      <c r="Q836" s="3" t="s">
        <v>44</v>
      </c>
      <c r="R836" s="2" t="s">
        <v>44</v>
      </c>
      <c r="S836" s="2" t="s">
        <v>56</v>
      </c>
      <c r="T836" s="5">
        <v>41800</v>
      </c>
      <c r="U836" s="5">
        <v>0</v>
      </c>
      <c r="V836" s="4">
        <v>31</v>
      </c>
      <c r="W836" s="4">
        <v>30</v>
      </c>
      <c r="X836" s="2" t="s">
        <v>44</v>
      </c>
      <c r="Y836" s="4">
        <v>0</v>
      </c>
      <c r="Z836" s="4">
        <v>6</v>
      </c>
      <c r="AA836" s="4">
        <v>0</v>
      </c>
      <c r="AB836" s="4">
        <v>0</v>
      </c>
      <c r="AC836" s="4">
        <v>3</v>
      </c>
      <c r="AD836" s="4">
        <v>11</v>
      </c>
      <c r="AE836" s="3" t="s">
        <v>45</v>
      </c>
      <c r="AG836">
        <f t="shared" ca="1" si="39"/>
        <v>9</v>
      </c>
      <c r="AH836" s="23" t="str" cm="1">
        <f t="array" ref="AH836">_xlfn.IFS(E836&gt;49,"50+",E836&gt;39,"40-49",E836&gt;29,"30-39",E836&gt;19,"20-29")</f>
        <v>30-39</v>
      </c>
      <c r="AI836" s="24" t="str" cm="1">
        <f t="array" aca="1" ref="AI836" ca="1">_xlfn.IFS(AG836&gt;10,"10+",AG836&gt;4,"5-10 YIL",AG836&gt;2,"3-5 YIL",AG836&gt;0.9,"1-3 YIL",AG836&lt;1,"0-1 YIL")</f>
        <v>5-10 YIL</v>
      </c>
      <c r="AJ836">
        <f t="shared" si="40"/>
        <v>2016</v>
      </c>
      <c r="AK836" t="e">
        <f t="shared" si="41"/>
        <v>#VALUE!</v>
      </c>
    </row>
    <row r="837" spans="1:37" x14ac:dyDescent="0.3">
      <c r="A837" s="6" t="s">
        <v>1304</v>
      </c>
      <c r="B837" s="7" t="s">
        <v>766</v>
      </c>
      <c r="C837" s="6" t="s">
        <v>48</v>
      </c>
      <c r="D837" s="14">
        <v>37730</v>
      </c>
      <c r="E837" s="8">
        <v>23</v>
      </c>
      <c r="F837" s="6" t="s">
        <v>34</v>
      </c>
      <c r="G837" s="8">
        <v>0</v>
      </c>
      <c r="H837" s="6" t="s">
        <v>35</v>
      </c>
      <c r="I837" s="7" t="s">
        <v>36</v>
      </c>
      <c r="J837" s="7" t="s">
        <v>37</v>
      </c>
      <c r="K837" s="6" t="s">
        <v>38</v>
      </c>
      <c r="L837" s="6" t="s">
        <v>39</v>
      </c>
      <c r="M837" s="7" t="s">
        <v>40</v>
      </c>
      <c r="N837" s="6" t="s">
        <v>95</v>
      </c>
      <c r="O837" s="14">
        <v>45832</v>
      </c>
      <c r="P837" s="6" t="s">
        <v>44</v>
      </c>
      <c r="Q837" s="7" t="s">
        <v>44</v>
      </c>
      <c r="R837" s="6" t="s">
        <v>44</v>
      </c>
      <c r="S837" s="6" t="s">
        <v>56</v>
      </c>
      <c r="T837" s="9">
        <v>24300</v>
      </c>
      <c r="U837" s="9">
        <v>0</v>
      </c>
      <c r="V837" s="8">
        <v>29</v>
      </c>
      <c r="W837" s="8">
        <v>20</v>
      </c>
      <c r="X837" s="6" t="s">
        <v>57</v>
      </c>
      <c r="Y837" s="8">
        <v>10</v>
      </c>
      <c r="Z837" s="8">
        <v>0</v>
      </c>
      <c r="AA837" s="8">
        <v>0</v>
      </c>
      <c r="AB837" s="8">
        <v>0</v>
      </c>
      <c r="AC837" s="8">
        <v>2</v>
      </c>
      <c r="AD837" s="8">
        <v>11</v>
      </c>
      <c r="AE837" s="7" t="s">
        <v>58</v>
      </c>
      <c r="AG837">
        <f t="shared" ca="1" si="39"/>
        <v>1</v>
      </c>
      <c r="AH837" s="23" t="str" cm="1">
        <f t="array" ref="AH837">_xlfn.IFS(E837&gt;49,"50+",E837&gt;39,"40-49",E837&gt;29,"30-39",E837&gt;19,"20-29")</f>
        <v>20-29</v>
      </c>
      <c r="AI837" s="24" t="str" cm="1">
        <f t="array" aca="1" ref="AI837" ca="1">_xlfn.IFS(AG837&gt;10,"10+",AG837&gt;4,"5-10 YIL",AG837&gt;2,"3-5 YIL",AG837&gt;0.9,"1-3 YIL",AG837&lt;1,"0-1 YIL")</f>
        <v>1-3 YIL</v>
      </c>
      <c r="AJ837">
        <f t="shared" si="40"/>
        <v>2025</v>
      </c>
      <c r="AK837" t="e">
        <f t="shared" si="41"/>
        <v>#VALUE!</v>
      </c>
    </row>
    <row r="838" spans="1:37" x14ac:dyDescent="0.3">
      <c r="A838" s="2" t="s">
        <v>1305</v>
      </c>
      <c r="B838" s="3" t="s">
        <v>1306</v>
      </c>
      <c r="C838" s="2" t="s">
        <v>33</v>
      </c>
      <c r="D838" s="13">
        <v>38157</v>
      </c>
      <c r="E838" s="4">
        <v>22</v>
      </c>
      <c r="F838" s="2" t="s">
        <v>49</v>
      </c>
      <c r="G838" s="4">
        <v>1</v>
      </c>
      <c r="H838" s="2" t="s">
        <v>35</v>
      </c>
      <c r="I838" s="3" t="s">
        <v>36</v>
      </c>
      <c r="J838" s="3" t="s">
        <v>37</v>
      </c>
      <c r="K838" s="2" t="s">
        <v>38</v>
      </c>
      <c r="L838" s="2" t="s">
        <v>39</v>
      </c>
      <c r="M838" s="3" t="s">
        <v>40</v>
      </c>
      <c r="N838" s="2" t="s">
        <v>41</v>
      </c>
      <c r="O838" s="13">
        <v>44903</v>
      </c>
      <c r="P838" s="2" t="s">
        <v>44</v>
      </c>
      <c r="Q838" s="3" t="s">
        <v>44</v>
      </c>
      <c r="R838" s="2" t="s">
        <v>44</v>
      </c>
      <c r="S838" s="2" t="s">
        <v>56</v>
      </c>
      <c r="T838" s="5">
        <v>28700</v>
      </c>
      <c r="U838" s="5">
        <v>0</v>
      </c>
      <c r="V838" s="4">
        <v>41</v>
      </c>
      <c r="W838" s="4">
        <v>29</v>
      </c>
      <c r="X838" s="2" t="s">
        <v>81</v>
      </c>
      <c r="Y838" s="4">
        <v>0</v>
      </c>
      <c r="Z838" s="4">
        <v>9</v>
      </c>
      <c r="AA838" s="4">
        <v>1</v>
      </c>
      <c r="AB838" s="4">
        <v>0</v>
      </c>
      <c r="AC838" s="4">
        <v>4</v>
      </c>
      <c r="AD838" s="4">
        <v>19</v>
      </c>
      <c r="AE838" s="3" t="s">
        <v>58</v>
      </c>
      <c r="AG838">
        <f t="shared" ca="1" si="39"/>
        <v>3</v>
      </c>
      <c r="AH838" s="23" t="str" cm="1">
        <f t="array" ref="AH838">_xlfn.IFS(E838&gt;49,"50+",E838&gt;39,"40-49",E838&gt;29,"30-39",E838&gt;19,"20-29")</f>
        <v>20-29</v>
      </c>
      <c r="AI838" s="24" t="str" cm="1">
        <f t="array" aca="1" ref="AI838" ca="1">_xlfn.IFS(AG838&gt;10,"10+",AG838&gt;4,"5-10 YIL",AG838&gt;2,"3-5 YIL",AG838&gt;0.9,"1-3 YIL",AG838&lt;1,"0-1 YIL")</f>
        <v>3-5 YIL</v>
      </c>
      <c r="AJ838">
        <f t="shared" si="40"/>
        <v>2022</v>
      </c>
      <c r="AK838" t="e">
        <f t="shared" si="41"/>
        <v>#VALUE!</v>
      </c>
    </row>
    <row r="839" spans="1:37" x14ac:dyDescent="0.3">
      <c r="A839" s="6" t="s">
        <v>1307</v>
      </c>
      <c r="B839" s="7" t="s">
        <v>1035</v>
      </c>
      <c r="C839" s="6" t="s">
        <v>33</v>
      </c>
      <c r="D839" s="14">
        <v>31206</v>
      </c>
      <c r="E839" s="8">
        <v>41</v>
      </c>
      <c r="F839" s="6" t="s">
        <v>49</v>
      </c>
      <c r="G839" s="8">
        <v>3</v>
      </c>
      <c r="H839" s="6" t="s">
        <v>35</v>
      </c>
      <c r="I839" s="7" t="s">
        <v>70</v>
      </c>
      <c r="J839" s="7" t="s">
        <v>71</v>
      </c>
      <c r="K839" s="6" t="s">
        <v>51</v>
      </c>
      <c r="L839" s="6" t="s">
        <v>63</v>
      </c>
      <c r="M839" s="7" t="s">
        <v>72</v>
      </c>
      <c r="N839" s="6" t="s">
        <v>52</v>
      </c>
      <c r="O839" s="14">
        <v>43887</v>
      </c>
      <c r="P839" s="6" t="s">
        <v>44</v>
      </c>
      <c r="Q839" s="7" t="s">
        <v>44</v>
      </c>
      <c r="R839" s="6" t="s">
        <v>44</v>
      </c>
      <c r="S839" s="6" t="s">
        <v>56</v>
      </c>
      <c r="T839" s="9">
        <v>60200</v>
      </c>
      <c r="U839" s="9">
        <v>0</v>
      </c>
      <c r="V839" s="8">
        <v>7</v>
      </c>
      <c r="W839" s="8">
        <v>28</v>
      </c>
      <c r="X839" s="6" t="s">
        <v>57</v>
      </c>
      <c r="Y839" s="8">
        <v>2</v>
      </c>
      <c r="Z839" s="8">
        <v>6</v>
      </c>
      <c r="AA839" s="8">
        <v>0</v>
      </c>
      <c r="AB839" s="8">
        <v>0</v>
      </c>
      <c r="AC839" s="8">
        <v>3</v>
      </c>
      <c r="AD839" s="8">
        <v>19</v>
      </c>
      <c r="AE839" s="7" t="s">
        <v>82</v>
      </c>
      <c r="AG839">
        <f t="shared" ca="1" si="39"/>
        <v>6</v>
      </c>
      <c r="AH839" s="23" t="str" cm="1">
        <f t="array" ref="AH839">_xlfn.IFS(E839&gt;49,"50+",E839&gt;39,"40-49",E839&gt;29,"30-39",E839&gt;19,"20-29")</f>
        <v>40-49</v>
      </c>
      <c r="AI839" s="24" t="str" cm="1">
        <f t="array" aca="1" ref="AI839" ca="1">_xlfn.IFS(AG839&gt;10,"10+",AG839&gt;4,"5-10 YIL",AG839&gt;2,"3-5 YIL",AG839&gt;0.9,"1-3 YIL",AG839&lt;1,"0-1 YIL")</f>
        <v>5-10 YIL</v>
      </c>
      <c r="AJ839">
        <f t="shared" si="40"/>
        <v>2020</v>
      </c>
      <c r="AK839" t="e">
        <f t="shared" si="41"/>
        <v>#VALUE!</v>
      </c>
    </row>
    <row r="840" spans="1:37" x14ac:dyDescent="0.3">
      <c r="A840" s="2" t="s">
        <v>1308</v>
      </c>
      <c r="B840" s="3" t="s">
        <v>701</v>
      </c>
      <c r="C840" s="2" t="s">
        <v>48</v>
      </c>
      <c r="D840" s="13">
        <v>33383</v>
      </c>
      <c r="E840" s="4">
        <v>35</v>
      </c>
      <c r="F840" s="2" t="s">
        <v>49</v>
      </c>
      <c r="G840" s="4">
        <v>0</v>
      </c>
      <c r="H840" s="2" t="s">
        <v>88</v>
      </c>
      <c r="I840" s="3" t="s">
        <v>36</v>
      </c>
      <c r="J840" s="3" t="s">
        <v>50</v>
      </c>
      <c r="K840" s="2" t="s">
        <v>51</v>
      </c>
      <c r="L840" s="2" t="s">
        <v>39</v>
      </c>
      <c r="M840" s="3" t="s">
        <v>40</v>
      </c>
      <c r="N840" s="2" t="s">
        <v>41</v>
      </c>
      <c r="O840" s="13">
        <v>44983</v>
      </c>
      <c r="P840" s="13">
        <v>46146</v>
      </c>
      <c r="Q840" s="3" t="s">
        <v>177</v>
      </c>
      <c r="R840" s="2">
        <v>3</v>
      </c>
      <c r="S840" s="2" t="s">
        <v>43</v>
      </c>
      <c r="T840" s="5">
        <v>42000</v>
      </c>
      <c r="U840" s="5">
        <v>0</v>
      </c>
      <c r="V840" s="4">
        <v>18</v>
      </c>
      <c r="W840" s="4">
        <v>30</v>
      </c>
      <c r="X840" s="2" t="s">
        <v>44</v>
      </c>
      <c r="Y840" s="4">
        <v>0</v>
      </c>
      <c r="Z840" s="4">
        <v>7</v>
      </c>
      <c r="AA840" s="4">
        <v>0</v>
      </c>
      <c r="AB840" s="4">
        <v>0</v>
      </c>
      <c r="AC840" s="4">
        <v>5</v>
      </c>
      <c r="AD840" s="4">
        <v>26</v>
      </c>
      <c r="AE840" s="3" t="s">
        <v>96</v>
      </c>
      <c r="AG840">
        <f t="shared" ca="1" si="39"/>
        <v>3</v>
      </c>
      <c r="AH840" s="23" t="str" cm="1">
        <f t="array" ref="AH840">_xlfn.IFS(E840&gt;49,"50+",E840&gt;39,"40-49",E840&gt;29,"30-39",E840&gt;19,"20-29")</f>
        <v>30-39</v>
      </c>
      <c r="AI840" s="24" t="str" cm="1">
        <f t="array" aca="1" ref="AI840" ca="1">_xlfn.IFS(AG840&gt;10,"10+",AG840&gt;4,"5-10 YIL",AG840&gt;2,"3-5 YIL",AG840&gt;0.9,"1-3 YIL",AG840&lt;1,"0-1 YIL")</f>
        <v>3-5 YIL</v>
      </c>
      <c r="AJ840">
        <f t="shared" si="40"/>
        <v>2023</v>
      </c>
      <c r="AK840">
        <f t="shared" si="41"/>
        <v>2026</v>
      </c>
    </row>
    <row r="841" spans="1:37" x14ac:dyDescent="0.3">
      <c r="A841" s="6" t="s">
        <v>1309</v>
      </c>
      <c r="B841" s="7" t="s">
        <v>1310</v>
      </c>
      <c r="C841" s="6" t="s">
        <v>33</v>
      </c>
      <c r="D841" s="14">
        <v>31189</v>
      </c>
      <c r="E841" s="8">
        <v>41</v>
      </c>
      <c r="F841" s="6" t="s">
        <v>49</v>
      </c>
      <c r="G841" s="8">
        <v>1</v>
      </c>
      <c r="H841" s="6" t="s">
        <v>35</v>
      </c>
      <c r="I841" s="7" t="s">
        <v>139</v>
      </c>
      <c r="J841" s="7" t="s">
        <v>161</v>
      </c>
      <c r="K841" s="6" t="s">
        <v>51</v>
      </c>
      <c r="L841" s="6" t="s">
        <v>63</v>
      </c>
      <c r="M841" s="7" t="s">
        <v>162</v>
      </c>
      <c r="N841" s="6" t="s">
        <v>41</v>
      </c>
      <c r="O841" s="14">
        <v>43680</v>
      </c>
      <c r="P841" s="6" t="s">
        <v>44</v>
      </c>
      <c r="Q841" s="7" t="s">
        <v>44</v>
      </c>
      <c r="R841" s="6" t="s">
        <v>44</v>
      </c>
      <c r="S841" s="6" t="s">
        <v>56</v>
      </c>
      <c r="T841" s="9">
        <v>84400</v>
      </c>
      <c r="U841" s="9">
        <v>0</v>
      </c>
      <c r="V841" s="8">
        <v>8</v>
      </c>
      <c r="W841" s="8">
        <v>30</v>
      </c>
      <c r="X841" s="6" t="s">
        <v>44</v>
      </c>
      <c r="Y841" s="8">
        <v>0</v>
      </c>
      <c r="Z841" s="8">
        <v>5</v>
      </c>
      <c r="AA841" s="8">
        <v>0</v>
      </c>
      <c r="AB841" s="8">
        <v>0</v>
      </c>
      <c r="AC841" s="8">
        <v>4</v>
      </c>
      <c r="AD841" s="8">
        <v>36</v>
      </c>
      <c r="AE841" s="7" t="s">
        <v>73</v>
      </c>
      <c r="AG841">
        <f t="shared" ca="1" si="39"/>
        <v>6</v>
      </c>
      <c r="AH841" s="23" t="str" cm="1">
        <f t="array" ref="AH841">_xlfn.IFS(E841&gt;49,"50+",E841&gt;39,"40-49",E841&gt;29,"30-39",E841&gt;19,"20-29")</f>
        <v>40-49</v>
      </c>
      <c r="AI841" s="24" t="str" cm="1">
        <f t="array" aca="1" ref="AI841" ca="1">_xlfn.IFS(AG841&gt;10,"10+",AG841&gt;4,"5-10 YIL",AG841&gt;2,"3-5 YIL",AG841&gt;0.9,"1-3 YIL",AG841&lt;1,"0-1 YIL")</f>
        <v>5-10 YIL</v>
      </c>
      <c r="AJ841">
        <f t="shared" si="40"/>
        <v>2019</v>
      </c>
      <c r="AK841" t="e">
        <f t="shared" si="41"/>
        <v>#VALUE!</v>
      </c>
    </row>
    <row r="842" spans="1:37" x14ac:dyDescent="0.3">
      <c r="A842" s="2" t="s">
        <v>1311</v>
      </c>
      <c r="B842" s="3" t="s">
        <v>1312</v>
      </c>
      <c r="C842" s="2" t="s">
        <v>48</v>
      </c>
      <c r="D842" s="13">
        <v>37274</v>
      </c>
      <c r="E842" s="4">
        <v>24</v>
      </c>
      <c r="F842" s="2" t="s">
        <v>49</v>
      </c>
      <c r="G842" s="4">
        <v>0</v>
      </c>
      <c r="H842" s="2" t="s">
        <v>35</v>
      </c>
      <c r="I842" s="3" t="s">
        <v>36</v>
      </c>
      <c r="J842" s="3" t="s">
        <v>37</v>
      </c>
      <c r="K842" s="2" t="s">
        <v>38</v>
      </c>
      <c r="L842" s="2" t="s">
        <v>39</v>
      </c>
      <c r="M842" s="3" t="s">
        <v>40</v>
      </c>
      <c r="N842" s="2" t="s">
        <v>95</v>
      </c>
      <c r="O842" s="13">
        <v>45495</v>
      </c>
      <c r="P842" s="2" t="s">
        <v>44</v>
      </c>
      <c r="Q842" s="3" t="s">
        <v>44</v>
      </c>
      <c r="R842" s="2" t="s">
        <v>44</v>
      </c>
      <c r="S842" s="2" t="s">
        <v>56</v>
      </c>
      <c r="T842" s="5">
        <v>24700</v>
      </c>
      <c r="U842" s="5">
        <v>0</v>
      </c>
      <c r="V842" s="4">
        <v>23</v>
      </c>
      <c r="W842" s="4">
        <v>30</v>
      </c>
      <c r="X842" s="2" t="s">
        <v>44</v>
      </c>
      <c r="Y842" s="4">
        <v>0</v>
      </c>
      <c r="Z842" s="4">
        <v>11</v>
      </c>
      <c r="AA842" s="4">
        <v>0</v>
      </c>
      <c r="AB842" s="4">
        <v>0</v>
      </c>
      <c r="AC842" s="4">
        <v>4</v>
      </c>
      <c r="AD842" s="4">
        <v>25</v>
      </c>
      <c r="AE842" s="3" t="s">
        <v>73</v>
      </c>
      <c r="AG842">
        <f t="shared" ca="1" si="39"/>
        <v>1</v>
      </c>
      <c r="AH842" s="23" t="str" cm="1">
        <f t="array" ref="AH842">_xlfn.IFS(E842&gt;49,"50+",E842&gt;39,"40-49",E842&gt;29,"30-39",E842&gt;19,"20-29")</f>
        <v>20-29</v>
      </c>
      <c r="AI842" s="24" t="str" cm="1">
        <f t="array" aca="1" ref="AI842" ca="1">_xlfn.IFS(AG842&gt;10,"10+",AG842&gt;4,"5-10 YIL",AG842&gt;2,"3-5 YIL",AG842&gt;0.9,"1-3 YIL",AG842&lt;1,"0-1 YIL")</f>
        <v>1-3 YIL</v>
      </c>
      <c r="AJ842">
        <f t="shared" si="40"/>
        <v>2024</v>
      </c>
      <c r="AK842" t="e">
        <f t="shared" si="41"/>
        <v>#VALUE!</v>
      </c>
    </row>
    <row r="843" spans="1:37" x14ac:dyDescent="0.3">
      <c r="A843" s="6" t="s">
        <v>1313</v>
      </c>
      <c r="B843" s="7" t="s">
        <v>116</v>
      </c>
      <c r="C843" s="6" t="s">
        <v>48</v>
      </c>
      <c r="D843" s="14">
        <v>36451</v>
      </c>
      <c r="E843" s="8">
        <v>27</v>
      </c>
      <c r="F843" s="6" t="s">
        <v>49</v>
      </c>
      <c r="G843" s="8">
        <v>1</v>
      </c>
      <c r="H843" s="6" t="s">
        <v>35</v>
      </c>
      <c r="I843" s="7" t="s">
        <v>139</v>
      </c>
      <c r="J843" s="7" t="s">
        <v>235</v>
      </c>
      <c r="K843" s="6" t="s">
        <v>38</v>
      </c>
      <c r="L843" s="6" t="s">
        <v>63</v>
      </c>
      <c r="M843" s="7" t="s">
        <v>162</v>
      </c>
      <c r="N843" s="6" t="s">
        <v>41</v>
      </c>
      <c r="O843" s="14">
        <v>44953</v>
      </c>
      <c r="P843" s="6" t="s">
        <v>44</v>
      </c>
      <c r="Q843" s="7" t="s">
        <v>44</v>
      </c>
      <c r="R843" s="6" t="s">
        <v>44</v>
      </c>
      <c r="S843" s="6" t="s">
        <v>56</v>
      </c>
      <c r="T843" s="9">
        <v>49000</v>
      </c>
      <c r="U843" s="9">
        <v>0</v>
      </c>
      <c r="V843" s="8">
        <v>1</v>
      </c>
      <c r="W843" s="8">
        <v>25</v>
      </c>
      <c r="X843" s="6" t="s">
        <v>57</v>
      </c>
      <c r="Y843" s="8">
        <v>5</v>
      </c>
      <c r="Z843" s="8">
        <v>8</v>
      </c>
      <c r="AA843" s="8">
        <v>0</v>
      </c>
      <c r="AB843" s="8">
        <v>0</v>
      </c>
      <c r="AC843" s="8">
        <v>3</v>
      </c>
      <c r="AD843" s="8">
        <v>18</v>
      </c>
      <c r="AE843" s="7" t="s">
        <v>58</v>
      </c>
      <c r="AG843">
        <f t="shared" ca="1" si="39"/>
        <v>3</v>
      </c>
      <c r="AH843" s="23" t="str" cm="1">
        <f t="array" ref="AH843">_xlfn.IFS(E843&gt;49,"50+",E843&gt;39,"40-49",E843&gt;29,"30-39",E843&gt;19,"20-29")</f>
        <v>20-29</v>
      </c>
      <c r="AI843" s="24" t="str" cm="1">
        <f t="array" aca="1" ref="AI843" ca="1">_xlfn.IFS(AG843&gt;10,"10+",AG843&gt;4,"5-10 YIL",AG843&gt;2,"3-5 YIL",AG843&gt;0.9,"1-3 YIL",AG843&lt;1,"0-1 YIL")</f>
        <v>3-5 YIL</v>
      </c>
      <c r="AJ843">
        <f t="shared" si="40"/>
        <v>2023</v>
      </c>
      <c r="AK843" t="e">
        <f t="shared" si="41"/>
        <v>#VALUE!</v>
      </c>
    </row>
    <row r="844" spans="1:37" x14ac:dyDescent="0.3">
      <c r="A844" s="2" t="s">
        <v>1314</v>
      </c>
      <c r="B844" s="3" t="s">
        <v>722</v>
      </c>
      <c r="C844" s="2" t="s">
        <v>48</v>
      </c>
      <c r="D844" s="13">
        <v>35592</v>
      </c>
      <c r="E844" s="4">
        <v>29</v>
      </c>
      <c r="F844" s="2" t="s">
        <v>49</v>
      </c>
      <c r="G844" s="4">
        <v>1</v>
      </c>
      <c r="H844" s="2" t="s">
        <v>85</v>
      </c>
      <c r="I844" s="3" t="s">
        <v>36</v>
      </c>
      <c r="J844" s="3" t="s">
        <v>37</v>
      </c>
      <c r="K844" s="2" t="s">
        <v>38</v>
      </c>
      <c r="L844" s="2" t="s">
        <v>39</v>
      </c>
      <c r="M844" s="3" t="s">
        <v>40</v>
      </c>
      <c r="N844" s="2" t="s">
        <v>41</v>
      </c>
      <c r="O844" s="13">
        <v>44919</v>
      </c>
      <c r="P844" s="2" t="s">
        <v>44</v>
      </c>
      <c r="Q844" s="3" t="s">
        <v>44</v>
      </c>
      <c r="R844" s="2" t="s">
        <v>44</v>
      </c>
      <c r="S844" s="2" t="s">
        <v>56</v>
      </c>
      <c r="T844" s="5">
        <v>27300</v>
      </c>
      <c r="U844" s="5">
        <v>0</v>
      </c>
      <c r="V844" s="4">
        <v>26</v>
      </c>
      <c r="W844" s="4">
        <v>30</v>
      </c>
      <c r="X844" s="2" t="s">
        <v>44</v>
      </c>
      <c r="Y844" s="4">
        <v>0</v>
      </c>
      <c r="Z844" s="4">
        <v>10</v>
      </c>
      <c r="AA844" s="4">
        <v>0</v>
      </c>
      <c r="AB844" s="4">
        <v>0</v>
      </c>
      <c r="AC844" s="4">
        <v>3</v>
      </c>
      <c r="AD844" s="4">
        <v>19</v>
      </c>
      <c r="AE844" s="3" t="s">
        <v>58</v>
      </c>
      <c r="AG844">
        <f t="shared" ca="1" si="39"/>
        <v>3</v>
      </c>
      <c r="AH844" s="23" t="str" cm="1">
        <f t="array" ref="AH844">_xlfn.IFS(E844&gt;49,"50+",E844&gt;39,"40-49",E844&gt;29,"30-39",E844&gt;19,"20-29")</f>
        <v>20-29</v>
      </c>
      <c r="AI844" s="24" t="str" cm="1">
        <f t="array" aca="1" ref="AI844" ca="1">_xlfn.IFS(AG844&gt;10,"10+",AG844&gt;4,"5-10 YIL",AG844&gt;2,"3-5 YIL",AG844&gt;0.9,"1-3 YIL",AG844&lt;1,"0-1 YIL")</f>
        <v>3-5 YIL</v>
      </c>
      <c r="AJ844">
        <f t="shared" si="40"/>
        <v>2022</v>
      </c>
      <c r="AK844" t="e">
        <f t="shared" si="41"/>
        <v>#VALUE!</v>
      </c>
    </row>
    <row r="845" spans="1:37" x14ac:dyDescent="0.3">
      <c r="A845" s="6" t="s">
        <v>1315</v>
      </c>
      <c r="B845" s="7" t="s">
        <v>232</v>
      </c>
      <c r="C845" s="6" t="s">
        <v>33</v>
      </c>
      <c r="D845" s="14">
        <v>35708</v>
      </c>
      <c r="E845" s="8">
        <v>29</v>
      </c>
      <c r="F845" s="6" t="s">
        <v>49</v>
      </c>
      <c r="G845" s="8">
        <v>2</v>
      </c>
      <c r="H845" s="6" t="s">
        <v>88</v>
      </c>
      <c r="I845" s="7" t="s">
        <v>36</v>
      </c>
      <c r="J845" s="7" t="s">
        <v>37</v>
      </c>
      <c r="K845" s="6" t="s">
        <v>38</v>
      </c>
      <c r="L845" s="6" t="s">
        <v>39</v>
      </c>
      <c r="M845" s="7" t="s">
        <v>40</v>
      </c>
      <c r="N845" s="6" t="s">
        <v>89</v>
      </c>
      <c r="O845" s="14">
        <v>46160</v>
      </c>
      <c r="P845" s="6" t="s">
        <v>44</v>
      </c>
      <c r="Q845" s="7" t="s">
        <v>44</v>
      </c>
      <c r="R845" s="6" t="s">
        <v>44</v>
      </c>
      <c r="S845" s="6" t="s">
        <v>56</v>
      </c>
      <c r="T845" s="9">
        <v>26800</v>
      </c>
      <c r="U845" s="9">
        <v>0</v>
      </c>
      <c r="V845" s="8">
        <v>18</v>
      </c>
      <c r="W845" s="8">
        <v>28</v>
      </c>
      <c r="X845" s="6" t="s">
        <v>57</v>
      </c>
      <c r="Y845" s="8">
        <v>2</v>
      </c>
      <c r="Z845" s="8">
        <v>0</v>
      </c>
      <c r="AA845" s="8">
        <v>0</v>
      </c>
      <c r="AB845" s="8">
        <v>0</v>
      </c>
      <c r="AC845" s="8">
        <v>4</v>
      </c>
      <c r="AD845" s="8">
        <v>20</v>
      </c>
      <c r="AE845" s="7" t="s">
        <v>58</v>
      </c>
      <c r="AG845">
        <f t="shared" ca="1" si="39"/>
        <v>0</v>
      </c>
      <c r="AH845" s="23" t="str" cm="1">
        <f t="array" ref="AH845">_xlfn.IFS(E845&gt;49,"50+",E845&gt;39,"40-49",E845&gt;29,"30-39",E845&gt;19,"20-29")</f>
        <v>20-29</v>
      </c>
      <c r="AI845" s="24" t="str" cm="1">
        <f t="array" aca="1" ref="AI845" ca="1">_xlfn.IFS(AG845&gt;10,"10+",AG845&gt;4,"5-10 YIL",AG845&gt;2,"3-5 YIL",AG845&gt;0.9,"1-3 YIL",AG845&lt;1,"0-1 YIL")</f>
        <v>0-1 YIL</v>
      </c>
      <c r="AJ845">
        <f t="shared" si="40"/>
        <v>2026</v>
      </c>
      <c r="AK845" t="e">
        <f t="shared" si="41"/>
        <v>#VALUE!</v>
      </c>
    </row>
    <row r="846" spans="1:37" x14ac:dyDescent="0.3">
      <c r="A846" s="2" t="s">
        <v>1316</v>
      </c>
      <c r="B846" s="3" t="s">
        <v>1317</v>
      </c>
      <c r="C846" s="2" t="s">
        <v>33</v>
      </c>
      <c r="D846" s="13">
        <v>33278</v>
      </c>
      <c r="E846" s="4">
        <v>35</v>
      </c>
      <c r="F846" s="2" t="s">
        <v>34</v>
      </c>
      <c r="G846" s="4">
        <v>0</v>
      </c>
      <c r="H846" s="2" t="s">
        <v>88</v>
      </c>
      <c r="I846" s="3" t="s">
        <v>139</v>
      </c>
      <c r="J846" s="3" t="s">
        <v>161</v>
      </c>
      <c r="K846" s="2" t="s">
        <v>51</v>
      </c>
      <c r="L846" s="2" t="s">
        <v>63</v>
      </c>
      <c r="M846" s="3" t="s">
        <v>162</v>
      </c>
      <c r="N846" s="2" t="s">
        <v>41</v>
      </c>
      <c r="O846" s="13">
        <v>44135</v>
      </c>
      <c r="P846" s="2" t="s">
        <v>44</v>
      </c>
      <c r="Q846" s="3" t="s">
        <v>44</v>
      </c>
      <c r="R846" s="2" t="s">
        <v>44</v>
      </c>
      <c r="S846" s="2" t="s">
        <v>56</v>
      </c>
      <c r="T846" s="5">
        <v>80500</v>
      </c>
      <c r="U846" s="5">
        <v>0</v>
      </c>
      <c r="V846" s="4">
        <v>6</v>
      </c>
      <c r="W846" s="4">
        <v>30</v>
      </c>
      <c r="X846" s="2" t="s">
        <v>44</v>
      </c>
      <c r="Y846" s="4">
        <v>0</v>
      </c>
      <c r="Z846" s="4">
        <v>12</v>
      </c>
      <c r="AA846" s="4">
        <v>0</v>
      </c>
      <c r="AB846" s="4">
        <v>0</v>
      </c>
      <c r="AC846" s="4">
        <v>3</v>
      </c>
      <c r="AD846" s="4">
        <v>13</v>
      </c>
      <c r="AE846" s="3" t="s">
        <v>45</v>
      </c>
      <c r="AG846">
        <f t="shared" ca="1" si="39"/>
        <v>5</v>
      </c>
      <c r="AH846" s="23" t="str" cm="1">
        <f t="array" ref="AH846">_xlfn.IFS(E846&gt;49,"50+",E846&gt;39,"40-49",E846&gt;29,"30-39",E846&gt;19,"20-29")</f>
        <v>30-39</v>
      </c>
      <c r="AI846" s="24" t="str" cm="1">
        <f t="array" aca="1" ref="AI846" ca="1">_xlfn.IFS(AG846&gt;10,"10+",AG846&gt;4,"5-10 YIL",AG846&gt;2,"3-5 YIL",AG846&gt;0.9,"1-3 YIL",AG846&lt;1,"0-1 YIL")</f>
        <v>5-10 YIL</v>
      </c>
      <c r="AJ846">
        <f t="shared" si="40"/>
        <v>2020</v>
      </c>
      <c r="AK846" t="e">
        <f t="shared" si="41"/>
        <v>#VALUE!</v>
      </c>
    </row>
    <row r="847" spans="1:37" x14ac:dyDescent="0.3">
      <c r="A847" s="6" t="s">
        <v>1318</v>
      </c>
      <c r="B847" s="7" t="s">
        <v>750</v>
      </c>
      <c r="C847" s="6" t="s">
        <v>33</v>
      </c>
      <c r="D847" s="14">
        <v>35294</v>
      </c>
      <c r="E847" s="8">
        <v>30</v>
      </c>
      <c r="F847" s="6" t="s">
        <v>34</v>
      </c>
      <c r="G847" s="8">
        <v>0</v>
      </c>
      <c r="H847" s="6" t="s">
        <v>35</v>
      </c>
      <c r="I847" s="7" t="s">
        <v>148</v>
      </c>
      <c r="J847" s="7" t="s">
        <v>149</v>
      </c>
      <c r="K847" s="6" t="s">
        <v>51</v>
      </c>
      <c r="L847" s="6" t="s">
        <v>63</v>
      </c>
      <c r="M847" s="7" t="s">
        <v>150</v>
      </c>
      <c r="N847" s="6" t="s">
        <v>41</v>
      </c>
      <c r="O847" s="14">
        <v>42096</v>
      </c>
      <c r="P847" s="6" t="s">
        <v>44</v>
      </c>
      <c r="Q847" s="7" t="s">
        <v>44</v>
      </c>
      <c r="R847" s="6" t="s">
        <v>44</v>
      </c>
      <c r="S847" s="6" t="s">
        <v>56</v>
      </c>
      <c r="T847" s="9">
        <v>49600</v>
      </c>
      <c r="U847" s="9">
        <v>0</v>
      </c>
      <c r="V847" s="8">
        <v>6</v>
      </c>
      <c r="W847" s="8">
        <v>20</v>
      </c>
      <c r="X847" s="6" t="s">
        <v>57</v>
      </c>
      <c r="Y847" s="8">
        <v>10</v>
      </c>
      <c r="Z847" s="8">
        <v>2</v>
      </c>
      <c r="AA847" s="8">
        <v>0</v>
      </c>
      <c r="AB847" s="8">
        <v>0</v>
      </c>
      <c r="AC847" s="8">
        <v>1</v>
      </c>
      <c r="AD847" s="8">
        <v>9</v>
      </c>
      <c r="AE847" s="7" t="s">
        <v>58</v>
      </c>
      <c r="AG847">
        <f t="shared" ca="1" si="39"/>
        <v>11</v>
      </c>
      <c r="AH847" s="23" t="str" cm="1">
        <f t="array" ref="AH847">_xlfn.IFS(E847&gt;49,"50+",E847&gt;39,"40-49",E847&gt;29,"30-39",E847&gt;19,"20-29")</f>
        <v>30-39</v>
      </c>
      <c r="AI847" s="24" t="str" cm="1">
        <f t="array" aca="1" ref="AI847" ca="1">_xlfn.IFS(AG847&gt;10,"10+",AG847&gt;4,"5-10 YIL",AG847&gt;2,"3-5 YIL",AG847&gt;0.9,"1-3 YIL",AG847&lt;1,"0-1 YIL")</f>
        <v>10+</v>
      </c>
      <c r="AJ847">
        <f t="shared" si="40"/>
        <v>2015</v>
      </c>
      <c r="AK847" t="e">
        <f t="shared" si="41"/>
        <v>#VALUE!</v>
      </c>
    </row>
    <row r="848" spans="1:37" x14ac:dyDescent="0.3">
      <c r="A848" s="2" t="s">
        <v>1319</v>
      </c>
      <c r="B848" s="3" t="s">
        <v>495</v>
      </c>
      <c r="C848" s="2" t="s">
        <v>48</v>
      </c>
      <c r="D848" s="13">
        <v>37900</v>
      </c>
      <c r="E848" s="4">
        <v>23</v>
      </c>
      <c r="F848" s="2" t="s">
        <v>34</v>
      </c>
      <c r="G848" s="4">
        <v>0</v>
      </c>
      <c r="H848" s="2" t="s">
        <v>85</v>
      </c>
      <c r="I848" s="3" t="s">
        <v>36</v>
      </c>
      <c r="J848" s="3" t="s">
        <v>37</v>
      </c>
      <c r="K848" s="2" t="s">
        <v>38</v>
      </c>
      <c r="L848" s="2" t="s">
        <v>39</v>
      </c>
      <c r="M848" s="3" t="s">
        <v>40</v>
      </c>
      <c r="N848" s="2" t="s">
        <v>41</v>
      </c>
      <c r="O848" s="13">
        <v>44877</v>
      </c>
      <c r="P848" s="13">
        <v>44945</v>
      </c>
      <c r="Q848" s="3" t="s">
        <v>53</v>
      </c>
      <c r="R848" s="2">
        <v>4</v>
      </c>
      <c r="S848" s="2" t="s">
        <v>43</v>
      </c>
      <c r="T848" s="5">
        <v>27300</v>
      </c>
      <c r="U848" s="5">
        <v>0</v>
      </c>
      <c r="V848" s="4">
        <v>39</v>
      </c>
      <c r="W848" s="4">
        <v>29</v>
      </c>
      <c r="X848" s="2" t="s">
        <v>57</v>
      </c>
      <c r="Y848" s="4">
        <v>1</v>
      </c>
      <c r="Z848" s="4">
        <v>14</v>
      </c>
      <c r="AA848" s="4">
        <v>0</v>
      </c>
      <c r="AB848" s="4">
        <v>0</v>
      </c>
      <c r="AC848" s="4">
        <v>3</v>
      </c>
      <c r="AD848" s="4">
        <v>10</v>
      </c>
      <c r="AE848" s="3" t="s">
        <v>58</v>
      </c>
      <c r="AG848">
        <f t="shared" ca="1" si="39"/>
        <v>3</v>
      </c>
      <c r="AH848" s="23" t="str" cm="1">
        <f t="array" ref="AH848">_xlfn.IFS(E848&gt;49,"50+",E848&gt;39,"40-49",E848&gt;29,"30-39",E848&gt;19,"20-29")</f>
        <v>20-29</v>
      </c>
      <c r="AI848" s="24" t="str" cm="1">
        <f t="array" aca="1" ref="AI848" ca="1">_xlfn.IFS(AG848&gt;10,"10+",AG848&gt;4,"5-10 YIL",AG848&gt;2,"3-5 YIL",AG848&gt;0.9,"1-3 YIL",AG848&lt;1,"0-1 YIL")</f>
        <v>3-5 YIL</v>
      </c>
      <c r="AJ848">
        <f t="shared" si="40"/>
        <v>2022</v>
      </c>
      <c r="AK848">
        <f t="shared" si="41"/>
        <v>2023</v>
      </c>
    </row>
    <row r="849" spans="1:37" x14ac:dyDescent="0.3">
      <c r="A849" s="6" t="s">
        <v>1320</v>
      </c>
      <c r="B849" s="7" t="s">
        <v>958</v>
      </c>
      <c r="C849" s="6" t="s">
        <v>48</v>
      </c>
      <c r="D849" s="14">
        <v>35552</v>
      </c>
      <c r="E849" s="8">
        <v>29</v>
      </c>
      <c r="F849" s="6" t="s">
        <v>49</v>
      </c>
      <c r="G849" s="8">
        <v>0</v>
      </c>
      <c r="H849" s="6" t="s">
        <v>35</v>
      </c>
      <c r="I849" s="7" t="s">
        <v>36</v>
      </c>
      <c r="J849" s="7" t="s">
        <v>37</v>
      </c>
      <c r="K849" s="6" t="s">
        <v>38</v>
      </c>
      <c r="L849" s="6" t="s">
        <v>39</v>
      </c>
      <c r="M849" s="7" t="s">
        <v>40</v>
      </c>
      <c r="N849" s="6" t="s">
        <v>89</v>
      </c>
      <c r="O849" s="14">
        <v>45679</v>
      </c>
      <c r="P849" s="6" t="s">
        <v>44</v>
      </c>
      <c r="Q849" s="7" t="s">
        <v>44</v>
      </c>
      <c r="R849" s="6" t="s">
        <v>44</v>
      </c>
      <c r="S849" s="6" t="s">
        <v>56</v>
      </c>
      <c r="T849" s="9">
        <v>24100</v>
      </c>
      <c r="U849" s="9">
        <v>0</v>
      </c>
      <c r="V849" s="8">
        <v>36</v>
      </c>
      <c r="W849" s="8">
        <v>27</v>
      </c>
      <c r="X849" s="6" t="s">
        <v>81</v>
      </c>
      <c r="Y849" s="8">
        <v>0</v>
      </c>
      <c r="Z849" s="8">
        <v>4</v>
      </c>
      <c r="AA849" s="8">
        <v>3</v>
      </c>
      <c r="AB849" s="8">
        <v>0</v>
      </c>
      <c r="AC849" s="8">
        <v>3</v>
      </c>
      <c r="AD849" s="8">
        <v>7</v>
      </c>
      <c r="AE849" s="7" t="s">
        <v>82</v>
      </c>
      <c r="AG849">
        <f t="shared" ca="1" si="39"/>
        <v>1</v>
      </c>
      <c r="AH849" s="23" t="str" cm="1">
        <f t="array" ref="AH849">_xlfn.IFS(E849&gt;49,"50+",E849&gt;39,"40-49",E849&gt;29,"30-39",E849&gt;19,"20-29")</f>
        <v>20-29</v>
      </c>
      <c r="AI849" s="24" t="str" cm="1">
        <f t="array" aca="1" ref="AI849" ca="1">_xlfn.IFS(AG849&gt;10,"10+",AG849&gt;4,"5-10 YIL",AG849&gt;2,"3-5 YIL",AG849&gt;0.9,"1-3 YIL",AG849&lt;1,"0-1 YIL")</f>
        <v>1-3 YIL</v>
      </c>
      <c r="AJ849">
        <f t="shared" si="40"/>
        <v>2025</v>
      </c>
      <c r="AK849" t="e">
        <f t="shared" si="41"/>
        <v>#VALUE!</v>
      </c>
    </row>
    <row r="850" spans="1:37" x14ac:dyDescent="0.3">
      <c r="A850" s="2" t="s">
        <v>1321</v>
      </c>
      <c r="B850" s="3" t="s">
        <v>1191</v>
      </c>
      <c r="C850" s="2" t="s">
        <v>33</v>
      </c>
      <c r="D850" s="13">
        <v>35813</v>
      </c>
      <c r="E850" s="4">
        <v>28</v>
      </c>
      <c r="F850" s="2" t="s">
        <v>49</v>
      </c>
      <c r="G850" s="4">
        <v>3</v>
      </c>
      <c r="H850" s="2" t="s">
        <v>88</v>
      </c>
      <c r="I850" s="3" t="s">
        <v>36</v>
      </c>
      <c r="J850" s="3" t="s">
        <v>37</v>
      </c>
      <c r="K850" s="2" t="s">
        <v>38</v>
      </c>
      <c r="L850" s="2" t="s">
        <v>39</v>
      </c>
      <c r="M850" s="3" t="s">
        <v>40</v>
      </c>
      <c r="N850" s="2" t="s">
        <v>89</v>
      </c>
      <c r="O850" s="13">
        <v>45967</v>
      </c>
      <c r="P850" s="2" t="s">
        <v>44</v>
      </c>
      <c r="Q850" s="3" t="s">
        <v>44</v>
      </c>
      <c r="R850" s="2" t="s">
        <v>44</v>
      </c>
      <c r="S850" s="2" t="s">
        <v>56</v>
      </c>
      <c r="T850" s="5">
        <v>28100</v>
      </c>
      <c r="U850" s="5">
        <v>0</v>
      </c>
      <c r="V850" s="4">
        <v>20</v>
      </c>
      <c r="W850" s="4">
        <v>30</v>
      </c>
      <c r="X850" s="2" t="s">
        <v>44</v>
      </c>
      <c r="Y850" s="4">
        <v>0</v>
      </c>
      <c r="Z850" s="4">
        <v>0</v>
      </c>
      <c r="AA850" s="4">
        <v>0</v>
      </c>
      <c r="AB850" s="4">
        <v>0</v>
      </c>
      <c r="AC850" s="4">
        <v>3</v>
      </c>
      <c r="AD850" s="4">
        <v>2</v>
      </c>
      <c r="AE850" s="3" t="s">
        <v>73</v>
      </c>
      <c r="AG850">
        <f t="shared" ca="1" si="39"/>
        <v>0</v>
      </c>
      <c r="AH850" s="23" t="str" cm="1">
        <f t="array" ref="AH850">_xlfn.IFS(E850&gt;49,"50+",E850&gt;39,"40-49",E850&gt;29,"30-39",E850&gt;19,"20-29")</f>
        <v>20-29</v>
      </c>
      <c r="AI850" s="24" t="str" cm="1">
        <f t="array" aca="1" ref="AI850" ca="1">_xlfn.IFS(AG850&gt;10,"10+",AG850&gt;4,"5-10 YIL",AG850&gt;2,"3-5 YIL",AG850&gt;0.9,"1-3 YIL",AG850&lt;1,"0-1 YIL")</f>
        <v>0-1 YIL</v>
      </c>
      <c r="AJ850">
        <f t="shared" si="40"/>
        <v>2025</v>
      </c>
      <c r="AK850" t="e">
        <f t="shared" si="41"/>
        <v>#VALUE!</v>
      </c>
    </row>
    <row r="851" spans="1:37" x14ac:dyDescent="0.3">
      <c r="A851" s="6" t="s">
        <v>1322</v>
      </c>
      <c r="B851" s="7" t="s">
        <v>761</v>
      </c>
      <c r="C851" s="6" t="s">
        <v>33</v>
      </c>
      <c r="D851" s="14">
        <v>31458</v>
      </c>
      <c r="E851" s="8">
        <v>40</v>
      </c>
      <c r="F851" s="6" t="s">
        <v>34</v>
      </c>
      <c r="G851" s="8">
        <v>0</v>
      </c>
      <c r="H851" s="6" t="s">
        <v>35</v>
      </c>
      <c r="I851" s="7" t="s">
        <v>70</v>
      </c>
      <c r="J851" s="7" t="s">
        <v>71</v>
      </c>
      <c r="K851" s="6" t="s">
        <v>51</v>
      </c>
      <c r="L851" s="6" t="s">
        <v>63</v>
      </c>
      <c r="M851" s="7" t="s">
        <v>72</v>
      </c>
      <c r="N851" s="6" t="s">
        <v>41</v>
      </c>
      <c r="O851" s="14">
        <v>43408</v>
      </c>
      <c r="P851" s="14">
        <v>43745</v>
      </c>
      <c r="Q851" s="7" t="s">
        <v>53</v>
      </c>
      <c r="R851" s="6">
        <v>4</v>
      </c>
      <c r="S851" s="6" t="s">
        <v>43</v>
      </c>
      <c r="T851" s="9">
        <v>65000</v>
      </c>
      <c r="U851" s="9">
        <v>0</v>
      </c>
      <c r="V851" s="8">
        <v>9</v>
      </c>
      <c r="W851" s="8">
        <v>30</v>
      </c>
      <c r="X851" s="6" t="s">
        <v>44</v>
      </c>
      <c r="Y851" s="8">
        <v>0</v>
      </c>
      <c r="Z851" s="8">
        <v>13</v>
      </c>
      <c r="AA851" s="8">
        <v>0</v>
      </c>
      <c r="AB851" s="8">
        <v>0</v>
      </c>
      <c r="AC851" s="8">
        <v>3</v>
      </c>
      <c r="AD851" s="8">
        <v>8</v>
      </c>
      <c r="AE851" s="7" t="s">
        <v>96</v>
      </c>
      <c r="AG851">
        <f t="shared" ca="1" si="39"/>
        <v>7</v>
      </c>
      <c r="AH851" s="23" t="str" cm="1">
        <f t="array" ref="AH851">_xlfn.IFS(E851&gt;49,"50+",E851&gt;39,"40-49",E851&gt;29,"30-39",E851&gt;19,"20-29")</f>
        <v>40-49</v>
      </c>
      <c r="AI851" s="24" t="str" cm="1">
        <f t="array" aca="1" ref="AI851" ca="1">_xlfn.IFS(AG851&gt;10,"10+",AG851&gt;4,"5-10 YIL",AG851&gt;2,"3-5 YIL",AG851&gt;0.9,"1-3 YIL",AG851&lt;1,"0-1 YIL")</f>
        <v>5-10 YIL</v>
      </c>
      <c r="AJ851">
        <f t="shared" si="40"/>
        <v>2018</v>
      </c>
      <c r="AK851">
        <f t="shared" si="41"/>
        <v>2019</v>
      </c>
    </row>
    <row r="852" spans="1:37" x14ac:dyDescent="0.3">
      <c r="A852" s="2" t="s">
        <v>1323</v>
      </c>
      <c r="B852" s="3" t="s">
        <v>160</v>
      </c>
      <c r="C852" s="2" t="s">
        <v>48</v>
      </c>
      <c r="D852" s="13">
        <v>35186</v>
      </c>
      <c r="E852" s="4">
        <v>30</v>
      </c>
      <c r="F852" s="2" t="s">
        <v>49</v>
      </c>
      <c r="G852" s="4">
        <v>1</v>
      </c>
      <c r="H852" s="2" t="s">
        <v>35</v>
      </c>
      <c r="I852" s="3" t="s">
        <v>70</v>
      </c>
      <c r="J852" s="3" t="s">
        <v>71</v>
      </c>
      <c r="K852" s="2" t="s">
        <v>51</v>
      </c>
      <c r="L852" s="2" t="s">
        <v>63</v>
      </c>
      <c r="M852" s="3" t="s">
        <v>72</v>
      </c>
      <c r="N852" s="2" t="s">
        <v>41</v>
      </c>
      <c r="O852" s="13">
        <v>42315</v>
      </c>
      <c r="P852" s="13">
        <v>45175</v>
      </c>
      <c r="Q852" s="3" t="s">
        <v>42</v>
      </c>
      <c r="R852" s="2">
        <v>3</v>
      </c>
      <c r="S852" s="2" t="s">
        <v>43</v>
      </c>
      <c r="T852" s="5">
        <v>61300</v>
      </c>
      <c r="U852" s="5">
        <v>0</v>
      </c>
      <c r="V852" s="4">
        <v>2</v>
      </c>
      <c r="W852" s="4">
        <v>29</v>
      </c>
      <c r="X852" s="2" t="s">
        <v>57</v>
      </c>
      <c r="Y852" s="4">
        <v>1</v>
      </c>
      <c r="Z852" s="4">
        <v>7</v>
      </c>
      <c r="AA852" s="4">
        <v>0</v>
      </c>
      <c r="AB852" s="4">
        <v>0</v>
      </c>
      <c r="AC852" s="4">
        <v>3</v>
      </c>
      <c r="AD852" s="4">
        <v>17</v>
      </c>
      <c r="AE852" s="3" t="s">
        <v>45</v>
      </c>
      <c r="AG852">
        <f t="shared" ca="1" si="39"/>
        <v>10</v>
      </c>
      <c r="AH852" s="23" t="str" cm="1">
        <f t="array" ref="AH852">_xlfn.IFS(E852&gt;49,"50+",E852&gt;39,"40-49",E852&gt;29,"30-39",E852&gt;19,"20-29")</f>
        <v>30-39</v>
      </c>
      <c r="AI852" s="24" t="str" cm="1">
        <f t="array" aca="1" ref="AI852" ca="1">_xlfn.IFS(AG852&gt;10,"10+",AG852&gt;4,"5-10 YIL",AG852&gt;2,"3-5 YIL",AG852&gt;0.9,"1-3 YIL",AG852&lt;1,"0-1 YIL")</f>
        <v>5-10 YIL</v>
      </c>
      <c r="AJ852">
        <f t="shared" si="40"/>
        <v>2015</v>
      </c>
      <c r="AK852">
        <f t="shared" si="41"/>
        <v>2023</v>
      </c>
    </row>
    <row r="853" spans="1:37" x14ac:dyDescent="0.3">
      <c r="A853" s="6" t="s">
        <v>1324</v>
      </c>
      <c r="B853" s="7" t="s">
        <v>1156</v>
      </c>
      <c r="C853" s="6" t="s">
        <v>33</v>
      </c>
      <c r="D853" s="14">
        <v>36546</v>
      </c>
      <c r="E853" s="8">
        <v>26</v>
      </c>
      <c r="F853" s="6" t="s">
        <v>34</v>
      </c>
      <c r="G853" s="8">
        <v>0</v>
      </c>
      <c r="H853" s="6" t="s">
        <v>85</v>
      </c>
      <c r="I853" s="7" t="s">
        <v>36</v>
      </c>
      <c r="J853" s="7" t="s">
        <v>37</v>
      </c>
      <c r="K853" s="6" t="s">
        <v>38</v>
      </c>
      <c r="L853" s="6" t="s">
        <v>39</v>
      </c>
      <c r="M853" s="7" t="s">
        <v>40</v>
      </c>
      <c r="N853" s="6" t="s">
        <v>41</v>
      </c>
      <c r="O853" s="14">
        <v>44904</v>
      </c>
      <c r="P853" s="6" t="s">
        <v>44</v>
      </c>
      <c r="Q853" s="7" t="s">
        <v>44</v>
      </c>
      <c r="R853" s="6" t="s">
        <v>44</v>
      </c>
      <c r="S853" s="6" t="s">
        <v>56</v>
      </c>
      <c r="T853" s="9">
        <v>27500</v>
      </c>
      <c r="U853" s="9">
        <v>0</v>
      </c>
      <c r="V853" s="8">
        <v>23</v>
      </c>
      <c r="W853" s="8">
        <v>30</v>
      </c>
      <c r="X853" s="6" t="s">
        <v>44</v>
      </c>
      <c r="Y853" s="8">
        <v>0</v>
      </c>
      <c r="Z853" s="8">
        <v>7</v>
      </c>
      <c r="AA853" s="8">
        <v>0</v>
      </c>
      <c r="AB853" s="8">
        <v>0</v>
      </c>
      <c r="AC853" s="8">
        <v>3</v>
      </c>
      <c r="AD853" s="8">
        <v>7</v>
      </c>
      <c r="AE853" s="7" t="s">
        <v>82</v>
      </c>
      <c r="AG853">
        <f t="shared" ca="1" si="39"/>
        <v>3</v>
      </c>
      <c r="AH853" s="23" t="str" cm="1">
        <f t="array" ref="AH853">_xlfn.IFS(E853&gt;49,"50+",E853&gt;39,"40-49",E853&gt;29,"30-39",E853&gt;19,"20-29")</f>
        <v>20-29</v>
      </c>
      <c r="AI853" s="24" t="str" cm="1">
        <f t="array" aca="1" ref="AI853" ca="1">_xlfn.IFS(AG853&gt;10,"10+",AG853&gt;4,"5-10 YIL",AG853&gt;2,"3-5 YIL",AG853&gt;0.9,"1-3 YIL",AG853&lt;1,"0-1 YIL")</f>
        <v>3-5 YIL</v>
      </c>
      <c r="AJ853">
        <f t="shared" si="40"/>
        <v>2022</v>
      </c>
      <c r="AK853" t="e">
        <f t="shared" si="41"/>
        <v>#VALUE!</v>
      </c>
    </row>
    <row r="854" spans="1:37" x14ac:dyDescent="0.3">
      <c r="A854" s="2" t="s">
        <v>1325</v>
      </c>
      <c r="B854" s="3" t="s">
        <v>803</v>
      </c>
      <c r="C854" s="2" t="s">
        <v>48</v>
      </c>
      <c r="D854" s="13">
        <v>37230</v>
      </c>
      <c r="E854" s="4">
        <v>25</v>
      </c>
      <c r="F854" s="2" t="s">
        <v>49</v>
      </c>
      <c r="G854" s="4">
        <v>3</v>
      </c>
      <c r="H854" s="2" t="s">
        <v>85</v>
      </c>
      <c r="I854" s="3" t="s">
        <v>61</v>
      </c>
      <c r="J854" s="3" t="s">
        <v>62</v>
      </c>
      <c r="K854" s="2" t="s">
        <v>38</v>
      </c>
      <c r="L854" s="2" t="s">
        <v>63</v>
      </c>
      <c r="M854" s="3" t="s">
        <v>64</v>
      </c>
      <c r="N854" s="2" t="s">
        <v>95</v>
      </c>
      <c r="O854" s="13">
        <v>44898</v>
      </c>
      <c r="P854" s="2" t="s">
        <v>44</v>
      </c>
      <c r="Q854" s="3" t="s">
        <v>44</v>
      </c>
      <c r="R854" s="2" t="s">
        <v>44</v>
      </c>
      <c r="S854" s="2" t="s">
        <v>56</v>
      </c>
      <c r="T854" s="5">
        <v>35000</v>
      </c>
      <c r="U854" s="5">
        <v>0</v>
      </c>
      <c r="V854" s="4">
        <v>3</v>
      </c>
      <c r="W854" s="4">
        <v>30</v>
      </c>
      <c r="X854" s="2" t="s">
        <v>44</v>
      </c>
      <c r="Y854" s="4">
        <v>0</v>
      </c>
      <c r="Z854" s="4">
        <v>11</v>
      </c>
      <c r="AA854" s="4">
        <v>0</v>
      </c>
      <c r="AB854" s="4">
        <v>0</v>
      </c>
      <c r="AC854" s="4">
        <v>4</v>
      </c>
      <c r="AD854" s="4">
        <v>27</v>
      </c>
      <c r="AE854" s="3" t="s">
        <v>45</v>
      </c>
      <c r="AG854">
        <f t="shared" ca="1" si="39"/>
        <v>3</v>
      </c>
      <c r="AH854" s="23" t="str" cm="1">
        <f t="array" ref="AH854">_xlfn.IFS(E854&gt;49,"50+",E854&gt;39,"40-49",E854&gt;29,"30-39",E854&gt;19,"20-29")</f>
        <v>20-29</v>
      </c>
      <c r="AI854" s="24" t="str" cm="1">
        <f t="array" aca="1" ref="AI854" ca="1">_xlfn.IFS(AG854&gt;10,"10+",AG854&gt;4,"5-10 YIL",AG854&gt;2,"3-5 YIL",AG854&gt;0.9,"1-3 YIL",AG854&lt;1,"0-1 YIL")</f>
        <v>3-5 YIL</v>
      </c>
      <c r="AJ854">
        <f t="shared" si="40"/>
        <v>2022</v>
      </c>
      <c r="AK854" t="e">
        <f t="shared" si="41"/>
        <v>#VALUE!</v>
      </c>
    </row>
    <row r="855" spans="1:37" x14ac:dyDescent="0.3">
      <c r="A855" s="6" t="s">
        <v>1326</v>
      </c>
      <c r="B855" s="7" t="s">
        <v>524</v>
      </c>
      <c r="C855" s="6" t="s">
        <v>33</v>
      </c>
      <c r="D855" s="14">
        <v>35202</v>
      </c>
      <c r="E855" s="8">
        <v>30</v>
      </c>
      <c r="F855" s="6" t="s">
        <v>34</v>
      </c>
      <c r="G855" s="8">
        <v>0</v>
      </c>
      <c r="H855" s="6" t="s">
        <v>35</v>
      </c>
      <c r="I855" s="7" t="s">
        <v>61</v>
      </c>
      <c r="J855" s="7" t="s">
        <v>107</v>
      </c>
      <c r="K855" s="6" t="s">
        <v>51</v>
      </c>
      <c r="L855" s="6" t="s">
        <v>63</v>
      </c>
      <c r="M855" s="7" t="s">
        <v>64</v>
      </c>
      <c r="N855" s="6" t="s">
        <v>95</v>
      </c>
      <c r="O855" s="14">
        <v>43672</v>
      </c>
      <c r="P855" s="6" t="s">
        <v>44</v>
      </c>
      <c r="Q855" s="7" t="s">
        <v>44</v>
      </c>
      <c r="R855" s="6" t="s">
        <v>44</v>
      </c>
      <c r="S855" s="6" t="s">
        <v>56</v>
      </c>
      <c r="T855" s="9">
        <v>55100</v>
      </c>
      <c r="U855" s="9">
        <v>13500</v>
      </c>
      <c r="V855" s="8">
        <v>0</v>
      </c>
      <c r="W855" s="8">
        <v>30</v>
      </c>
      <c r="X855" s="6" t="s">
        <v>44</v>
      </c>
      <c r="Y855" s="8">
        <v>0</v>
      </c>
      <c r="Z855" s="8">
        <v>9</v>
      </c>
      <c r="AA855" s="8">
        <v>0</v>
      </c>
      <c r="AB855" s="8">
        <v>0</v>
      </c>
      <c r="AC855" s="8">
        <v>5</v>
      </c>
      <c r="AD855" s="8">
        <v>30</v>
      </c>
      <c r="AE855" s="7" t="s">
        <v>45</v>
      </c>
      <c r="AG855">
        <f t="shared" ca="1" si="39"/>
        <v>6</v>
      </c>
      <c r="AH855" s="23" t="str" cm="1">
        <f t="array" ref="AH855">_xlfn.IFS(E855&gt;49,"50+",E855&gt;39,"40-49",E855&gt;29,"30-39",E855&gt;19,"20-29")</f>
        <v>30-39</v>
      </c>
      <c r="AI855" s="24" t="str" cm="1">
        <f t="array" aca="1" ref="AI855" ca="1">_xlfn.IFS(AG855&gt;10,"10+",AG855&gt;4,"5-10 YIL",AG855&gt;2,"3-5 YIL",AG855&gt;0.9,"1-3 YIL",AG855&lt;1,"0-1 YIL")</f>
        <v>5-10 YIL</v>
      </c>
      <c r="AJ855">
        <f t="shared" si="40"/>
        <v>2019</v>
      </c>
      <c r="AK855" t="e">
        <f t="shared" si="41"/>
        <v>#VALUE!</v>
      </c>
    </row>
    <row r="856" spans="1:37" x14ac:dyDescent="0.3">
      <c r="A856" s="2" t="s">
        <v>1327</v>
      </c>
      <c r="B856" s="3" t="s">
        <v>911</v>
      </c>
      <c r="C856" s="2" t="s">
        <v>33</v>
      </c>
      <c r="D856" s="13">
        <v>34933</v>
      </c>
      <c r="E856" s="4">
        <v>31</v>
      </c>
      <c r="F856" s="2" t="s">
        <v>34</v>
      </c>
      <c r="G856" s="4">
        <v>0</v>
      </c>
      <c r="H856" s="2" t="s">
        <v>35</v>
      </c>
      <c r="I856" s="3" t="s">
        <v>70</v>
      </c>
      <c r="J856" s="3" t="s">
        <v>71</v>
      </c>
      <c r="K856" s="2" t="s">
        <v>51</v>
      </c>
      <c r="L856" s="2" t="s">
        <v>63</v>
      </c>
      <c r="M856" s="3" t="s">
        <v>72</v>
      </c>
      <c r="N856" s="2" t="s">
        <v>41</v>
      </c>
      <c r="O856" s="13">
        <v>43105</v>
      </c>
      <c r="P856" s="2" t="s">
        <v>44</v>
      </c>
      <c r="Q856" s="3" t="s">
        <v>44</v>
      </c>
      <c r="R856" s="2" t="s">
        <v>44</v>
      </c>
      <c r="S856" s="2" t="s">
        <v>56</v>
      </c>
      <c r="T856" s="5">
        <v>60300</v>
      </c>
      <c r="U856" s="5">
        <v>0</v>
      </c>
      <c r="V856" s="4">
        <v>9</v>
      </c>
      <c r="W856" s="4">
        <v>24</v>
      </c>
      <c r="X856" s="2" t="s">
        <v>57</v>
      </c>
      <c r="Y856" s="4">
        <v>5</v>
      </c>
      <c r="Z856" s="4">
        <v>5</v>
      </c>
      <c r="AA856" s="4">
        <v>1</v>
      </c>
      <c r="AB856" s="4">
        <v>0</v>
      </c>
      <c r="AC856" s="4">
        <v>2</v>
      </c>
      <c r="AD856" s="4">
        <v>3</v>
      </c>
      <c r="AE856" s="3" t="s">
        <v>96</v>
      </c>
      <c r="AG856">
        <f t="shared" ca="1" si="39"/>
        <v>8</v>
      </c>
      <c r="AH856" s="23" t="str" cm="1">
        <f t="array" ref="AH856">_xlfn.IFS(E856&gt;49,"50+",E856&gt;39,"40-49",E856&gt;29,"30-39",E856&gt;19,"20-29")</f>
        <v>30-39</v>
      </c>
      <c r="AI856" s="24" t="str" cm="1">
        <f t="array" aca="1" ref="AI856" ca="1">_xlfn.IFS(AG856&gt;10,"10+",AG856&gt;4,"5-10 YIL",AG856&gt;2,"3-5 YIL",AG856&gt;0.9,"1-3 YIL",AG856&lt;1,"0-1 YIL")</f>
        <v>5-10 YIL</v>
      </c>
      <c r="AJ856">
        <f t="shared" si="40"/>
        <v>2018</v>
      </c>
      <c r="AK856" t="e">
        <f t="shared" si="41"/>
        <v>#VALUE!</v>
      </c>
    </row>
    <row r="857" spans="1:37" x14ac:dyDescent="0.3">
      <c r="A857" s="6" t="s">
        <v>1328</v>
      </c>
      <c r="B857" s="7" t="s">
        <v>1100</v>
      </c>
      <c r="C857" s="6" t="s">
        <v>48</v>
      </c>
      <c r="D857" s="14">
        <v>26665</v>
      </c>
      <c r="E857" s="8">
        <v>53</v>
      </c>
      <c r="F857" s="6" t="s">
        <v>49</v>
      </c>
      <c r="G857" s="8">
        <v>1</v>
      </c>
      <c r="H857" s="6" t="s">
        <v>85</v>
      </c>
      <c r="I857" s="7" t="s">
        <v>61</v>
      </c>
      <c r="J857" s="7" t="s">
        <v>124</v>
      </c>
      <c r="K857" s="6" t="s">
        <v>79</v>
      </c>
      <c r="L857" s="6" t="s">
        <v>63</v>
      </c>
      <c r="M857" s="7" t="s">
        <v>80</v>
      </c>
      <c r="N857" s="6" t="s">
        <v>89</v>
      </c>
      <c r="O857" s="14">
        <v>42827</v>
      </c>
      <c r="P857" s="6" t="s">
        <v>44</v>
      </c>
      <c r="Q857" s="7" t="s">
        <v>44</v>
      </c>
      <c r="R857" s="6" t="s">
        <v>44</v>
      </c>
      <c r="S857" s="6" t="s">
        <v>56</v>
      </c>
      <c r="T857" s="9">
        <v>116900</v>
      </c>
      <c r="U857" s="9">
        <v>19500</v>
      </c>
      <c r="V857" s="8">
        <v>3</v>
      </c>
      <c r="W857" s="8">
        <v>29</v>
      </c>
      <c r="X857" s="6" t="s">
        <v>57</v>
      </c>
      <c r="Y857" s="8">
        <v>1</v>
      </c>
      <c r="Z857" s="8">
        <v>2</v>
      </c>
      <c r="AA857" s="8">
        <v>0</v>
      </c>
      <c r="AB857" s="8">
        <v>0</v>
      </c>
      <c r="AC857" s="8">
        <v>4</v>
      </c>
      <c r="AD857" s="8">
        <v>30</v>
      </c>
      <c r="AE857" s="7" t="s">
        <v>45</v>
      </c>
      <c r="AG857">
        <f t="shared" ca="1" si="39"/>
        <v>9</v>
      </c>
      <c r="AH857" s="23" t="str" cm="1">
        <f t="array" ref="AH857">_xlfn.IFS(E857&gt;49,"50+",E857&gt;39,"40-49",E857&gt;29,"30-39",E857&gt;19,"20-29")</f>
        <v>50+</v>
      </c>
      <c r="AI857" s="24" t="str" cm="1">
        <f t="array" aca="1" ref="AI857" ca="1">_xlfn.IFS(AG857&gt;10,"10+",AG857&gt;4,"5-10 YIL",AG857&gt;2,"3-5 YIL",AG857&gt;0.9,"1-3 YIL",AG857&lt;1,"0-1 YIL")</f>
        <v>5-10 YIL</v>
      </c>
      <c r="AJ857">
        <f t="shared" si="40"/>
        <v>2017</v>
      </c>
      <c r="AK857" t="e">
        <f t="shared" si="41"/>
        <v>#VALUE!</v>
      </c>
    </row>
    <row r="858" spans="1:37" x14ac:dyDescent="0.3">
      <c r="A858" s="2" t="s">
        <v>1329</v>
      </c>
      <c r="B858" s="3" t="s">
        <v>120</v>
      </c>
      <c r="C858" s="2" t="s">
        <v>33</v>
      </c>
      <c r="D858" s="13">
        <v>32349</v>
      </c>
      <c r="E858" s="4">
        <v>38</v>
      </c>
      <c r="F858" s="2" t="s">
        <v>34</v>
      </c>
      <c r="G858" s="4">
        <v>0</v>
      </c>
      <c r="H858" s="2" t="s">
        <v>35</v>
      </c>
      <c r="I858" s="3" t="s">
        <v>139</v>
      </c>
      <c r="J858" s="3" t="s">
        <v>161</v>
      </c>
      <c r="K858" s="2" t="s">
        <v>51</v>
      </c>
      <c r="L858" s="2" t="s">
        <v>63</v>
      </c>
      <c r="M858" s="3" t="s">
        <v>162</v>
      </c>
      <c r="N858" s="2" t="s">
        <v>41</v>
      </c>
      <c r="O858" s="13">
        <v>43102</v>
      </c>
      <c r="P858" s="2" t="s">
        <v>44</v>
      </c>
      <c r="Q858" s="3" t="s">
        <v>44</v>
      </c>
      <c r="R858" s="2" t="s">
        <v>44</v>
      </c>
      <c r="S858" s="2" t="s">
        <v>56</v>
      </c>
      <c r="T858" s="5">
        <v>74300</v>
      </c>
      <c r="U858" s="5">
        <v>0</v>
      </c>
      <c r="V858" s="4">
        <v>1</v>
      </c>
      <c r="W858" s="4">
        <v>20</v>
      </c>
      <c r="X858" s="2" t="s">
        <v>57</v>
      </c>
      <c r="Y858" s="4">
        <v>10</v>
      </c>
      <c r="Z858" s="4">
        <v>7</v>
      </c>
      <c r="AA858" s="4">
        <v>0</v>
      </c>
      <c r="AB858" s="4">
        <v>0</v>
      </c>
      <c r="AC858" s="4">
        <v>3</v>
      </c>
      <c r="AD858" s="4">
        <v>13</v>
      </c>
      <c r="AE858" s="3" t="s">
        <v>58</v>
      </c>
      <c r="AG858">
        <f t="shared" ca="1" si="39"/>
        <v>8</v>
      </c>
      <c r="AH858" s="23" t="str" cm="1">
        <f t="array" ref="AH858">_xlfn.IFS(E858&gt;49,"50+",E858&gt;39,"40-49",E858&gt;29,"30-39",E858&gt;19,"20-29")</f>
        <v>30-39</v>
      </c>
      <c r="AI858" s="24" t="str" cm="1">
        <f t="array" aca="1" ref="AI858" ca="1">_xlfn.IFS(AG858&gt;10,"10+",AG858&gt;4,"5-10 YIL",AG858&gt;2,"3-5 YIL",AG858&gt;0.9,"1-3 YIL",AG858&lt;1,"0-1 YIL")</f>
        <v>5-10 YIL</v>
      </c>
      <c r="AJ858">
        <f t="shared" si="40"/>
        <v>2018</v>
      </c>
      <c r="AK858" t="e">
        <f t="shared" si="41"/>
        <v>#VALUE!</v>
      </c>
    </row>
    <row r="859" spans="1:37" x14ac:dyDescent="0.3">
      <c r="A859" s="6" t="s">
        <v>1330</v>
      </c>
      <c r="B859" s="7" t="s">
        <v>471</v>
      </c>
      <c r="C859" s="6" t="s">
        <v>48</v>
      </c>
      <c r="D859" s="14">
        <v>28661</v>
      </c>
      <c r="E859" s="8">
        <v>48</v>
      </c>
      <c r="F859" s="6" t="s">
        <v>34</v>
      </c>
      <c r="G859" s="8">
        <v>0</v>
      </c>
      <c r="H859" s="6" t="s">
        <v>35</v>
      </c>
      <c r="I859" s="7" t="s">
        <v>61</v>
      </c>
      <c r="J859" s="7" t="s">
        <v>124</v>
      </c>
      <c r="K859" s="6" t="s">
        <v>79</v>
      </c>
      <c r="L859" s="6" t="s">
        <v>63</v>
      </c>
      <c r="M859" s="7" t="s">
        <v>80</v>
      </c>
      <c r="N859" s="6" t="s">
        <v>41</v>
      </c>
      <c r="O859" s="14">
        <v>41120</v>
      </c>
      <c r="P859" s="14">
        <v>45975</v>
      </c>
      <c r="Q859" s="7" t="s">
        <v>53</v>
      </c>
      <c r="R859" s="6">
        <v>4</v>
      </c>
      <c r="S859" s="6" t="s">
        <v>43</v>
      </c>
      <c r="T859" s="9">
        <v>102900</v>
      </c>
      <c r="U859" s="9">
        <v>0</v>
      </c>
      <c r="V859" s="8">
        <v>4</v>
      </c>
      <c r="W859" s="8">
        <v>30</v>
      </c>
      <c r="X859" s="6" t="s">
        <v>44</v>
      </c>
      <c r="Y859" s="8">
        <v>0</v>
      </c>
      <c r="Z859" s="8">
        <v>4</v>
      </c>
      <c r="AA859" s="8">
        <v>0</v>
      </c>
      <c r="AB859" s="8">
        <v>0</v>
      </c>
      <c r="AC859" s="8">
        <v>3</v>
      </c>
      <c r="AD859" s="8">
        <v>8</v>
      </c>
      <c r="AE859" s="7" t="s">
        <v>96</v>
      </c>
      <c r="AG859">
        <f t="shared" ca="1" si="39"/>
        <v>13</v>
      </c>
      <c r="AH859" s="23" t="str" cm="1">
        <f t="array" ref="AH859">_xlfn.IFS(E859&gt;49,"50+",E859&gt;39,"40-49",E859&gt;29,"30-39",E859&gt;19,"20-29")</f>
        <v>40-49</v>
      </c>
      <c r="AI859" s="24" t="str" cm="1">
        <f t="array" aca="1" ref="AI859" ca="1">_xlfn.IFS(AG859&gt;10,"10+",AG859&gt;4,"5-10 YIL",AG859&gt;2,"3-5 YIL",AG859&gt;0.9,"1-3 YIL",AG859&lt;1,"0-1 YIL")</f>
        <v>10+</v>
      </c>
      <c r="AJ859">
        <f t="shared" si="40"/>
        <v>2012</v>
      </c>
      <c r="AK859">
        <f t="shared" si="41"/>
        <v>2025</v>
      </c>
    </row>
    <row r="860" spans="1:37" x14ac:dyDescent="0.3">
      <c r="A860" s="2" t="s">
        <v>1331</v>
      </c>
      <c r="B860" s="3" t="s">
        <v>292</v>
      </c>
      <c r="C860" s="2" t="s">
        <v>48</v>
      </c>
      <c r="D860" s="13">
        <v>36752</v>
      </c>
      <c r="E860" s="4">
        <v>26</v>
      </c>
      <c r="F860" s="2" t="s">
        <v>34</v>
      </c>
      <c r="G860" s="4">
        <v>0</v>
      </c>
      <c r="H860" s="2" t="s">
        <v>35</v>
      </c>
      <c r="I860" s="3" t="s">
        <v>36</v>
      </c>
      <c r="J860" s="3" t="s">
        <v>37</v>
      </c>
      <c r="K860" s="2" t="s">
        <v>38</v>
      </c>
      <c r="L860" s="2" t="s">
        <v>39</v>
      </c>
      <c r="M860" s="3" t="s">
        <v>40</v>
      </c>
      <c r="N860" s="2" t="s">
        <v>41</v>
      </c>
      <c r="O860" s="13">
        <v>44959</v>
      </c>
      <c r="P860" s="2" t="s">
        <v>44</v>
      </c>
      <c r="Q860" s="3" t="s">
        <v>44</v>
      </c>
      <c r="R860" s="2" t="s">
        <v>44</v>
      </c>
      <c r="S860" s="2" t="s">
        <v>56</v>
      </c>
      <c r="T860" s="5">
        <v>28400</v>
      </c>
      <c r="U860" s="5">
        <v>0</v>
      </c>
      <c r="V860" s="4">
        <v>25</v>
      </c>
      <c r="W860" s="4">
        <v>30</v>
      </c>
      <c r="X860" s="2" t="s">
        <v>44</v>
      </c>
      <c r="Y860" s="4">
        <v>0</v>
      </c>
      <c r="Z860" s="4">
        <v>10</v>
      </c>
      <c r="AA860" s="4">
        <v>0</v>
      </c>
      <c r="AB860" s="4">
        <v>0</v>
      </c>
      <c r="AC860" s="4">
        <v>4</v>
      </c>
      <c r="AD860" s="4">
        <v>39</v>
      </c>
      <c r="AE860" s="3" t="s">
        <v>58</v>
      </c>
      <c r="AG860">
        <f t="shared" ca="1" si="39"/>
        <v>3</v>
      </c>
      <c r="AH860" s="23" t="str" cm="1">
        <f t="array" ref="AH860">_xlfn.IFS(E860&gt;49,"50+",E860&gt;39,"40-49",E860&gt;29,"30-39",E860&gt;19,"20-29")</f>
        <v>20-29</v>
      </c>
      <c r="AI860" s="24" t="str" cm="1">
        <f t="array" aca="1" ref="AI860" ca="1">_xlfn.IFS(AG860&gt;10,"10+",AG860&gt;4,"5-10 YIL",AG860&gt;2,"3-5 YIL",AG860&gt;0.9,"1-3 YIL",AG860&lt;1,"0-1 YIL")</f>
        <v>3-5 YIL</v>
      </c>
      <c r="AJ860">
        <f t="shared" si="40"/>
        <v>2023</v>
      </c>
      <c r="AK860" t="e">
        <f t="shared" si="41"/>
        <v>#VALUE!</v>
      </c>
    </row>
    <row r="861" spans="1:37" x14ac:dyDescent="0.3">
      <c r="A861" s="6" t="s">
        <v>1332</v>
      </c>
      <c r="B861" s="7" t="s">
        <v>489</v>
      </c>
      <c r="C861" s="6" t="s">
        <v>33</v>
      </c>
      <c r="D861" s="14">
        <v>35876</v>
      </c>
      <c r="E861" s="8">
        <v>28</v>
      </c>
      <c r="F861" s="6" t="s">
        <v>34</v>
      </c>
      <c r="G861" s="8">
        <v>0</v>
      </c>
      <c r="H861" s="6" t="s">
        <v>35</v>
      </c>
      <c r="I861" s="7" t="s">
        <v>36</v>
      </c>
      <c r="J861" s="7" t="s">
        <v>37</v>
      </c>
      <c r="K861" s="6" t="s">
        <v>38</v>
      </c>
      <c r="L861" s="6" t="s">
        <v>39</v>
      </c>
      <c r="M861" s="7" t="s">
        <v>40</v>
      </c>
      <c r="N861" s="6" t="s">
        <v>52</v>
      </c>
      <c r="O861" s="14">
        <v>45557</v>
      </c>
      <c r="P861" s="6" t="s">
        <v>44</v>
      </c>
      <c r="Q861" s="7" t="s">
        <v>44</v>
      </c>
      <c r="R861" s="6" t="s">
        <v>44</v>
      </c>
      <c r="S861" s="6" t="s">
        <v>56</v>
      </c>
      <c r="T861" s="9">
        <v>28200</v>
      </c>
      <c r="U861" s="9">
        <v>0</v>
      </c>
      <c r="V861" s="8">
        <v>43</v>
      </c>
      <c r="W861" s="8">
        <v>30</v>
      </c>
      <c r="X861" s="6" t="s">
        <v>44</v>
      </c>
      <c r="Y861" s="8">
        <v>0</v>
      </c>
      <c r="Z861" s="8">
        <v>8</v>
      </c>
      <c r="AA861" s="8">
        <v>0</v>
      </c>
      <c r="AB861" s="8">
        <v>0</v>
      </c>
      <c r="AC861" s="8">
        <v>3</v>
      </c>
      <c r="AD861" s="8">
        <v>6</v>
      </c>
      <c r="AE861" s="7" t="s">
        <v>45</v>
      </c>
      <c r="AG861">
        <f t="shared" ca="1" si="39"/>
        <v>1</v>
      </c>
      <c r="AH861" s="23" t="str" cm="1">
        <f t="array" ref="AH861">_xlfn.IFS(E861&gt;49,"50+",E861&gt;39,"40-49",E861&gt;29,"30-39",E861&gt;19,"20-29")</f>
        <v>20-29</v>
      </c>
      <c r="AI861" s="24" t="str" cm="1">
        <f t="array" aca="1" ref="AI861" ca="1">_xlfn.IFS(AG861&gt;10,"10+",AG861&gt;4,"5-10 YIL",AG861&gt;2,"3-5 YIL",AG861&gt;0.9,"1-3 YIL",AG861&lt;1,"0-1 YIL")</f>
        <v>1-3 YIL</v>
      </c>
      <c r="AJ861">
        <f t="shared" si="40"/>
        <v>2024</v>
      </c>
      <c r="AK861" t="e">
        <f t="shared" si="41"/>
        <v>#VALUE!</v>
      </c>
    </row>
    <row r="862" spans="1:37" x14ac:dyDescent="0.3">
      <c r="A862" s="2" t="s">
        <v>1333</v>
      </c>
      <c r="B862" s="3" t="s">
        <v>1055</v>
      </c>
      <c r="C862" s="2" t="s">
        <v>33</v>
      </c>
      <c r="D862" s="13">
        <v>29082</v>
      </c>
      <c r="E862" s="4">
        <v>47</v>
      </c>
      <c r="F862" s="2" t="s">
        <v>34</v>
      </c>
      <c r="G862" s="4">
        <v>0</v>
      </c>
      <c r="H862" s="2" t="s">
        <v>88</v>
      </c>
      <c r="I862" s="3" t="s">
        <v>36</v>
      </c>
      <c r="J862" s="3" t="s">
        <v>50</v>
      </c>
      <c r="K862" s="2" t="s">
        <v>51</v>
      </c>
      <c r="L862" s="2" t="s">
        <v>39</v>
      </c>
      <c r="M862" s="3" t="s">
        <v>40</v>
      </c>
      <c r="N862" s="2" t="s">
        <v>41</v>
      </c>
      <c r="O862" s="13">
        <v>42417</v>
      </c>
      <c r="P862" s="2" t="s">
        <v>44</v>
      </c>
      <c r="Q862" s="3" t="s">
        <v>44</v>
      </c>
      <c r="R862" s="2" t="s">
        <v>44</v>
      </c>
      <c r="S862" s="2" t="s">
        <v>56</v>
      </c>
      <c r="T862" s="5">
        <v>44200</v>
      </c>
      <c r="U862" s="5">
        <v>0</v>
      </c>
      <c r="V862" s="4">
        <v>44</v>
      </c>
      <c r="W862" s="4">
        <v>30</v>
      </c>
      <c r="X862" s="2" t="s">
        <v>44</v>
      </c>
      <c r="Y862" s="4">
        <v>0</v>
      </c>
      <c r="Z862" s="4">
        <v>6</v>
      </c>
      <c r="AA862" s="4">
        <v>0</v>
      </c>
      <c r="AB862" s="4">
        <v>0</v>
      </c>
      <c r="AC862" s="4">
        <v>2</v>
      </c>
      <c r="AD862" s="4">
        <v>2</v>
      </c>
      <c r="AE862" s="3" t="s">
        <v>82</v>
      </c>
      <c r="AG862">
        <f t="shared" ca="1" si="39"/>
        <v>10</v>
      </c>
      <c r="AH862" s="23" t="str" cm="1">
        <f t="array" ref="AH862">_xlfn.IFS(E862&gt;49,"50+",E862&gt;39,"40-49",E862&gt;29,"30-39",E862&gt;19,"20-29")</f>
        <v>40-49</v>
      </c>
      <c r="AI862" s="24" t="str" cm="1">
        <f t="array" aca="1" ref="AI862" ca="1">_xlfn.IFS(AG862&gt;10,"10+",AG862&gt;4,"5-10 YIL",AG862&gt;2,"3-5 YIL",AG862&gt;0.9,"1-3 YIL",AG862&lt;1,"0-1 YIL")</f>
        <v>5-10 YIL</v>
      </c>
      <c r="AJ862">
        <f t="shared" si="40"/>
        <v>2016</v>
      </c>
      <c r="AK862" t="e">
        <f t="shared" si="41"/>
        <v>#VALUE!</v>
      </c>
    </row>
    <row r="863" spans="1:37" x14ac:dyDescent="0.3">
      <c r="A863" s="6" t="s">
        <v>1334</v>
      </c>
      <c r="B863" s="7" t="s">
        <v>880</v>
      </c>
      <c r="C863" s="6" t="s">
        <v>48</v>
      </c>
      <c r="D863" s="14">
        <v>34344</v>
      </c>
      <c r="E863" s="8">
        <v>32</v>
      </c>
      <c r="F863" s="6" t="s">
        <v>49</v>
      </c>
      <c r="G863" s="8">
        <v>0</v>
      </c>
      <c r="H863" s="6" t="s">
        <v>85</v>
      </c>
      <c r="I863" s="7" t="s">
        <v>61</v>
      </c>
      <c r="J863" s="7" t="s">
        <v>107</v>
      </c>
      <c r="K863" s="6" t="s">
        <v>51</v>
      </c>
      <c r="L863" s="6" t="s">
        <v>63</v>
      </c>
      <c r="M863" s="7" t="s">
        <v>64</v>
      </c>
      <c r="N863" s="6" t="s">
        <v>95</v>
      </c>
      <c r="O863" s="14">
        <v>44023</v>
      </c>
      <c r="P863" s="6" t="s">
        <v>44</v>
      </c>
      <c r="Q863" s="7" t="s">
        <v>44</v>
      </c>
      <c r="R863" s="6" t="s">
        <v>44</v>
      </c>
      <c r="S863" s="6" t="s">
        <v>56</v>
      </c>
      <c r="T863" s="9">
        <v>60600</v>
      </c>
      <c r="U863" s="9">
        <v>19500</v>
      </c>
      <c r="V863" s="8">
        <v>0</v>
      </c>
      <c r="W863" s="8">
        <v>20</v>
      </c>
      <c r="X863" s="6" t="s">
        <v>57</v>
      </c>
      <c r="Y863" s="8">
        <v>10</v>
      </c>
      <c r="Z863" s="8">
        <v>1</v>
      </c>
      <c r="AA863" s="8">
        <v>0</v>
      </c>
      <c r="AB863" s="8">
        <v>0</v>
      </c>
      <c r="AC863" s="8">
        <v>4</v>
      </c>
      <c r="AD863" s="8">
        <v>12</v>
      </c>
      <c r="AE863" s="7" t="s">
        <v>82</v>
      </c>
      <c r="AG863">
        <f t="shared" ca="1" si="39"/>
        <v>5</v>
      </c>
      <c r="AH863" s="23" t="str" cm="1">
        <f t="array" ref="AH863">_xlfn.IFS(E863&gt;49,"50+",E863&gt;39,"40-49",E863&gt;29,"30-39",E863&gt;19,"20-29")</f>
        <v>30-39</v>
      </c>
      <c r="AI863" s="24" t="str" cm="1">
        <f t="array" aca="1" ref="AI863" ca="1">_xlfn.IFS(AG863&gt;10,"10+",AG863&gt;4,"5-10 YIL",AG863&gt;2,"3-5 YIL",AG863&gt;0.9,"1-3 YIL",AG863&lt;1,"0-1 YIL")</f>
        <v>5-10 YIL</v>
      </c>
      <c r="AJ863">
        <f t="shared" si="40"/>
        <v>2020</v>
      </c>
      <c r="AK863" t="e">
        <f t="shared" si="41"/>
        <v>#VALUE!</v>
      </c>
    </row>
    <row r="864" spans="1:37" x14ac:dyDescent="0.3">
      <c r="A864" s="2" t="s">
        <v>1335</v>
      </c>
      <c r="B864" s="3" t="s">
        <v>722</v>
      </c>
      <c r="C864" s="2" t="s">
        <v>48</v>
      </c>
      <c r="D864" s="13">
        <v>30784</v>
      </c>
      <c r="E864" s="4">
        <v>42</v>
      </c>
      <c r="F864" s="2" t="s">
        <v>34</v>
      </c>
      <c r="G864" s="4">
        <v>0</v>
      </c>
      <c r="H864" s="2" t="s">
        <v>35</v>
      </c>
      <c r="I864" s="3" t="s">
        <v>139</v>
      </c>
      <c r="J864" s="3" t="s">
        <v>161</v>
      </c>
      <c r="K864" s="2" t="s">
        <v>51</v>
      </c>
      <c r="L864" s="2" t="s">
        <v>63</v>
      </c>
      <c r="M864" s="3" t="s">
        <v>162</v>
      </c>
      <c r="N864" s="2" t="s">
        <v>52</v>
      </c>
      <c r="O864" s="13">
        <v>42774</v>
      </c>
      <c r="P864" s="2" t="s">
        <v>44</v>
      </c>
      <c r="Q864" s="3" t="s">
        <v>44</v>
      </c>
      <c r="R864" s="2" t="s">
        <v>44</v>
      </c>
      <c r="S864" s="2" t="s">
        <v>56</v>
      </c>
      <c r="T864" s="5">
        <v>78300</v>
      </c>
      <c r="U864" s="5">
        <v>0</v>
      </c>
      <c r="V864" s="4">
        <v>4</v>
      </c>
      <c r="W864" s="4">
        <v>30</v>
      </c>
      <c r="X864" s="2" t="s">
        <v>44</v>
      </c>
      <c r="Y864" s="4">
        <v>0</v>
      </c>
      <c r="Z864" s="4">
        <v>14</v>
      </c>
      <c r="AA864" s="4">
        <v>0</v>
      </c>
      <c r="AB864" s="4">
        <v>0</v>
      </c>
      <c r="AC864" s="4">
        <v>2</v>
      </c>
      <c r="AD864" s="4">
        <v>8</v>
      </c>
      <c r="AE864" s="3" t="s">
        <v>58</v>
      </c>
      <c r="AG864">
        <f t="shared" ca="1" si="39"/>
        <v>9</v>
      </c>
      <c r="AH864" s="23" t="str" cm="1">
        <f t="array" ref="AH864">_xlfn.IFS(E864&gt;49,"50+",E864&gt;39,"40-49",E864&gt;29,"30-39",E864&gt;19,"20-29")</f>
        <v>40-49</v>
      </c>
      <c r="AI864" s="24" t="str" cm="1">
        <f t="array" aca="1" ref="AI864" ca="1">_xlfn.IFS(AG864&gt;10,"10+",AG864&gt;4,"5-10 YIL",AG864&gt;2,"3-5 YIL",AG864&gt;0.9,"1-3 YIL",AG864&lt;1,"0-1 YIL")</f>
        <v>5-10 YIL</v>
      </c>
      <c r="AJ864">
        <f t="shared" si="40"/>
        <v>2017</v>
      </c>
      <c r="AK864" t="e">
        <f t="shared" si="41"/>
        <v>#VALUE!</v>
      </c>
    </row>
    <row r="865" spans="1:37" x14ac:dyDescent="0.3">
      <c r="A865" s="6" t="s">
        <v>1336</v>
      </c>
      <c r="B865" s="7" t="s">
        <v>300</v>
      </c>
      <c r="C865" s="6" t="s">
        <v>48</v>
      </c>
      <c r="D865" s="14">
        <v>29125</v>
      </c>
      <c r="E865" s="8">
        <v>47</v>
      </c>
      <c r="F865" s="6" t="s">
        <v>49</v>
      </c>
      <c r="G865" s="8">
        <v>1</v>
      </c>
      <c r="H865" s="6" t="s">
        <v>35</v>
      </c>
      <c r="I865" s="7" t="s">
        <v>36</v>
      </c>
      <c r="J865" s="7" t="s">
        <v>50</v>
      </c>
      <c r="K865" s="6" t="s">
        <v>51</v>
      </c>
      <c r="L865" s="6" t="s">
        <v>39</v>
      </c>
      <c r="M865" s="7" t="s">
        <v>40</v>
      </c>
      <c r="N865" s="6" t="s">
        <v>41</v>
      </c>
      <c r="O865" s="14">
        <v>42964</v>
      </c>
      <c r="P865" s="6" t="s">
        <v>44</v>
      </c>
      <c r="Q865" s="7" t="s">
        <v>44</v>
      </c>
      <c r="R865" s="6" t="s">
        <v>44</v>
      </c>
      <c r="S865" s="6" t="s">
        <v>56</v>
      </c>
      <c r="T865" s="9">
        <v>43700</v>
      </c>
      <c r="U865" s="9">
        <v>0</v>
      </c>
      <c r="V865" s="8">
        <v>28</v>
      </c>
      <c r="W865" s="8">
        <v>30</v>
      </c>
      <c r="X865" s="6" t="s">
        <v>44</v>
      </c>
      <c r="Y865" s="8">
        <v>0</v>
      </c>
      <c r="Z865" s="8">
        <v>2</v>
      </c>
      <c r="AA865" s="8">
        <v>0</v>
      </c>
      <c r="AB865" s="8">
        <v>0</v>
      </c>
      <c r="AC865" s="8">
        <v>3</v>
      </c>
      <c r="AD865" s="8">
        <v>6</v>
      </c>
      <c r="AE865" s="7" t="s">
        <v>58</v>
      </c>
      <c r="AG865">
        <f t="shared" ca="1" si="39"/>
        <v>8</v>
      </c>
      <c r="AH865" s="23" t="str" cm="1">
        <f t="array" ref="AH865">_xlfn.IFS(E865&gt;49,"50+",E865&gt;39,"40-49",E865&gt;29,"30-39",E865&gt;19,"20-29")</f>
        <v>40-49</v>
      </c>
      <c r="AI865" s="24" t="str" cm="1">
        <f t="array" aca="1" ref="AI865" ca="1">_xlfn.IFS(AG865&gt;10,"10+",AG865&gt;4,"5-10 YIL",AG865&gt;2,"3-5 YIL",AG865&gt;0.9,"1-3 YIL",AG865&lt;1,"0-1 YIL")</f>
        <v>5-10 YIL</v>
      </c>
      <c r="AJ865">
        <f t="shared" si="40"/>
        <v>2017</v>
      </c>
      <c r="AK865" t="e">
        <f t="shared" si="41"/>
        <v>#VALUE!</v>
      </c>
    </row>
    <row r="866" spans="1:37" x14ac:dyDescent="0.3">
      <c r="A866" s="2" t="s">
        <v>1337</v>
      </c>
      <c r="B866" s="3" t="s">
        <v>855</v>
      </c>
      <c r="C866" s="2" t="s">
        <v>48</v>
      </c>
      <c r="D866" s="13">
        <v>38169</v>
      </c>
      <c r="E866" s="4">
        <v>22</v>
      </c>
      <c r="F866" s="2" t="s">
        <v>34</v>
      </c>
      <c r="G866" s="4">
        <v>0</v>
      </c>
      <c r="H866" s="2" t="s">
        <v>85</v>
      </c>
      <c r="I866" s="3" t="s">
        <v>36</v>
      </c>
      <c r="J866" s="3" t="s">
        <v>37</v>
      </c>
      <c r="K866" s="2" t="s">
        <v>38</v>
      </c>
      <c r="L866" s="2" t="s">
        <v>39</v>
      </c>
      <c r="M866" s="3" t="s">
        <v>40</v>
      </c>
      <c r="N866" s="2" t="s">
        <v>67</v>
      </c>
      <c r="O866" s="13">
        <v>44909</v>
      </c>
      <c r="P866" s="2" t="s">
        <v>44</v>
      </c>
      <c r="Q866" s="3" t="s">
        <v>44</v>
      </c>
      <c r="R866" s="2" t="s">
        <v>44</v>
      </c>
      <c r="S866" s="2" t="s">
        <v>56</v>
      </c>
      <c r="T866" s="5">
        <v>28400</v>
      </c>
      <c r="U866" s="5">
        <v>0</v>
      </c>
      <c r="V866" s="4">
        <v>19</v>
      </c>
      <c r="W866" s="4">
        <v>28</v>
      </c>
      <c r="X866" s="2" t="s">
        <v>112</v>
      </c>
      <c r="Y866" s="4">
        <v>0</v>
      </c>
      <c r="Z866" s="4">
        <v>10</v>
      </c>
      <c r="AA866" s="4">
        <v>0</v>
      </c>
      <c r="AB866" s="4">
        <v>2</v>
      </c>
      <c r="AC866" s="4">
        <v>4</v>
      </c>
      <c r="AD866" s="4">
        <v>32</v>
      </c>
      <c r="AE866" s="3" t="s">
        <v>45</v>
      </c>
      <c r="AG866">
        <f t="shared" ca="1" si="39"/>
        <v>3</v>
      </c>
      <c r="AH866" s="23" t="str" cm="1">
        <f t="array" ref="AH866">_xlfn.IFS(E866&gt;49,"50+",E866&gt;39,"40-49",E866&gt;29,"30-39",E866&gt;19,"20-29")</f>
        <v>20-29</v>
      </c>
      <c r="AI866" s="24" t="str" cm="1">
        <f t="array" aca="1" ref="AI866" ca="1">_xlfn.IFS(AG866&gt;10,"10+",AG866&gt;4,"5-10 YIL",AG866&gt;2,"3-5 YIL",AG866&gt;0.9,"1-3 YIL",AG866&lt;1,"0-1 YIL")</f>
        <v>3-5 YIL</v>
      </c>
      <c r="AJ866">
        <f t="shared" si="40"/>
        <v>2022</v>
      </c>
      <c r="AK866" t="e">
        <f t="shared" si="41"/>
        <v>#VALUE!</v>
      </c>
    </row>
    <row r="867" spans="1:37" x14ac:dyDescent="0.3">
      <c r="A867" s="6" t="s">
        <v>1338</v>
      </c>
      <c r="B867" s="7" t="s">
        <v>459</v>
      </c>
      <c r="C867" s="6" t="s">
        <v>33</v>
      </c>
      <c r="D867" s="14">
        <v>37534</v>
      </c>
      <c r="E867" s="8">
        <v>24</v>
      </c>
      <c r="F867" s="6" t="s">
        <v>34</v>
      </c>
      <c r="G867" s="8">
        <v>0</v>
      </c>
      <c r="H867" s="6" t="s">
        <v>35</v>
      </c>
      <c r="I867" s="7" t="s">
        <v>36</v>
      </c>
      <c r="J867" s="7" t="s">
        <v>37</v>
      </c>
      <c r="K867" s="6" t="s">
        <v>38</v>
      </c>
      <c r="L867" s="6" t="s">
        <v>39</v>
      </c>
      <c r="M867" s="7" t="s">
        <v>40</v>
      </c>
      <c r="N867" s="6" t="s">
        <v>89</v>
      </c>
      <c r="O867" s="14">
        <v>45305</v>
      </c>
      <c r="P867" s="6" t="s">
        <v>44</v>
      </c>
      <c r="Q867" s="7" t="s">
        <v>44</v>
      </c>
      <c r="R867" s="6" t="s">
        <v>44</v>
      </c>
      <c r="S867" s="6" t="s">
        <v>56</v>
      </c>
      <c r="T867" s="9">
        <v>28400</v>
      </c>
      <c r="U867" s="9">
        <v>0</v>
      </c>
      <c r="V867" s="8">
        <v>30</v>
      </c>
      <c r="W867" s="8">
        <v>29</v>
      </c>
      <c r="X867" s="6" t="s">
        <v>57</v>
      </c>
      <c r="Y867" s="8">
        <v>1</v>
      </c>
      <c r="Z867" s="8">
        <v>10</v>
      </c>
      <c r="AA867" s="8">
        <v>0</v>
      </c>
      <c r="AB867" s="8">
        <v>0</v>
      </c>
      <c r="AC867" s="8">
        <v>3</v>
      </c>
      <c r="AD867" s="8">
        <v>9</v>
      </c>
      <c r="AE867" s="7" t="s">
        <v>58</v>
      </c>
      <c r="AG867">
        <f t="shared" ca="1" si="39"/>
        <v>2</v>
      </c>
      <c r="AH867" s="23" t="str" cm="1">
        <f t="array" ref="AH867">_xlfn.IFS(E867&gt;49,"50+",E867&gt;39,"40-49",E867&gt;29,"30-39",E867&gt;19,"20-29")</f>
        <v>20-29</v>
      </c>
      <c r="AI867" s="24" t="str" cm="1">
        <f t="array" aca="1" ref="AI867" ca="1">_xlfn.IFS(AG867&gt;10,"10+",AG867&gt;4,"5-10 YIL",AG867&gt;2,"3-5 YIL",AG867&gt;0.9,"1-3 YIL",AG867&lt;1,"0-1 YIL")</f>
        <v>1-3 YIL</v>
      </c>
      <c r="AJ867">
        <f t="shared" si="40"/>
        <v>2024</v>
      </c>
      <c r="AK867" t="e">
        <f t="shared" si="41"/>
        <v>#VALUE!</v>
      </c>
    </row>
    <row r="868" spans="1:37" x14ac:dyDescent="0.3">
      <c r="A868" s="2" t="s">
        <v>1339</v>
      </c>
      <c r="B868" s="3" t="s">
        <v>601</v>
      </c>
      <c r="C868" s="2" t="s">
        <v>33</v>
      </c>
      <c r="D868" s="13">
        <v>36080</v>
      </c>
      <c r="E868" s="4">
        <v>28</v>
      </c>
      <c r="F868" s="2" t="s">
        <v>34</v>
      </c>
      <c r="G868" s="4">
        <v>0</v>
      </c>
      <c r="H868" s="2" t="s">
        <v>35</v>
      </c>
      <c r="I868" s="3" t="s">
        <v>61</v>
      </c>
      <c r="J868" s="3" t="s">
        <v>107</v>
      </c>
      <c r="K868" s="2" t="s">
        <v>51</v>
      </c>
      <c r="L868" s="2" t="s">
        <v>63</v>
      </c>
      <c r="M868" s="3" t="s">
        <v>64</v>
      </c>
      <c r="N868" s="2" t="s">
        <v>95</v>
      </c>
      <c r="O868" s="13">
        <v>42503</v>
      </c>
      <c r="P868" s="2" t="s">
        <v>44</v>
      </c>
      <c r="Q868" s="3" t="s">
        <v>44</v>
      </c>
      <c r="R868" s="2" t="s">
        <v>44</v>
      </c>
      <c r="S868" s="2" t="s">
        <v>56</v>
      </c>
      <c r="T868" s="5">
        <v>61500</v>
      </c>
      <c r="U868" s="5">
        <v>16500</v>
      </c>
      <c r="V868" s="4">
        <v>3</v>
      </c>
      <c r="W868" s="4">
        <v>29</v>
      </c>
      <c r="X868" s="2" t="s">
        <v>81</v>
      </c>
      <c r="Y868" s="4">
        <v>0</v>
      </c>
      <c r="Z868" s="4">
        <v>12</v>
      </c>
      <c r="AA868" s="4">
        <v>1</v>
      </c>
      <c r="AB868" s="4">
        <v>0</v>
      </c>
      <c r="AC868" s="4">
        <v>3</v>
      </c>
      <c r="AD868" s="4">
        <v>17</v>
      </c>
      <c r="AE868" s="3" t="s">
        <v>58</v>
      </c>
      <c r="AG868">
        <f t="shared" ca="1" si="39"/>
        <v>10</v>
      </c>
      <c r="AH868" s="23" t="str" cm="1">
        <f t="array" ref="AH868">_xlfn.IFS(E868&gt;49,"50+",E868&gt;39,"40-49",E868&gt;29,"30-39",E868&gt;19,"20-29")</f>
        <v>20-29</v>
      </c>
      <c r="AI868" s="24" t="str" cm="1">
        <f t="array" aca="1" ref="AI868" ca="1">_xlfn.IFS(AG868&gt;10,"10+",AG868&gt;4,"5-10 YIL",AG868&gt;2,"3-5 YIL",AG868&gt;0.9,"1-3 YIL",AG868&lt;1,"0-1 YIL")</f>
        <v>5-10 YIL</v>
      </c>
      <c r="AJ868">
        <f t="shared" si="40"/>
        <v>2016</v>
      </c>
      <c r="AK868" t="e">
        <f t="shared" si="41"/>
        <v>#VALUE!</v>
      </c>
    </row>
    <row r="869" spans="1:37" x14ac:dyDescent="0.3">
      <c r="A869" s="6" t="s">
        <v>1340</v>
      </c>
      <c r="B869" s="7" t="s">
        <v>111</v>
      </c>
      <c r="C869" s="6" t="s">
        <v>33</v>
      </c>
      <c r="D869" s="14">
        <v>38064</v>
      </c>
      <c r="E869" s="8">
        <v>22</v>
      </c>
      <c r="F869" s="6" t="s">
        <v>34</v>
      </c>
      <c r="G869" s="8">
        <v>0</v>
      </c>
      <c r="H869" s="6" t="s">
        <v>35</v>
      </c>
      <c r="I869" s="7" t="s">
        <v>36</v>
      </c>
      <c r="J869" s="7" t="s">
        <v>37</v>
      </c>
      <c r="K869" s="6" t="s">
        <v>38</v>
      </c>
      <c r="L869" s="6" t="s">
        <v>39</v>
      </c>
      <c r="M869" s="7" t="s">
        <v>40</v>
      </c>
      <c r="N869" s="6" t="s">
        <v>41</v>
      </c>
      <c r="O869" s="14">
        <v>45769</v>
      </c>
      <c r="P869" s="14">
        <v>45883</v>
      </c>
      <c r="Q869" s="7" t="s">
        <v>177</v>
      </c>
      <c r="R869" s="6">
        <v>3</v>
      </c>
      <c r="S869" s="6" t="s">
        <v>43</v>
      </c>
      <c r="T869" s="9">
        <v>27700</v>
      </c>
      <c r="U869" s="9">
        <v>0</v>
      </c>
      <c r="V869" s="8">
        <v>36</v>
      </c>
      <c r="W869" s="8">
        <v>28</v>
      </c>
      <c r="X869" s="6" t="s">
        <v>57</v>
      </c>
      <c r="Y869" s="8">
        <v>1</v>
      </c>
      <c r="Z869" s="8">
        <v>5</v>
      </c>
      <c r="AA869" s="8">
        <v>1</v>
      </c>
      <c r="AB869" s="8">
        <v>0</v>
      </c>
      <c r="AC869" s="8">
        <v>4</v>
      </c>
      <c r="AD869" s="8">
        <v>25</v>
      </c>
      <c r="AE869" s="7" t="s">
        <v>73</v>
      </c>
      <c r="AG869">
        <f t="shared" ca="1" si="39"/>
        <v>1</v>
      </c>
      <c r="AH869" s="23" t="str" cm="1">
        <f t="array" ref="AH869">_xlfn.IFS(E869&gt;49,"50+",E869&gt;39,"40-49",E869&gt;29,"30-39",E869&gt;19,"20-29")</f>
        <v>20-29</v>
      </c>
      <c r="AI869" s="24" t="str" cm="1">
        <f t="array" aca="1" ref="AI869" ca="1">_xlfn.IFS(AG869&gt;10,"10+",AG869&gt;4,"5-10 YIL",AG869&gt;2,"3-5 YIL",AG869&gt;0.9,"1-3 YIL",AG869&lt;1,"0-1 YIL")</f>
        <v>1-3 YIL</v>
      </c>
      <c r="AJ869">
        <f t="shared" si="40"/>
        <v>2025</v>
      </c>
      <c r="AK869">
        <f t="shared" si="41"/>
        <v>2025</v>
      </c>
    </row>
    <row r="870" spans="1:37" x14ac:dyDescent="0.3">
      <c r="A870" s="2" t="s">
        <v>1341</v>
      </c>
      <c r="B870" s="3" t="s">
        <v>877</v>
      </c>
      <c r="C870" s="2" t="s">
        <v>33</v>
      </c>
      <c r="D870" s="13">
        <v>36044</v>
      </c>
      <c r="E870" s="4">
        <v>28</v>
      </c>
      <c r="F870" s="2" t="s">
        <v>34</v>
      </c>
      <c r="G870" s="4">
        <v>0</v>
      </c>
      <c r="H870" s="2" t="s">
        <v>85</v>
      </c>
      <c r="I870" s="3" t="s">
        <v>36</v>
      </c>
      <c r="J870" s="3" t="s">
        <v>37</v>
      </c>
      <c r="K870" s="2" t="s">
        <v>38</v>
      </c>
      <c r="L870" s="2" t="s">
        <v>39</v>
      </c>
      <c r="M870" s="3" t="s">
        <v>40</v>
      </c>
      <c r="N870" s="2" t="s">
        <v>41</v>
      </c>
      <c r="O870" s="13">
        <v>45320</v>
      </c>
      <c r="P870" s="2" t="s">
        <v>44</v>
      </c>
      <c r="Q870" s="3" t="s">
        <v>44</v>
      </c>
      <c r="R870" s="2" t="s">
        <v>44</v>
      </c>
      <c r="S870" s="2" t="s">
        <v>56</v>
      </c>
      <c r="T870" s="5">
        <v>26000</v>
      </c>
      <c r="U870" s="5">
        <v>0</v>
      </c>
      <c r="V870" s="4">
        <v>12</v>
      </c>
      <c r="W870" s="4">
        <v>30</v>
      </c>
      <c r="X870" s="2" t="s">
        <v>44</v>
      </c>
      <c r="Y870" s="4">
        <v>0</v>
      </c>
      <c r="Z870" s="4">
        <v>4</v>
      </c>
      <c r="AA870" s="4">
        <v>0</v>
      </c>
      <c r="AB870" s="4">
        <v>0</v>
      </c>
      <c r="AC870" s="4">
        <v>5</v>
      </c>
      <c r="AD870" s="4">
        <v>35</v>
      </c>
      <c r="AE870" s="3" t="s">
        <v>58</v>
      </c>
      <c r="AG870">
        <f t="shared" ca="1" si="39"/>
        <v>2</v>
      </c>
      <c r="AH870" s="23" t="str" cm="1">
        <f t="array" ref="AH870">_xlfn.IFS(E870&gt;49,"50+",E870&gt;39,"40-49",E870&gt;29,"30-39",E870&gt;19,"20-29")</f>
        <v>20-29</v>
      </c>
      <c r="AI870" s="24" t="str" cm="1">
        <f t="array" aca="1" ref="AI870" ca="1">_xlfn.IFS(AG870&gt;10,"10+",AG870&gt;4,"5-10 YIL",AG870&gt;2,"3-5 YIL",AG870&gt;0.9,"1-3 YIL",AG870&lt;1,"0-1 YIL")</f>
        <v>1-3 YIL</v>
      </c>
      <c r="AJ870">
        <f t="shared" si="40"/>
        <v>2024</v>
      </c>
      <c r="AK870" t="e">
        <f t="shared" si="41"/>
        <v>#VALUE!</v>
      </c>
    </row>
    <row r="871" spans="1:37" x14ac:dyDescent="0.3">
      <c r="A871" s="6" t="s">
        <v>1342</v>
      </c>
      <c r="B871" s="7" t="s">
        <v>1247</v>
      </c>
      <c r="C871" s="6" t="s">
        <v>48</v>
      </c>
      <c r="D871" s="14">
        <v>36757</v>
      </c>
      <c r="E871" s="8">
        <v>26</v>
      </c>
      <c r="F871" s="6" t="s">
        <v>34</v>
      </c>
      <c r="G871" s="8">
        <v>0</v>
      </c>
      <c r="H871" s="6" t="s">
        <v>35</v>
      </c>
      <c r="I871" s="7" t="s">
        <v>36</v>
      </c>
      <c r="J871" s="7" t="s">
        <v>37</v>
      </c>
      <c r="K871" s="6" t="s">
        <v>38</v>
      </c>
      <c r="L871" s="6" t="s">
        <v>39</v>
      </c>
      <c r="M871" s="7" t="s">
        <v>40</v>
      </c>
      <c r="N871" s="6" t="s">
        <v>41</v>
      </c>
      <c r="O871" s="14">
        <v>45138</v>
      </c>
      <c r="P871" s="6" t="s">
        <v>44</v>
      </c>
      <c r="Q871" s="7" t="s">
        <v>44</v>
      </c>
      <c r="R871" s="6" t="s">
        <v>44</v>
      </c>
      <c r="S871" s="6" t="s">
        <v>56</v>
      </c>
      <c r="T871" s="9">
        <v>24000</v>
      </c>
      <c r="U871" s="9">
        <v>0</v>
      </c>
      <c r="V871" s="8">
        <v>27</v>
      </c>
      <c r="W871" s="8">
        <v>30</v>
      </c>
      <c r="X871" s="6" t="s">
        <v>44</v>
      </c>
      <c r="Y871" s="8">
        <v>0</v>
      </c>
      <c r="Z871" s="8">
        <v>7</v>
      </c>
      <c r="AA871" s="8">
        <v>0</v>
      </c>
      <c r="AB871" s="8">
        <v>0</v>
      </c>
      <c r="AC871" s="8">
        <v>2</v>
      </c>
      <c r="AD871" s="8">
        <v>18</v>
      </c>
      <c r="AE871" s="7" t="s">
        <v>58</v>
      </c>
      <c r="AG871">
        <f t="shared" ca="1" si="39"/>
        <v>2</v>
      </c>
      <c r="AH871" s="23" t="str" cm="1">
        <f t="array" ref="AH871">_xlfn.IFS(E871&gt;49,"50+",E871&gt;39,"40-49",E871&gt;29,"30-39",E871&gt;19,"20-29")</f>
        <v>20-29</v>
      </c>
      <c r="AI871" s="24" t="str" cm="1">
        <f t="array" aca="1" ref="AI871" ca="1">_xlfn.IFS(AG871&gt;10,"10+",AG871&gt;4,"5-10 YIL",AG871&gt;2,"3-5 YIL",AG871&gt;0.9,"1-3 YIL",AG871&lt;1,"0-1 YIL")</f>
        <v>1-3 YIL</v>
      </c>
      <c r="AJ871">
        <f t="shared" si="40"/>
        <v>2023</v>
      </c>
      <c r="AK871" t="e">
        <f t="shared" si="41"/>
        <v>#VALUE!</v>
      </c>
    </row>
    <row r="872" spans="1:37" x14ac:dyDescent="0.3">
      <c r="A872" s="2" t="s">
        <v>1343</v>
      </c>
      <c r="B872" s="3" t="s">
        <v>1092</v>
      </c>
      <c r="C872" s="2" t="s">
        <v>33</v>
      </c>
      <c r="D872" s="13">
        <v>33107</v>
      </c>
      <c r="E872" s="4">
        <v>36</v>
      </c>
      <c r="F872" s="2" t="s">
        <v>49</v>
      </c>
      <c r="G872" s="4">
        <v>0</v>
      </c>
      <c r="H872" s="2" t="s">
        <v>88</v>
      </c>
      <c r="I872" s="3" t="s">
        <v>70</v>
      </c>
      <c r="J872" s="3" t="s">
        <v>71</v>
      </c>
      <c r="K872" s="2" t="s">
        <v>51</v>
      </c>
      <c r="L872" s="2" t="s">
        <v>63</v>
      </c>
      <c r="M872" s="3" t="s">
        <v>72</v>
      </c>
      <c r="N872" s="2" t="s">
        <v>41</v>
      </c>
      <c r="O872" s="13">
        <v>42353</v>
      </c>
      <c r="P872" s="2" t="s">
        <v>44</v>
      </c>
      <c r="Q872" s="3" t="s">
        <v>44</v>
      </c>
      <c r="R872" s="2" t="s">
        <v>44</v>
      </c>
      <c r="S872" s="2" t="s">
        <v>56</v>
      </c>
      <c r="T872" s="5">
        <v>66500</v>
      </c>
      <c r="U872" s="5">
        <v>0</v>
      </c>
      <c r="V872" s="4">
        <v>6</v>
      </c>
      <c r="W872" s="4">
        <v>20</v>
      </c>
      <c r="X872" s="2" t="s">
        <v>57</v>
      </c>
      <c r="Y872" s="4">
        <v>10</v>
      </c>
      <c r="Z872" s="4">
        <v>1</v>
      </c>
      <c r="AA872" s="4">
        <v>0</v>
      </c>
      <c r="AB872" s="4">
        <v>0</v>
      </c>
      <c r="AC872" s="4">
        <v>3</v>
      </c>
      <c r="AD872" s="4">
        <v>2</v>
      </c>
      <c r="AE872" s="3" t="s">
        <v>58</v>
      </c>
      <c r="AG872">
        <f t="shared" ca="1" si="39"/>
        <v>10</v>
      </c>
      <c r="AH872" s="23" t="str" cm="1">
        <f t="array" ref="AH872">_xlfn.IFS(E872&gt;49,"50+",E872&gt;39,"40-49",E872&gt;29,"30-39",E872&gt;19,"20-29")</f>
        <v>30-39</v>
      </c>
      <c r="AI872" s="24" t="str" cm="1">
        <f t="array" aca="1" ref="AI872" ca="1">_xlfn.IFS(AG872&gt;10,"10+",AG872&gt;4,"5-10 YIL",AG872&gt;2,"3-5 YIL",AG872&gt;0.9,"1-3 YIL",AG872&lt;1,"0-1 YIL")</f>
        <v>5-10 YIL</v>
      </c>
      <c r="AJ872">
        <f t="shared" si="40"/>
        <v>2015</v>
      </c>
      <c r="AK872" t="e">
        <f t="shared" si="41"/>
        <v>#VALUE!</v>
      </c>
    </row>
    <row r="873" spans="1:37" x14ac:dyDescent="0.3">
      <c r="A873" s="6" t="s">
        <v>1344</v>
      </c>
      <c r="B873" s="7" t="s">
        <v>659</v>
      </c>
      <c r="C873" s="6" t="s">
        <v>33</v>
      </c>
      <c r="D873" s="14">
        <v>35585</v>
      </c>
      <c r="E873" s="8">
        <v>29</v>
      </c>
      <c r="F873" s="6" t="s">
        <v>49</v>
      </c>
      <c r="G873" s="8">
        <v>2</v>
      </c>
      <c r="H873" s="6" t="s">
        <v>85</v>
      </c>
      <c r="I873" s="7" t="s">
        <v>36</v>
      </c>
      <c r="J873" s="7" t="s">
        <v>50</v>
      </c>
      <c r="K873" s="6" t="s">
        <v>51</v>
      </c>
      <c r="L873" s="6" t="s">
        <v>39</v>
      </c>
      <c r="M873" s="7" t="s">
        <v>40</v>
      </c>
      <c r="N873" s="6" t="s">
        <v>89</v>
      </c>
      <c r="O873" s="14">
        <v>42229</v>
      </c>
      <c r="P873" s="6" t="s">
        <v>44</v>
      </c>
      <c r="Q873" s="7" t="s">
        <v>44</v>
      </c>
      <c r="R873" s="6" t="s">
        <v>44</v>
      </c>
      <c r="S873" s="6" t="s">
        <v>56</v>
      </c>
      <c r="T873" s="9">
        <v>38400</v>
      </c>
      <c r="U873" s="9">
        <v>0</v>
      </c>
      <c r="V873" s="8">
        <v>38</v>
      </c>
      <c r="W873" s="8">
        <v>30</v>
      </c>
      <c r="X873" s="6" t="s">
        <v>44</v>
      </c>
      <c r="Y873" s="8">
        <v>0</v>
      </c>
      <c r="Z873" s="8">
        <v>11</v>
      </c>
      <c r="AA873" s="8">
        <v>0</v>
      </c>
      <c r="AB873" s="8">
        <v>0</v>
      </c>
      <c r="AC873" s="8">
        <v>3</v>
      </c>
      <c r="AD873" s="8">
        <v>17</v>
      </c>
      <c r="AE873" s="7" t="s">
        <v>58</v>
      </c>
      <c r="AG873">
        <f t="shared" ca="1" si="39"/>
        <v>10</v>
      </c>
      <c r="AH873" s="23" t="str" cm="1">
        <f t="array" ref="AH873">_xlfn.IFS(E873&gt;49,"50+",E873&gt;39,"40-49",E873&gt;29,"30-39",E873&gt;19,"20-29")</f>
        <v>20-29</v>
      </c>
      <c r="AI873" s="24" t="str" cm="1">
        <f t="array" aca="1" ref="AI873" ca="1">_xlfn.IFS(AG873&gt;10,"10+",AG873&gt;4,"5-10 YIL",AG873&gt;2,"3-5 YIL",AG873&gt;0.9,"1-3 YIL",AG873&lt;1,"0-1 YIL")</f>
        <v>5-10 YIL</v>
      </c>
      <c r="AJ873">
        <f t="shared" si="40"/>
        <v>2015</v>
      </c>
      <c r="AK873" t="e">
        <f t="shared" si="41"/>
        <v>#VALUE!</v>
      </c>
    </row>
    <row r="874" spans="1:37" x14ac:dyDescent="0.3">
      <c r="A874" s="2" t="s">
        <v>1345</v>
      </c>
      <c r="B874" s="3" t="s">
        <v>616</v>
      </c>
      <c r="C874" s="2" t="s">
        <v>48</v>
      </c>
      <c r="D874" s="13">
        <v>34102</v>
      </c>
      <c r="E874" s="4">
        <v>33</v>
      </c>
      <c r="F874" s="2" t="s">
        <v>49</v>
      </c>
      <c r="G874" s="4">
        <v>3</v>
      </c>
      <c r="H874" s="2" t="s">
        <v>88</v>
      </c>
      <c r="I874" s="3" t="s">
        <v>148</v>
      </c>
      <c r="J874" s="3" t="s">
        <v>149</v>
      </c>
      <c r="K874" s="2" t="s">
        <v>51</v>
      </c>
      <c r="L874" s="2" t="s">
        <v>63</v>
      </c>
      <c r="M874" s="3" t="s">
        <v>150</v>
      </c>
      <c r="N874" s="2" t="s">
        <v>41</v>
      </c>
      <c r="O874" s="13">
        <v>43078</v>
      </c>
      <c r="P874" s="2" t="s">
        <v>44</v>
      </c>
      <c r="Q874" s="3" t="s">
        <v>44</v>
      </c>
      <c r="R874" s="2" t="s">
        <v>44</v>
      </c>
      <c r="S874" s="2" t="s">
        <v>56</v>
      </c>
      <c r="T874" s="5">
        <v>56400</v>
      </c>
      <c r="U874" s="5">
        <v>6400</v>
      </c>
      <c r="V874" s="4">
        <v>3</v>
      </c>
      <c r="W874" s="4">
        <v>30</v>
      </c>
      <c r="X874" s="2" t="s">
        <v>44</v>
      </c>
      <c r="Y874" s="4">
        <v>0</v>
      </c>
      <c r="Z874" s="4">
        <v>3</v>
      </c>
      <c r="AA874" s="4">
        <v>0</v>
      </c>
      <c r="AB874" s="4">
        <v>0</v>
      </c>
      <c r="AC874" s="4">
        <v>3</v>
      </c>
      <c r="AD874" s="4">
        <v>18</v>
      </c>
      <c r="AE874" s="3" t="s">
        <v>58</v>
      </c>
      <c r="AG874">
        <f t="shared" ca="1" si="39"/>
        <v>8</v>
      </c>
      <c r="AH874" s="23" t="str" cm="1">
        <f t="array" ref="AH874">_xlfn.IFS(E874&gt;49,"50+",E874&gt;39,"40-49",E874&gt;29,"30-39",E874&gt;19,"20-29")</f>
        <v>30-39</v>
      </c>
      <c r="AI874" s="24" t="str" cm="1">
        <f t="array" aca="1" ref="AI874" ca="1">_xlfn.IFS(AG874&gt;10,"10+",AG874&gt;4,"5-10 YIL",AG874&gt;2,"3-5 YIL",AG874&gt;0.9,"1-3 YIL",AG874&lt;1,"0-1 YIL")</f>
        <v>5-10 YIL</v>
      </c>
      <c r="AJ874">
        <f t="shared" si="40"/>
        <v>2017</v>
      </c>
      <c r="AK874" t="e">
        <f t="shared" si="41"/>
        <v>#VALUE!</v>
      </c>
    </row>
    <row r="875" spans="1:37" x14ac:dyDescent="0.3">
      <c r="A875" s="6" t="s">
        <v>1346</v>
      </c>
      <c r="B875" s="7" t="s">
        <v>649</v>
      </c>
      <c r="C875" s="6" t="s">
        <v>48</v>
      </c>
      <c r="D875" s="14">
        <v>32096</v>
      </c>
      <c r="E875" s="8">
        <v>39</v>
      </c>
      <c r="F875" s="6" t="s">
        <v>49</v>
      </c>
      <c r="G875" s="8">
        <v>2</v>
      </c>
      <c r="H875" s="6" t="s">
        <v>35</v>
      </c>
      <c r="I875" s="7" t="s">
        <v>139</v>
      </c>
      <c r="J875" s="7" t="s">
        <v>161</v>
      </c>
      <c r="K875" s="6" t="s">
        <v>51</v>
      </c>
      <c r="L875" s="6" t="s">
        <v>63</v>
      </c>
      <c r="M875" s="7" t="s">
        <v>162</v>
      </c>
      <c r="N875" s="6" t="s">
        <v>95</v>
      </c>
      <c r="O875" s="14">
        <v>43251</v>
      </c>
      <c r="P875" s="14">
        <v>45291</v>
      </c>
      <c r="Q875" s="7" t="s">
        <v>53</v>
      </c>
      <c r="R875" s="6">
        <v>4</v>
      </c>
      <c r="S875" s="6" t="s">
        <v>43</v>
      </c>
      <c r="T875" s="9">
        <v>72200</v>
      </c>
      <c r="U875" s="9">
        <v>0</v>
      </c>
      <c r="V875" s="8">
        <v>6</v>
      </c>
      <c r="W875" s="8">
        <v>30</v>
      </c>
      <c r="X875" s="6" t="s">
        <v>44</v>
      </c>
      <c r="Y875" s="8">
        <v>0</v>
      </c>
      <c r="Z875" s="8">
        <v>9</v>
      </c>
      <c r="AA875" s="8">
        <v>0</v>
      </c>
      <c r="AB875" s="8">
        <v>0</v>
      </c>
      <c r="AC875" s="8">
        <v>3</v>
      </c>
      <c r="AD875" s="8">
        <v>16</v>
      </c>
      <c r="AE875" s="7" t="s">
        <v>58</v>
      </c>
      <c r="AG875">
        <f t="shared" ca="1" si="39"/>
        <v>8</v>
      </c>
      <c r="AH875" s="23" t="str" cm="1">
        <f t="array" ref="AH875">_xlfn.IFS(E875&gt;49,"50+",E875&gt;39,"40-49",E875&gt;29,"30-39",E875&gt;19,"20-29")</f>
        <v>30-39</v>
      </c>
      <c r="AI875" s="24" t="str" cm="1">
        <f t="array" aca="1" ref="AI875" ca="1">_xlfn.IFS(AG875&gt;10,"10+",AG875&gt;4,"5-10 YIL",AG875&gt;2,"3-5 YIL",AG875&gt;0.9,"1-3 YIL",AG875&lt;1,"0-1 YIL")</f>
        <v>5-10 YIL</v>
      </c>
      <c r="AJ875">
        <f t="shared" si="40"/>
        <v>2018</v>
      </c>
      <c r="AK875">
        <f t="shared" si="41"/>
        <v>2023</v>
      </c>
    </row>
    <row r="876" spans="1:37" x14ac:dyDescent="0.3">
      <c r="A876" s="2" t="s">
        <v>1347</v>
      </c>
      <c r="B876" s="3" t="s">
        <v>423</v>
      </c>
      <c r="C876" s="2" t="s">
        <v>48</v>
      </c>
      <c r="D876" s="13">
        <v>34298</v>
      </c>
      <c r="E876" s="4">
        <v>33</v>
      </c>
      <c r="F876" s="2" t="s">
        <v>34</v>
      </c>
      <c r="G876" s="4">
        <v>0</v>
      </c>
      <c r="H876" s="2" t="s">
        <v>35</v>
      </c>
      <c r="I876" s="3" t="s">
        <v>70</v>
      </c>
      <c r="J876" s="3" t="s">
        <v>71</v>
      </c>
      <c r="K876" s="2" t="s">
        <v>51</v>
      </c>
      <c r="L876" s="2" t="s">
        <v>63</v>
      </c>
      <c r="M876" s="3" t="s">
        <v>72</v>
      </c>
      <c r="N876" s="2" t="s">
        <v>41</v>
      </c>
      <c r="O876" s="13">
        <v>43327</v>
      </c>
      <c r="P876" s="2" t="s">
        <v>44</v>
      </c>
      <c r="Q876" s="3" t="s">
        <v>44</v>
      </c>
      <c r="R876" s="2" t="s">
        <v>44</v>
      </c>
      <c r="S876" s="2" t="s">
        <v>56</v>
      </c>
      <c r="T876" s="5">
        <v>59300</v>
      </c>
      <c r="U876" s="5">
        <v>0</v>
      </c>
      <c r="V876" s="4">
        <v>8</v>
      </c>
      <c r="W876" s="4">
        <v>30</v>
      </c>
      <c r="X876" s="2" t="s">
        <v>44</v>
      </c>
      <c r="Y876" s="4">
        <v>0</v>
      </c>
      <c r="Z876" s="4">
        <v>1</v>
      </c>
      <c r="AA876" s="4">
        <v>0</v>
      </c>
      <c r="AB876" s="4">
        <v>0</v>
      </c>
      <c r="AC876" s="4">
        <v>3</v>
      </c>
      <c r="AD876" s="4">
        <v>10</v>
      </c>
      <c r="AE876" s="3" t="s">
        <v>45</v>
      </c>
      <c r="AG876">
        <f t="shared" ca="1" si="39"/>
        <v>7</v>
      </c>
      <c r="AH876" s="23" t="str" cm="1">
        <f t="array" ref="AH876">_xlfn.IFS(E876&gt;49,"50+",E876&gt;39,"40-49",E876&gt;29,"30-39",E876&gt;19,"20-29")</f>
        <v>30-39</v>
      </c>
      <c r="AI876" s="24" t="str" cm="1">
        <f t="array" aca="1" ref="AI876" ca="1">_xlfn.IFS(AG876&gt;10,"10+",AG876&gt;4,"5-10 YIL",AG876&gt;2,"3-5 YIL",AG876&gt;0.9,"1-3 YIL",AG876&lt;1,"0-1 YIL")</f>
        <v>5-10 YIL</v>
      </c>
      <c r="AJ876">
        <f t="shared" si="40"/>
        <v>2018</v>
      </c>
      <c r="AK876" t="e">
        <f t="shared" si="41"/>
        <v>#VALUE!</v>
      </c>
    </row>
    <row r="877" spans="1:37" x14ac:dyDescent="0.3">
      <c r="A877" s="6" t="s">
        <v>1348</v>
      </c>
      <c r="B877" s="7" t="s">
        <v>321</v>
      </c>
      <c r="C877" s="6" t="s">
        <v>33</v>
      </c>
      <c r="D877" s="14">
        <v>36857</v>
      </c>
      <c r="E877" s="8">
        <v>26</v>
      </c>
      <c r="F877" s="6" t="s">
        <v>49</v>
      </c>
      <c r="G877" s="8">
        <v>1</v>
      </c>
      <c r="H877" s="6" t="s">
        <v>88</v>
      </c>
      <c r="I877" s="7" t="s">
        <v>36</v>
      </c>
      <c r="J877" s="7" t="s">
        <v>37</v>
      </c>
      <c r="K877" s="6" t="s">
        <v>38</v>
      </c>
      <c r="L877" s="6" t="s">
        <v>39</v>
      </c>
      <c r="M877" s="7" t="s">
        <v>40</v>
      </c>
      <c r="N877" s="6" t="s">
        <v>67</v>
      </c>
      <c r="O877" s="14">
        <v>45002</v>
      </c>
      <c r="P877" s="6" t="s">
        <v>44</v>
      </c>
      <c r="Q877" s="7" t="s">
        <v>44</v>
      </c>
      <c r="R877" s="6" t="s">
        <v>44</v>
      </c>
      <c r="S877" s="6" t="s">
        <v>56</v>
      </c>
      <c r="T877" s="9">
        <v>27600</v>
      </c>
      <c r="U877" s="9">
        <v>0</v>
      </c>
      <c r="V877" s="8">
        <v>37</v>
      </c>
      <c r="W877" s="8">
        <v>29</v>
      </c>
      <c r="X877" s="6" t="s">
        <v>112</v>
      </c>
      <c r="Y877" s="8">
        <v>0</v>
      </c>
      <c r="Z877" s="8">
        <v>5</v>
      </c>
      <c r="AA877" s="8">
        <v>0</v>
      </c>
      <c r="AB877" s="8">
        <v>1</v>
      </c>
      <c r="AC877" s="8">
        <v>1</v>
      </c>
      <c r="AD877" s="8">
        <v>2</v>
      </c>
      <c r="AE877" s="7" t="s">
        <v>45</v>
      </c>
      <c r="AG877">
        <f t="shared" ca="1" si="39"/>
        <v>3</v>
      </c>
      <c r="AH877" s="23" t="str" cm="1">
        <f t="array" ref="AH877">_xlfn.IFS(E877&gt;49,"50+",E877&gt;39,"40-49",E877&gt;29,"30-39",E877&gt;19,"20-29")</f>
        <v>20-29</v>
      </c>
      <c r="AI877" s="24" t="str" cm="1">
        <f t="array" aca="1" ref="AI877" ca="1">_xlfn.IFS(AG877&gt;10,"10+",AG877&gt;4,"5-10 YIL",AG877&gt;2,"3-5 YIL",AG877&gt;0.9,"1-3 YIL",AG877&lt;1,"0-1 YIL")</f>
        <v>3-5 YIL</v>
      </c>
      <c r="AJ877">
        <f t="shared" si="40"/>
        <v>2023</v>
      </c>
      <c r="AK877" t="e">
        <f t="shared" si="41"/>
        <v>#VALUE!</v>
      </c>
    </row>
    <row r="878" spans="1:37" x14ac:dyDescent="0.3">
      <c r="A878" s="2" t="s">
        <v>1349</v>
      </c>
      <c r="B878" s="3" t="s">
        <v>828</v>
      </c>
      <c r="C878" s="2" t="s">
        <v>48</v>
      </c>
      <c r="D878" s="13">
        <v>36557</v>
      </c>
      <c r="E878" s="4">
        <v>26</v>
      </c>
      <c r="F878" s="2" t="s">
        <v>34</v>
      </c>
      <c r="G878" s="4">
        <v>0</v>
      </c>
      <c r="H878" s="2" t="s">
        <v>35</v>
      </c>
      <c r="I878" s="3" t="s">
        <v>36</v>
      </c>
      <c r="J878" s="3" t="s">
        <v>37</v>
      </c>
      <c r="K878" s="2" t="s">
        <v>38</v>
      </c>
      <c r="L878" s="2" t="s">
        <v>39</v>
      </c>
      <c r="M878" s="3" t="s">
        <v>40</v>
      </c>
      <c r="N878" s="2" t="s">
        <v>52</v>
      </c>
      <c r="O878" s="13">
        <v>45759</v>
      </c>
      <c r="P878" s="2" t="s">
        <v>44</v>
      </c>
      <c r="Q878" s="3" t="s">
        <v>44</v>
      </c>
      <c r="R878" s="2" t="s">
        <v>44</v>
      </c>
      <c r="S878" s="2" t="s">
        <v>56</v>
      </c>
      <c r="T878" s="5">
        <v>24200</v>
      </c>
      <c r="U878" s="5">
        <v>0</v>
      </c>
      <c r="V878" s="4">
        <v>21</v>
      </c>
      <c r="W878" s="4">
        <v>29</v>
      </c>
      <c r="X878" s="2" t="s">
        <v>112</v>
      </c>
      <c r="Y878" s="4">
        <v>0</v>
      </c>
      <c r="Z878" s="4">
        <v>8</v>
      </c>
      <c r="AA878" s="4">
        <v>0</v>
      </c>
      <c r="AB878" s="4">
        <v>1</v>
      </c>
      <c r="AC878" s="4">
        <v>3</v>
      </c>
      <c r="AD878" s="4">
        <v>12</v>
      </c>
      <c r="AE878" s="3" t="s">
        <v>58</v>
      </c>
      <c r="AG878">
        <f t="shared" ca="1" si="39"/>
        <v>1</v>
      </c>
      <c r="AH878" s="23" t="str" cm="1">
        <f t="array" ref="AH878">_xlfn.IFS(E878&gt;49,"50+",E878&gt;39,"40-49",E878&gt;29,"30-39",E878&gt;19,"20-29")</f>
        <v>20-29</v>
      </c>
      <c r="AI878" s="24" t="str" cm="1">
        <f t="array" aca="1" ref="AI878" ca="1">_xlfn.IFS(AG878&gt;10,"10+",AG878&gt;4,"5-10 YIL",AG878&gt;2,"3-5 YIL",AG878&gt;0.9,"1-3 YIL",AG878&lt;1,"0-1 YIL")</f>
        <v>1-3 YIL</v>
      </c>
      <c r="AJ878">
        <f t="shared" si="40"/>
        <v>2025</v>
      </c>
      <c r="AK878" t="e">
        <f t="shared" si="41"/>
        <v>#VALUE!</v>
      </c>
    </row>
    <row r="879" spans="1:37" x14ac:dyDescent="0.3">
      <c r="A879" s="6" t="s">
        <v>1350</v>
      </c>
      <c r="B879" s="7" t="s">
        <v>637</v>
      </c>
      <c r="C879" s="6" t="s">
        <v>48</v>
      </c>
      <c r="D879" s="14">
        <v>38113</v>
      </c>
      <c r="E879" s="8">
        <v>22</v>
      </c>
      <c r="F879" s="6" t="s">
        <v>49</v>
      </c>
      <c r="G879" s="8">
        <v>1</v>
      </c>
      <c r="H879" s="6" t="s">
        <v>35</v>
      </c>
      <c r="I879" s="7" t="s">
        <v>36</v>
      </c>
      <c r="J879" s="7" t="s">
        <v>37</v>
      </c>
      <c r="K879" s="6" t="s">
        <v>38</v>
      </c>
      <c r="L879" s="6" t="s">
        <v>39</v>
      </c>
      <c r="M879" s="7" t="s">
        <v>40</v>
      </c>
      <c r="N879" s="6" t="s">
        <v>41</v>
      </c>
      <c r="O879" s="14">
        <v>45207</v>
      </c>
      <c r="P879" s="6" t="s">
        <v>44</v>
      </c>
      <c r="Q879" s="7" t="s">
        <v>44</v>
      </c>
      <c r="R879" s="6" t="s">
        <v>44</v>
      </c>
      <c r="S879" s="6" t="s">
        <v>56</v>
      </c>
      <c r="T879" s="9">
        <v>27000</v>
      </c>
      <c r="U879" s="9">
        <v>0</v>
      </c>
      <c r="V879" s="8">
        <v>29</v>
      </c>
      <c r="W879" s="8">
        <v>27</v>
      </c>
      <c r="X879" s="6" t="s">
        <v>57</v>
      </c>
      <c r="Y879" s="8">
        <v>3</v>
      </c>
      <c r="Z879" s="8">
        <v>1</v>
      </c>
      <c r="AA879" s="8">
        <v>0</v>
      </c>
      <c r="AB879" s="8">
        <v>0</v>
      </c>
      <c r="AC879" s="8">
        <v>3</v>
      </c>
      <c r="AD879" s="8">
        <v>6</v>
      </c>
      <c r="AE879" s="7" t="s">
        <v>82</v>
      </c>
      <c r="AG879">
        <f t="shared" ca="1" si="39"/>
        <v>2</v>
      </c>
      <c r="AH879" s="23" t="str" cm="1">
        <f t="array" ref="AH879">_xlfn.IFS(E879&gt;49,"50+",E879&gt;39,"40-49",E879&gt;29,"30-39",E879&gt;19,"20-29")</f>
        <v>20-29</v>
      </c>
      <c r="AI879" s="24" t="str" cm="1">
        <f t="array" aca="1" ref="AI879" ca="1">_xlfn.IFS(AG879&gt;10,"10+",AG879&gt;4,"5-10 YIL",AG879&gt;2,"3-5 YIL",AG879&gt;0.9,"1-3 YIL",AG879&lt;1,"0-1 YIL")</f>
        <v>1-3 YIL</v>
      </c>
      <c r="AJ879">
        <f t="shared" si="40"/>
        <v>2023</v>
      </c>
      <c r="AK879" t="e">
        <f t="shared" si="41"/>
        <v>#VALUE!</v>
      </c>
    </row>
    <row r="880" spans="1:37" x14ac:dyDescent="0.3">
      <c r="A880" s="2" t="s">
        <v>1351</v>
      </c>
      <c r="B880" s="3" t="s">
        <v>1352</v>
      </c>
      <c r="C880" s="2" t="s">
        <v>33</v>
      </c>
      <c r="D880" s="13">
        <v>36832</v>
      </c>
      <c r="E880" s="4">
        <v>26</v>
      </c>
      <c r="F880" s="2" t="s">
        <v>49</v>
      </c>
      <c r="G880" s="4">
        <v>1</v>
      </c>
      <c r="H880" s="2" t="s">
        <v>88</v>
      </c>
      <c r="I880" s="3" t="s">
        <v>70</v>
      </c>
      <c r="J880" s="3" t="s">
        <v>92</v>
      </c>
      <c r="K880" s="2" t="s">
        <v>38</v>
      </c>
      <c r="L880" s="2" t="s">
        <v>63</v>
      </c>
      <c r="M880" s="3" t="s">
        <v>72</v>
      </c>
      <c r="N880" s="2" t="s">
        <v>95</v>
      </c>
      <c r="O880" s="13">
        <v>45515</v>
      </c>
      <c r="P880" s="2" t="s">
        <v>44</v>
      </c>
      <c r="Q880" s="3" t="s">
        <v>44</v>
      </c>
      <c r="R880" s="2" t="s">
        <v>44</v>
      </c>
      <c r="S880" s="2" t="s">
        <v>56</v>
      </c>
      <c r="T880" s="5">
        <v>36100</v>
      </c>
      <c r="U880" s="5">
        <v>0</v>
      </c>
      <c r="V880" s="4">
        <v>3</v>
      </c>
      <c r="W880" s="4">
        <v>30</v>
      </c>
      <c r="X880" s="2" t="s">
        <v>44</v>
      </c>
      <c r="Y880" s="4">
        <v>0</v>
      </c>
      <c r="Z880" s="4">
        <v>8</v>
      </c>
      <c r="AA880" s="4">
        <v>0</v>
      </c>
      <c r="AB880" s="4">
        <v>0</v>
      </c>
      <c r="AC880" s="4">
        <v>3</v>
      </c>
      <c r="AD880" s="4">
        <v>9</v>
      </c>
      <c r="AE880" s="3" t="s">
        <v>82</v>
      </c>
      <c r="AG880">
        <f t="shared" ca="1" si="39"/>
        <v>1</v>
      </c>
      <c r="AH880" s="23" t="str" cm="1">
        <f t="array" ref="AH880">_xlfn.IFS(E880&gt;49,"50+",E880&gt;39,"40-49",E880&gt;29,"30-39",E880&gt;19,"20-29")</f>
        <v>20-29</v>
      </c>
      <c r="AI880" s="24" t="str" cm="1">
        <f t="array" aca="1" ref="AI880" ca="1">_xlfn.IFS(AG880&gt;10,"10+",AG880&gt;4,"5-10 YIL",AG880&gt;2,"3-5 YIL",AG880&gt;0.9,"1-3 YIL",AG880&lt;1,"0-1 YIL")</f>
        <v>1-3 YIL</v>
      </c>
      <c r="AJ880">
        <f t="shared" si="40"/>
        <v>2024</v>
      </c>
      <c r="AK880" t="e">
        <f t="shared" si="41"/>
        <v>#VALUE!</v>
      </c>
    </row>
    <row r="881" spans="1:37" x14ac:dyDescent="0.3">
      <c r="A881" s="6" t="s">
        <v>1353</v>
      </c>
      <c r="B881" s="7" t="s">
        <v>668</v>
      </c>
      <c r="C881" s="6" t="s">
        <v>48</v>
      </c>
      <c r="D881" s="14">
        <v>37417</v>
      </c>
      <c r="E881" s="8">
        <v>24</v>
      </c>
      <c r="F881" s="6" t="s">
        <v>34</v>
      </c>
      <c r="G881" s="8">
        <v>0</v>
      </c>
      <c r="H881" s="6" t="s">
        <v>88</v>
      </c>
      <c r="I881" s="7" t="s">
        <v>61</v>
      </c>
      <c r="J881" s="7" t="s">
        <v>62</v>
      </c>
      <c r="K881" s="6" t="s">
        <v>38</v>
      </c>
      <c r="L881" s="6" t="s">
        <v>63</v>
      </c>
      <c r="M881" s="7" t="s">
        <v>64</v>
      </c>
      <c r="N881" s="6" t="s">
        <v>95</v>
      </c>
      <c r="O881" s="14">
        <v>45335</v>
      </c>
      <c r="P881" s="6" t="s">
        <v>44</v>
      </c>
      <c r="Q881" s="7" t="s">
        <v>44</v>
      </c>
      <c r="R881" s="6" t="s">
        <v>44</v>
      </c>
      <c r="S881" s="6" t="s">
        <v>56</v>
      </c>
      <c r="T881" s="9">
        <v>33800</v>
      </c>
      <c r="U881" s="9">
        <v>10900</v>
      </c>
      <c r="V881" s="8">
        <v>3</v>
      </c>
      <c r="W881" s="8">
        <v>30</v>
      </c>
      <c r="X881" s="6" t="s">
        <v>44</v>
      </c>
      <c r="Y881" s="8">
        <v>0</v>
      </c>
      <c r="Z881" s="8">
        <v>0</v>
      </c>
      <c r="AA881" s="8">
        <v>0</v>
      </c>
      <c r="AB881" s="8">
        <v>0</v>
      </c>
      <c r="AC881" s="8">
        <v>3</v>
      </c>
      <c r="AD881" s="8">
        <v>19</v>
      </c>
      <c r="AE881" s="7" t="s">
        <v>45</v>
      </c>
      <c r="AG881">
        <f t="shared" ca="1" si="39"/>
        <v>2</v>
      </c>
      <c r="AH881" s="23" t="str" cm="1">
        <f t="array" ref="AH881">_xlfn.IFS(E881&gt;49,"50+",E881&gt;39,"40-49",E881&gt;29,"30-39",E881&gt;19,"20-29")</f>
        <v>20-29</v>
      </c>
      <c r="AI881" s="24" t="str" cm="1">
        <f t="array" aca="1" ref="AI881" ca="1">_xlfn.IFS(AG881&gt;10,"10+",AG881&gt;4,"5-10 YIL",AG881&gt;2,"3-5 YIL",AG881&gt;0.9,"1-3 YIL",AG881&lt;1,"0-1 YIL")</f>
        <v>1-3 YIL</v>
      </c>
      <c r="AJ881">
        <f t="shared" si="40"/>
        <v>2024</v>
      </c>
      <c r="AK881" t="e">
        <f t="shared" si="41"/>
        <v>#VALUE!</v>
      </c>
    </row>
    <row r="882" spans="1:37" x14ac:dyDescent="0.3">
      <c r="A882" s="2" t="s">
        <v>1354</v>
      </c>
      <c r="B882" s="3" t="s">
        <v>172</v>
      </c>
      <c r="C882" s="2" t="s">
        <v>48</v>
      </c>
      <c r="D882" s="13">
        <v>36915</v>
      </c>
      <c r="E882" s="4">
        <v>25</v>
      </c>
      <c r="F882" s="2" t="s">
        <v>49</v>
      </c>
      <c r="G882" s="4">
        <v>3</v>
      </c>
      <c r="H882" s="2" t="s">
        <v>35</v>
      </c>
      <c r="I882" s="3" t="s">
        <v>36</v>
      </c>
      <c r="J882" s="3" t="s">
        <v>37</v>
      </c>
      <c r="K882" s="2" t="s">
        <v>38</v>
      </c>
      <c r="L882" s="2" t="s">
        <v>39</v>
      </c>
      <c r="M882" s="3" t="s">
        <v>40</v>
      </c>
      <c r="N882" s="2" t="s">
        <v>41</v>
      </c>
      <c r="O882" s="13">
        <v>46115</v>
      </c>
      <c r="P882" s="13">
        <v>46146</v>
      </c>
      <c r="Q882" s="3" t="s">
        <v>53</v>
      </c>
      <c r="R882" s="2">
        <v>4</v>
      </c>
      <c r="S882" s="2" t="s">
        <v>43</v>
      </c>
      <c r="T882" s="5">
        <v>27100</v>
      </c>
      <c r="U882" s="5">
        <v>0</v>
      </c>
      <c r="V882" s="4">
        <v>21</v>
      </c>
      <c r="W882" s="4">
        <v>30</v>
      </c>
      <c r="X882" s="2" t="s">
        <v>44</v>
      </c>
      <c r="Y882" s="4">
        <v>0</v>
      </c>
      <c r="Z882" s="4">
        <v>0</v>
      </c>
      <c r="AA882" s="4">
        <v>0</v>
      </c>
      <c r="AB882" s="4">
        <v>0</v>
      </c>
      <c r="AC882" s="4">
        <v>5</v>
      </c>
      <c r="AD882" s="4">
        <v>22</v>
      </c>
      <c r="AE882" s="3" t="s">
        <v>82</v>
      </c>
      <c r="AG882">
        <f t="shared" ca="1" si="39"/>
        <v>0</v>
      </c>
      <c r="AH882" s="23" t="str" cm="1">
        <f t="array" ref="AH882">_xlfn.IFS(E882&gt;49,"50+",E882&gt;39,"40-49",E882&gt;29,"30-39",E882&gt;19,"20-29")</f>
        <v>20-29</v>
      </c>
      <c r="AI882" s="24" t="str" cm="1">
        <f t="array" aca="1" ref="AI882" ca="1">_xlfn.IFS(AG882&gt;10,"10+",AG882&gt;4,"5-10 YIL",AG882&gt;2,"3-5 YIL",AG882&gt;0.9,"1-3 YIL",AG882&lt;1,"0-1 YIL")</f>
        <v>0-1 YIL</v>
      </c>
      <c r="AJ882">
        <f t="shared" si="40"/>
        <v>2026</v>
      </c>
      <c r="AK882">
        <f t="shared" si="41"/>
        <v>2026</v>
      </c>
    </row>
    <row r="883" spans="1:37" x14ac:dyDescent="0.3">
      <c r="A883" s="6" t="s">
        <v>1355</v>
      </c>
      <c r="B883" s="7" t="s">
        <v>477</v>
      </c>
      <c r="C883" s="6" t="s">
        <v>33</v>
      </c>
      <c r="D883" s="14">
        <v>33189</v>
      </c>
      <c r="E883" s="8">
        <v>36</v>
      </c>
      <c r="F883" s="6" t="s">
        <v>49</v>
      </c>
      <c r="G883" s="8">
        <v>1</v>
      </c>
      <c r="H883" s="6" t="s">
        <v>35</v>
      </c>
      <c r="I883" s="7" t="s">
        <v>61</v>
      </c>
      <c r="J883" s="7" t="s">
        <v>107</v>
      </c>
      <c r="K883" s="6" t="s">
        <v>51</v>
      </c>
      <c r="L883" s="6" t="s">
        <v>63</v>
      </c>
      <c r="M883" s="7" t="s">
        <v>64</v>
      </c>
      <c r="N883" s="6" t="s">
        <v>95</v>
      </c>
      <c r="O883" s="14">
        <v>41802</v>
      </c>
      <c r="P883" s="6" t="s">
        <v>44</v>
      </c>
      <c r="Q883" s="7" t="s">
        <v>44</v>
      </c>
      <c r="R883" s="6" t="s">
        <v>44</v>
      </c>
      <c r="S883" s="6" t="s">
        <v>56</v>
      </c>
      <c r="T883" s="9">
        <v>55100</v>
      </c>
      <c r="U883" s="9">
        <v>6300</v>
      </c>
      <c r="V883" s="8">
        <v>1</v>
      </c>
      <c r="W883" s="8">
        <v>30</v>
      </c>
      <c r="X883" s="6" t="s">
        <v>44</v>
      </c>
      <c r="Y883" s="8">
        <v>0</v>
      </c>
      <c r="Z883" s="8">
        <v>2</v>
      </c>
      <c r="AA883" s="8">
        <v>0</v>
      </c>
      <c r="AB883" s="8">
        <v>0</v>
      </c>
      <c r="AC883" s="8">
        <v>4</v>
      </c>
      <c r="AD883" s="8">
        <v>24</v>
      </c>
      <c r="AE883" s="7" t="s">
        <v>45</v>
      </c>
      <c r="AG883">
        <f t="shared" ca="1" si="39"/>
        <v>12</v>
      </c>
      <c r="AH883" s="23" t="str" cm="1">
        <f t="array" ref="AH883">_xlfn.IFS(E883&gt;49,"50+",E883&gt;39,"40-49",E883&gt;29,"30-39",E883&gt;19,"20-29")</f>
        <v>30-39</v>
      </c>
      <c r="AI883" s="24" t="str" cm="1">
        <f t="array" aca="1" ref="AI883" ca="1">_xlfn.IFS(AG883&gt;10,"10+",AG883&gt;4,"5-10 YIL",AG883&gt;2,"3-5 YIL",AG883&gt;0.9,"1-3 YIL",AG883&lt;1,"0-1 YIL")</f>
        <v>10+</v>
      </c>
      <c r="AJ883">
        <f t="shared" si="40"/>
        <v>2014</v>
      </c>
      <c r="AK883" t="e">
        <f t="shared" si="41"/>
        <v>#VALUE!</v>
      </c>
    </row>
    <row r="884" spans="1:37" x14ac:dyDescent="0.3">
      <c r="A884" s="2" t="s">
        <v>1356</v>
      </c>
      <c r="B884" s="3" t="s">
        <v>1310</v>
      </c>
      <c r="C884" s="2" t="s">
        <v>33</v>
      </c>
      <c r="D884" s="13">
        <v>36429</v>
      </c>
      <c r="E884" s="4">
        <v>27</v>
      </c>
      <c r="F884" s="2" t="s">
        <v>34</v>
      </c>
      <c r="G884" s="4">
        <v>0</v>
      </c>
      <c r="H884" s="2" t="s">
        <v>35</v>
      </c>
      <c r="I884" s="3" t="s">
        <v>36</v>
      </c>
      <c r="J884" s="3" t="s">
        <v>37</v>
      </c>
      <c r="K884" s="2" t="s">
        <v>38</v>
      </c>
      <c r="L884" s="2" t="s">
        <v>39</v>
      </c>
      <c r="M884" s="3" t="s">
        <v>40</v>
      </c>
      <c r="N884" s="2" t="s">
        <v>41</v>
      </c>
      <c r="O884" s="13">
        <v>45366</v>
      </c>
      <c r="P884" s="2" t="s">
        <v>44</v>
      </c>
      <c r="Q884" s="3" t="s">
        <v>44</v>
      </c>
      <c r="R884" s="2" t="s">
        <v>44</v>
      </c>
      <c r="S884" s="2" t="s">
        <v>56</v>
      </c>
      <c r="T884" s="5">
        <v>27000</v>
      </c>
      <c r="U884" s="5">
        <v>0</v>
      </c>
      <c r="V884" s="4">
        <v>12</v>
      </c>
      <c r="W884" s="4">
        <v>20</v>
      </c>
      <c r="X884" s="2" t="s">
        <v>57</v>
      </c>
      <c r="Y884" s="4">
        <v>10</v>
      </c>
      <c r="Z884" s="4">
        <v>9</v>
      </c>
      <c r="AA884" s="4">
        <v>0</v>
      </c>
      <c r="AB884" s="4">
        <v>0</v>
      </c>
      <c r="AC884" s="4">
        <v>3</v>
      </c>
      <c r="AD884" s="4">
        <v>8</v>
      </c>
      <c r="AE884" s="3" t="s">
        <v>45</v>
      </c>
      <c r="AG884">
        <f t="shared" ca="1" si="39"/>
        <v>2</v>
      </c>
      <c r="AH884" s="23" t="str" cm="1">
        <f t="array" ref="AH884">_xlfn.IFS(E884&gt;49,"50+",E884&gt;39,"40-49",E884&gt;29,"30-39",E884&gt;19,"20-29")</f>
        <v>20-29</v>
      </c>
      <c r="AI884" s="24" t="str" cm="1">
        <f t="array" aca="1" ref="AI884" ca="1">_xlfn.IFS(AG884&gt;10,"10+",AG884&gt;4,"5-10 YIL",AG884&gt;2,"3-5 YIL",AG884&gt;0.9,"1-3 YIL",AG884&lt;1,"0-1 YIL")</f>
        <v>1-3 YIL</v>
      </c>
      <c r="AJ884">
        <f t="shared" si="40"/>
        <v>2024</v>
      </c>
      <c r="AK884" t="e">
        <f t="shared" si="41"/>
        <v>#VALUE!</v>
      </c>
    </row>
    <row r="885" spans="1:37" x14ac:dyDescent="0.3">
      <c r="A885" s="6" t="s">
        <v>1357</v>
      </c>
      <c r="B885" s="7" t="s">
        <v>923</v>
      </c>
      <c r="C885" s="6" t="s">
        <v>33</v>
      </c>
      <c r="D885" s="14">
        <v>29727</v>
      </c>
      <c r="E885" s="8">
        <v>45</v>
      </c>
      <c r="F885" s="6" t="s">
        <v>49</v>
      </c>
      <c r="G885" s="8">
        <v>1</v>
      </c>
      <c r="H885" s="6" t="s">
        <v>35</v>
      </c>
      <c r="I885" s="7" t="s">
        <v>139</v>
      </c>
      <c r="J885" s="7" t="s">
        <v>161</v>
      </c>
      <c r="K885" s="6" t="s">
        <v>51</v>
      </c>
      <c r="L885" s="6" t="s">
        <v>63</v>
      </c>
      <c r="M885" s="7" t="s">
        <v>162</v>
      </c>
      <c r="N885" s="6" t="s">
        <v>41</v>
      </c>
      <c r="O885" s="14">
        <v>44795</v>
      </c>
      <c r="P885" s="6" t="s">
        <v>44</v>
      </c>
      <c r="Q885" s="7" t="s">
        <v>44</v>
      </c>
      <c r="R885" s="6" t="s">
        <v>44</v>
      </c>
      <c r="S885" s="6" t="s">
        <v>56</v>
      </c>
      <c r="T885" s="9">
        <v>72500</v>
      </c>
      <c r="U885" s="9">
        <v>0</v>
      </c>
      <c r="V885" s="8">
        <v>3</v>
      </c>
      <c r="W885" s="8">
        <v>29</v>
      </c>
      <c r="X885" s="6" t="s">
        <v>57</v>
      </c>
      <c r="Y885" s="8">
        <v>1</v>
      </c>
      <c r="Z885" s="8">
        <v>7</v>
      </c>
      <c r="AA885" s="8">
        <v>0</v>
      </c>
      <c r="AB885" s="8">
        <v>0</v>
      </c>
      <c r="AC885" s="8">
        <v>4</v>
      </c>
      <c r="AD885" s="8">
        <v>14</v>
      </c>
      <c r="AE885" s="7" t="s">
        <v>45</v>
      </c>
      <c r="AG885">
        <f t="shared" ca="1" si="39"/>
        <v>3</v>
      </c>
      <c r="AH885" s="23" t="str" cm="1">
        <f t="array" ref="AH885">_xlfn.IFS(E885&gt;49,"50+",E885&gt;39,"40-49",E885&gt;29,"30-39",E885&gt;19,"20-29")</f>
        <v>40-49</v>
      </c>
      <c r="AI885" s="24" t="str" cm="1">
        <f t="array" aca="1" ref="AI885" ca="1">_xlfn.IFS(AG885&gt;10,"10+",AG885&gt;4,"5-10 YIL",AG885&gt;2,"3-5 YIL",AG885&gt;0.9,"1-3 YIL",AG885&lt;1,"0-1 YIL")</f>
        <v>3-5 YIL</v>
      </c>
      <c r="AJ885">
        <f t="shared" si="40"/>
        <v>2022</v>
      </c>
      <c r="AK885" t="e">
        <f t="shared" si="41"/>
        <v>#VALUE!</v>
      </c>
    </row>
    <row r="886" spans="1:37" x14ac:dyDescent="0.3">
      <c r="A886" s="2" t="s">
        <v>1358</v>
      </c>
      <c r="B886" s="3" t="s">
        <v>1352</v>
      </c>
      <c r="C886" s="2" t="s">
        <v>33</v>
      </c>
      <c r="D886" s="13">
        <v>33202</v>
      </c>
      <c r="E886" s="4">
        <v>36</v>
      </c>
      <c r="F886" s="2" t="s">
        <v>49</v>
      </c>
      <c r="G886" s="4">
        <v>1</v>
      </c>
      <c r="H886" s="2" t="s">
        <v>35</v>
      </c>
      <c r="I886" s="3" t="s">
        <v>139</v>
      </c>
      <c r="J886" s="3" t="s">
        <v>140</v>
      </c>
      <c r="K886" s="2" t="s">
        <v>79</v>
      </c>
      <c r="L886" s="2" t="s">
        <v>63</v>
      </c>
      <c r="M886" s="3" t="s">
        <v>80</v>
      </c>
      <c r="N886" s="2" t="s">
        <v>41</v>
      </c>
      <c r="O886" s="13">
        <v>43156</v>
      </c>
      <c r="P886" s="2" t="s">
        <v>44</v>
      </c>
      <c r="Q886" s="3" t="s">
        <v>44</v>
      </c>
      <c r="R886" s="2" t="s">
        <v>44</v>
      </c>
      <c r="S886" s="2" t="s">
        <v>56</v>
      </c>
      <c r="T886" s="5">
        <v>114300</v>
      </c>
      <c r="U886" s="5">
        <v>0</v>
      </c>
      <c r="V886" s="4">
        <v>5</v>
      </c>
      <c r="W886" s="4">
        <v>29</v>
      </c>
      <c r="X886" s="2" t="s">
        <v>57</v>
      </c>
      <c r="Y886" s="4">
        <v>1</v>
      </c>
      <c r="Z886" s="4">
        <v>12</v>
      </c>
      <c r="AA886" s="4">
        <v>0</v>
      </c>
      <c r="AB886" s="4">
        <v>0</v>
      </c>
      <c r="AC886" s="4">
        <v>3</v>
      </c>
      <c r="AD886" s="4">
        <v>13</v>
      </c>
      <c r="AE886" s="3" t="s">
        <v>45</v>
      </c>
      <c r="AG886">
        <f t="shared" ca="1" si="39"/>
        <v>8</v>
      </c>
      <c r="AH886" s="23" t="str" cm="1">
        <f t="array" ref="AH886">_xlfn.IFS(E886&gt;49,"50+",E886&gt;39,"40-49",E886&gt;29,"30-39",E886&gt;19,"20-29")</f>
        <v>30-39</v>
      </c>
      <c r="AI886" s="24" t="str" cm="1">
        <f t="array" aca="1" ref="AI886" ca="1">_xlfn.IFS(AG886&gt;10,"10+",AG886&gt;4,"5-10 YIL",AG886&gt;2,"3-5 YIL",AG886&gt;0.9,"1-3 YIL",AG886&lt;1,"0-1 YIL")</f>
        <v>5-10 YIL</v>
      </c>
      <c r="AJ886">
        <f t="shared" si="40"/>
        <v>2018</v>
      </c>
      <c r="AK886" t="e">
        <f t="shared" si="41"/>
        <v>#VALUE!</v>
      </c>
    </row>
    <row r="887" spans="1:37" x14ac:dyDescent="0.3">
      <c r="A887" s="6" t="s">
        <v>1359</v>
      </c>
      <c r="B887" s="7" t="s">
        <v>98</v>
      </c>
      <c r="C887" s="6" t="s">
        <v>33</v>
      </c>
      <c r="D887" s="14">
        <v>38032</v>
      </c>
      <c r="E887" s="8">
        <v>22</v>
      </c>
      <c r="F887" s="6" t="s">
        <v>49</v>
      </c>
      <c r="G887" s="8">
        <v>1</v>
      </c>
      <c r="H887" s="6" t="s">
        <v>88</v>
      </c>
      <c r="I887" s="7" t="s">
        <v>61</v>
      </c>
      <c r="J887" s="7" t="s">
        <v>62</v>
      </c>
      <c r="K887" s="6" t="s">
        <v>38</v>
      </c>
      <c r="L887" s="6" t="s">
        <v>63</v>
      </c>
      <c r="M887" s="7" t="s">
        <v>64</v>
      </c>
      <c r="N887" s="6" t="s">
        <v>52</v>
      </c>
      <c r="O887" s="14">
        <v>46071</v>
      </c>
      <c r="P887" s="14">
        <v>46101</v>
      </c>
      <c r="Q887" s="7" t="s">
        <v>53</v>
      </c>
      <c r="R887" s="6">
        <v>4</v>
      </c>
      <c r="S887" s="6" t="s">
        <v>43</v>
      </c>
      <c r="T887" s="9">
        <v>35400</v>
      </c>
      <c r="U887" s="9">
        <v>0</v>
      </c>
      <c r="V887" s="8">
        <v>5</v>
      </c>
      <c r="W887" s="8">
        <v>29</v>
      </c>
      <c r="X887" s="6" t="s">
        <v>57</v>
      </c>
      <c r="Y887" s="8">
        <v>1</v>
      </c>
      <c r="Z887" s="8">
        <v>0</v>
      </c>
      <c r="AA887" s="8">
        <v>0</v>
      </c>
      <c r="AB887" s="8">
        <v>0</v>
      </c>
      <c r="AC887" s="8">
        <v>3</v>
      </c>
      <c r="AD887" s="8">
        <v>16</v>
      </c>
      <c r="AE887" s="7" t="s">
        <v>45</v>
      </c>
      <c r="AG887">
        <f t="shared" ca="1" si="39"/>
        <v>0</v>
      </c>
      <c r="AH887" s="23" t="str" cm="1">
        <f t="array" ref="AH887">_xlfn.IFS(E887&gt;49,"50+",E887&gt;39,"40-49",E887&gt;29,"30-39",E887&gt;19,"20-29")</f>
        <v>20-29</v>
      </c>
      <c r="AI887" s="24" t="str" cm="1">
        <f t="array" aca="1" ref="AI887" ca="1">_xlfn.IFS(AG887&gt;10,"10+",AG887&gt;4,"5-10 YIL",AG887&gt;2,"3-5 YIL",AG887&gt;0.9,"1-3 YIL",AG887&lt;1,"0-1 YIL")</f>
        <v>0-1 YIL</v>
      </c>
      <c r="AJ887">
        <f t="shared" si="40"/>
        <v>2026</v>
      </c>
      <c r="AK887">
        <f t="shared" si="41"/>
        <v>2026</v>
      </c>
    </row>
    <row r="888" spans="1:37" x14ac:dyDescent="0.3">
      <c r="A888" s="2" t="s">
        <v>1360</v>
      </c>
      <c r="B888" s="3" t="s">
        <v>1361</v>
      </c>
      <c r="C888" s="2" t="s">
        <v>48</v>
      </c>
      <c r="D888" s="13">
        <v>32739</v>
      </c>
      <c r="E888" s="4">
        <v>37</v>
      </c>
      <c r="F888" s="2" t="s">
        <v>49</v>
      </c>
      <c r="G888" s="4">
        <v>0</v>
      </c>
      <c r="H888" s="2" t="s">
        <v>35</v>
      </c>
      <c r="I888" s="3" t="s">
        <v>139</v>
      </c>
      <c r="J888" s="3" t="s">
        <v>140</v>
      </c>
      <c r="K888" s="2" t="s">
        <v>79</v>
      </c>
      <c r="L888" s="2" t="s">
        <v>63</v>
      </c>
      <c r="M888" s="3" t="s">
        <v>80</v>
      </c>
      <c r="N888" s="2" t="s">
        <v>67</v>
      </c>
      <c r="O888" s="13">
        <v>42107</v>
      </c>
      <c r="P888" s="2" t="s">
        <v>44</v>
      </c>
      <c r="Q888" s="3" t="s">
        <v>44</v>
      </c>
      <c r="R888" s="2" t="s">
        <v>44</v>
      </c>
      <c r="S888" s="2" t="s">
        <v>56</v>
      </c>
      <c r="T888" s="5">
        <v>117100</v>
      </c>
      <c r="U888" s="5">
        <v>0</v>
      </c>
      <c r="V888" s="4">
        <v>7</v>
      </c>
      <c r="W888" s="4">
        <v>30</v>
      </c>
      <c r="X888" s="2" t="s">
        <v>44</v>
      </c>
      <c r="Y888" s="4">
        <v>0</v>
      </c>
      <c r="Z888" s="4">
        <v>4</v>
      </c>
      <c r="AA888" s="4">
        <v>0</v>
      </c>
      <c r="AB888" s="4">
        <v>0</v>
      </c>
      <c r="AC888" s="4">
        <v>3</v>
      </c>
      <c r="AD888" s="4">
        <v>5</v>
      </c>
      <c r="AE888" s="3" t="s">
        <v>45</v>
      </c>
      <c r="AG888">
        <f t="shared" ca="1" si="39"/>
        <v>11</v>
      </c>
      <c r="AH888" s="23" t="str" cm="1">
        <f t="array" ref="AH888">_xlfn.IFS(E888&gt;49,"50+",E888&gt;39,"40-49",E888&gt;29,"30-39",E888&gt;19,"20-29")</f>
        <v>30-39</v>
      </c>
      <c r="AI888" s="24" t="str" cm="1">
        <f t="array" aca="1" ref="AI888" ca="1">_xlfn.IFS(AG888&gt;10,"10+",AG888&gt;4,"5-10 YIL",AG888&gt;2,"3-5 YIL",AG888&gt;0.9,"1-3 YIL",AG888&lt;1,"0-1 YIL")</f>
        <v>10+</v>
      </c>
      <c r="AJ888">
        <f t="shared" si="40"/>
        <v>2015</v>
      </c>
      <c r="AK888" t="e">
        <f t="shared" si="41"/>
        <v>#VALUE!</v>
      </c>
    </row>
    <row r="889" spans="1:37" x14ac:dyDescent="0.3">
      <c r="A889" s="6" t="s">
        <v>1362</v>
      </c>
      <c r="B889" s="7" t="s">
        <v>118</v>
      </c>
      <c r="C889" s="6" t="s">
        <v>33</v>
      </c>
      <c r="D889" s="14">
        <v>38318</v>
      </c>
      <c r="E889" s="8">
        <v>22</v>
      </c>
      <c r="F889" s="6" t="s">
        <v>34</v>
      </c>
      <c r="G889" s="8">
        <v>0</v>
      </c>
      <c r="H889" s="6" t="s">
        <v>35</v>
      </c>
      <c r="I889" s="7" t="s">
        <v>61</v>
      </c>
      <c r="J889" s="7" t="s">
        <v>62</v>
      </c>
      <c r="K889" s="6" t="s">
        <v>38</v>
      </c>
      <c r="L889" s="6" t="s">
        <v>63</v>
      </c>
      <c r="M889" s="7" t="s">
        <v>64</v>
      </c>
      <c r="N889" s="6" t="s">
        <v>67</v>
      </c>
      <c r="O889" s="14">
        <v>45757</v>
      </c>
      <c r="P889" s="6" t="s">
        <v>44</v>
      </c>
      <c r="Q889" s="7" t="s">
        <v>44</v>
      </c>
      <c r="R889" s="6" t="s">
        <v>44</v>
      </c>
      <c r="S889" s="6" t="s">
        <v>56</v>
      </c>
      <c r="T889" s="9">
        <v>32900</v>
      </c>
      <c r="U889" s="9">
        <v>11400</v>
      </c>
      <c r="V889" s="8">
        <v>4</v>
      </c>
      <c r="W889" s="8">
        <v>29</v>
      </c>
      <c r="X889" s="6" t="s">
        <v>57</v>
      </c>
      <c r="Y889" s="8">
        <v>1</v>
      </c>
      <c r="Z889" s="8">
        <v>12</v>
      </c>
      <c r="AA889" s="8">
        <v>0</v>
      </c>
      <c r="AB889" s="8">
        <v>0</v>
      </c>
      <c r="AC889" s="8">
        <v>2</v>
      </c>
      <c r="AD889" s="8">
        <v>14</v>
      </c>
      <c r="AE889" s="7" t="s">
        <v>45</v>
      </c>
      <c r="AG889">
        <f t="shared" ca="1" si="39"/>
        <v>1</v>
      </c>
      <c r="AH889" s="23" t="str" cm="1">
        <f t="array" ref="AH889">_xlfn.IFS(E889&gt;49,"50+",E889&gt;39,"40-49",E889&gt;29,"30-39",E889&gt;19,"20-29")</f>
        <v>20-29</v>
      </c>
      <c r="AI889" s="24" t="str" cm="1">
        <f t="array" aca="1" ref="AI889" ca="1">_xlfn.IFS(AG889&gt;10,"10+",AG889&gt;4,"5-10 YIL",AG889&gt;2,"3-5 YIL",AG889&gt;0.9,"1-3 YIL",AG889&lt;1,"0-1 YIL")</f>
        <v>1-3 YIL</v>
      </c>
      <c r="AJ889">
        <f t="shared" si="40"/>
        <v>2025</v>
      </c>
      <c r="AK889" t="e">
        <f t="shared" si="41"/>
        <v>#VALUE!</v>
      </c>
    </row>
    <row r="890" spans="1:37" x14ac:dyDescent="0.3">
      <c r="A890" s="2" t="s">
        <v>1363</v>
      </c>
      <c r="B890" s="3" t="s">
        <v>1364</v>
      </c>
      <c r="C890" s="2" t="s">
        <v>33</v>
      </c>
      <c r="D890" s="13">
        <v>36752</v>
      </c>
      <c r="E890" s="4">
        <v>26</v>
      </c>
      <c r="F890" s="2" t="s">
        <v>34</v>
      </c>
      <c r="G890" s="4">
        <v>0</v>
      </c>
      <c r="H890" s="2" t="s">
        <v>35</v>
      </c>
      <c r="I890" s="3" t="s">
        <v>36</v>
      </c>
      <c r="J890" s="3" t="s">
        <v>37</v>
      </c>
      <c r="K890" s="2" t="s">
        <v>38</v>
      </c>
      <c r="L890" s="2" t="s">
        <v>39</v>
      </c>
      <c r="M890" s="3" t="s">
        <v>40</v>
      </c>
      <c r="N890" s="2" t="s">
        <v>41</v>
      </c>
      <c r="O890" s="13">
        <v>45557</v>
      </c>
      <c r="P890" s="2" t="s">
        <v>44</v>
      </c>
      <c r="Q890" s="3" t="s">
        <v>44</v>
      </c>
      <c r="R890" s="2" t="s">
        <v>44</v>
      </c>
      <c r="S890" s="2" t="s">
        <v>56</v>
      </c>
      <c r="T890" s="5">
        <v>24400</v>
      </c>
      <c r="U890" s="5">
        <v>0</v>
      </c>
      <c r="V890" s="4">
        <v>40</v>
      </c>
      <c r="W890" s="4">
        <v>30</v>
      </c>
      <c r="X890" s="2" t="s">
        <v>44</v>
      </c>
      <c r="Y890" s="4">
        <v>0</v>
      </c>
      <c r="Z890" s="4">
        <v>12</v>
      </c>
      <c r="AA890" s="4">
        <v>0</v>
      </c>
      <c r="AB890" s="4">
        <v>0</v>
      </c>
      <c r="AC890" s="4">
        <v>3</v>
      </c>
      <c r="AD890" s="4">
        <v>18</v>
      </c>
      <c r="AE890" s="3" t="s">
        <v>58</v>
      </c>
      <c r="AG890">
        <f t="shared" ca="1" si="39"/>
        <v>1</v>
      </c>
      <c r="AH890" s="23" t="str" cm="1">
        <f t="array" ref="AH890">_xlfn.IFS(E890&gt;49,"50+",E890&gt;39,"40-49",E890&gt;29,"30-39",E890&gt;19,"20-29")</f>
        <v>20-29</v>
      </c>
      <c r="AI890" s="24" t="str" cm="1">
        <f t="array" aca="1" ref="AI890" ca="1">_xlfn.IFS(AG890&gt;10,"10+",AG890&gt;4,"5-10 YIL",AG890&gt;2,"3-5 YIL",AG890&gt;0.9,"1-3 YIL",AG890&lt;1,"0-1 YIL")</f>
        <v>1-3 YIL</v>
      </c>
      <c r="AJ890">
        <f t="shared" si="40"/>
        <v>2024</v>
      </c>
      <c r="AK890" t="e">
        <f t="shared" si="41"/>
        <v>#VALUE!</v>
      </c>
    </row>
    <row r="891" spans="1:37" x14ac:dyDescent="0.3">
      <c r="A891" s="6" t="s">
        <v>1365</v>
      </c>
      <c r="B891" s="7" t="s">
        <v>392</v>
      </c>
      <c r="C891" s="6" t="s">
        <v>48</v>
      </c>
      <c r="D891" s="14">
        <v>35013</v>
      </c>
      <c r="E891" s="8">
        <v>31</v>
      </c>
      <c r="F891" s="6" t="s">
        <v>34</v>
      </c>
      <c r="G891" s="8">
        <v>0</v>
      </c>
      <c r="H891" s="6" t="s">
        <v>35</v>
      </c>
      <c r="I891" s="7" t="s">
        <v>61</v>
      </c>
      <c r="J891" s="7" t="s">
        <v>107</v>
      </c>
      <c r="K891" s="6" t="s">
        <v>51</v>
      </c>
      <c r="L891" s="6" t="s">
        <v>63</v>
      </c>
      <c r="M891" s="7" t="s">
        <v>64</v>
      </c>
      <c r="N891" s="6" t="s">
        <v>41</v>
      </c>
      <c r="O891" s="14">
        <v>43769</v>
      </c>
      <c r="P891" s="6" t="s">
        <v>44</v>
      </c>
      <c r="Q891" s="7" t="s">
        <v>44</v>
      </c>
      <c r="R891" s="6" t="s">
        <v>44</v>
      </c>
      <c r="S891" s="6" t="s">
        <v>56</v>
      </c>
      <c r="T891" s="9">
        <v>53900</v>
      </c>
      <c r="U891" s="9">
        <v>10800</v>
      </c>
      <c r="V891" s="8">
        <v>0</v>
      </c>
      <c r="W891" s="8">
        <v>30</v>
      </c>
      <c r="X891" s="6" t="s">
        <v>44</v>
      </c>
      <c r="Y891" s="8">
        <v>0</v>
      </c>
      <c r="Z891" s="8">
        <v>3</v>
      </c>
      <c r="AA891" s="8">
        <v>0</v>
      </c>
      <c r="AB891" s="8">
        <v>0</v>
      </c>
      <c r="AC891" s="8">
        <v>4</v>
      </c>
      <c r="AD891" s="8">
        <v>23</v>
      </c>
      <c r="AE891" s="7" t="s">
        <v>73</v>
      </c>
      <c r="AG891">
        <f t="shared" ca="1" si="39"/>
        <v>6</v>
      </c>
      <c r="AH891" s="23" t="str" cm="1">
        <f t="array" ref="AH891">_xlfn.IFS(E891&gt;49,"50+",E891&gt;39,"40-49",E891&gt;29,"30-39",E891&gt;19,"20-29")</f>
        <v>30-39</v>
      </c>
      <c r="AI891" s="24" t="str" cm="1">
        <f t="array" aca="1" ref="AI891" ca="1">_xlfn.IFS(AG891&gt;10,"10+",AG891&gt;4,"5-10 YIL",AG891&gt;2,"3-5 YIL",AG891&gt;0.9,"1-3 YIL",AG891&lt;1,"0-1 YIL")</f>
        <v>5-10 YIL</v>
      </c>
      <c r="AJ891">
        <f t="shared" si="40"/>
        <v>2019</v>
      </c>
      <c r="AK891" t="e">
        <f t="shared" si="41"/>
        <v>#VALUE!</v>
      </c>
    </row>
    <row r="892" spans="1:37" x14ac:dyDescent="0.3">
      <c r="A892" s="2" t="s">
        <v>1366</v>
      </c>
      <c r="B892" s="3" t="s">
        <v>834</v>
      </c>
      <c r="C892" s="2" t="s">
        <v>33</v>
      </c>
      <c r="D892" s="13">
        <v>37094</v>
      </c>
      <c r="E892" s="4">
        <v>25</v>
      </c>
      <c r="F892" s="2" t="s">
        <v>49</v>
      </c>
      <c r="G892" s="4">
        <v>1</v>
      </c>
      <c r="H892" s="2" t="s">
        <v>88</v>
      </c>
      <c r="I892" s="3" t="s">
        <v>36</v>
      </c>
      <c r="J892" s="3" t="s">
        <v>37</v>
      </c>
      <c r="K892" s="2" t="s">
        <v>38</v>
      </c>
      <c r="L892" s="2" t="s">
        <v>39</v>
      </c>
      <c r="M892" s="3" t="s">
        <v>40</v>
      </c>
      <c r="N892" s="2" t="s">
        <v>41</v>
      </c>
      <c r="O892" s="13">
        <v>44747</v>
      </c>
      <c r="P892" s="2" t="s">
        <v>44</v>
      </c>
      <c r="Q892" s="3" t="s">
        <v>44</v>
      </c>
      <c r="R892" s="2" t="s">
        <v>44</v>
      </c>
      <c r="S892" s="2" t="s">
        <v>56</v>
      </c>
      <c r="T892" s="5">
        <v>28700</v>
      </c>
      <c r="U892" s="5">
        <v>0</v>
      </c>
      <c r="V892" s="4">
        <v>23</v>
      </c>
      <c r="W892" s="4">
        <v>30</v>
      </c>
      <c r="X892" s="2" t="s">
        <v>44</v>
      </c>
      <c r="Y892" s="4">
        <v>0</v>
      </c>
      <c r="Z892" s="4">
        <v>0</v>
      </c>
      <c r="AA892" s="4">
        <v>0</v>
      </c>
      <c r="AB892" s="4">
        <v>0</v>
      </c>
      <c r="AC892" s="4">
        <v>3</v>
      </c>
      <c r="AD892" s="4">
        <v>3</v>
      </c>
      <c r="AE892" s="3" t="s">
        <v>45</v>
      </c>
      <c r="AG892">
        <f t="shared" ca="1" si="39"/>
        <v>3</v>
      </c>
      <c r="AH892" s="23" t="str" cm="1">
        <f t="array" ref="AH892">_xlfn.IFS(E892&gt;49,"50+",E892&gt;39,"40-49",E892&gt;29,"30-39",E892&gt;19,"20-29")</f>
        <v>20-29</v>
      </c>
      <c r="AI892" s="24" t="str" cm="1">
        <f t="array" aca="1" ref="AI892" ca="1">_xlfn.IFS(AG892&gt;10,"10+",AG892&gt;4,"5-10 YIL",AG892&gt;2,"3-5 YIL",AG892&gt;0.9,"1-3 YIL",AG892&lt;1,"0-1 YIL")</f>
        <v>3-5 YIL</v>
      </c>
      <c r="AJ892">
        <f t="shared" si="40"/>
        <v>2022</v>
      </c>
      <c r="AK892" t="e">
        <f t="shared" si="41"/>
        <v>#VALUE!</v>
      </c>
    </row>
    <row r="893" spans="1:37" x14ac:dyDescent="0.3">
      <c r="A893" s="6" t="s">
        <v>1367</v>
      </c>
      <c r="B893" s="7" t="s">
        <v>801</v>
      </c>
      <c r="C893" s="6" t="s">
        <v>48</v>
      </c>
      <c r="D893" s="14">
        <v>36161</v>
      </c>
      <c r="E893" s="8">
        <v>27</v>
      </c>
      <c r="F893" s="6" t="s">
        <v>49</v>
      </c>
      <c r="G893" s="8">
        <v>0</v>
      </c>
      <c r="H893" s="6" t="s">
        <v>35</v>
      </c>
      <c r="I893" s="7" t="s">
        <v>61</v>
      </c>
      <c r="J893" s="7" t="s">
        <v>62</v>
      </c>
      <c r="K893" s="6" t="s">
        <v>38</v>
      </c>
      <c r="L893" s="6" t="s">
        <v>63</v>
      </c>
      <c r="M893" s="7" t="s">
        <v>64</v>
      </c>
      <c r="N893" s="6" t="s">
        <v>41</v>
      </c>
      <c r="O893" s="14">
        <v>45425</v>
      </c>
      <c r="P893" s="6" t="s">
        <v>44</v>
      </c>
      <c r="Q893" s="7" t="s">
        <v>44</v>
      </c>
      <c r="R893" s="6" t="s">
        <v>44</v>
      </c>
      <c r="S893" s="6" t="s">
        <v>56</v>
      </c>
      <c r="T893" s="9">
        <v>34200</v>
      </c>
      <c r="U893" s="9">
        <v>9200</v>
      </c>
      <c r="V893" s="8">
        <v>4</v>
      </c>
      <c r="W893" s="8">
        <v>29</v>
      </c>
      <c r="X893" s="6" t="s">
        <v>57</v>
      </c>
      <c r="Y893" s="8">
        <v>1</v>
      </c>
      <c r="Z893" s="8">
        <v>3</v>
      </c>
      <c r="AA893" s="8">
        <v>0</v>
      </c>
      <c r="AB893" s="8">
        <v>0</v>
      </c>
      <c r="AC893" s="8">
        <v>3</v>
      </c>
      <c r="AD893" s="8">
        <v>10</v>
      </c>
      <c r="AE893" s="7" t="s">
        <v>82</v>
      </c>
      <c r="AG893">
        <f t="shared" ca="1" si="39"/>
        <v>2</v>
      </c>
      <c r="AH893" s="23" t="str" cm="1">
        <f t="array" ref="AH893">_xlfn.IFS(E893&gt;49,"50+",E893&gt;39,"40-49",E893&gt;29,"30-39",E893&gt;19,"20-29")</f>
        <v>20-29</v>
      </c>
      <c r="AI893" s="24" t="str" cm="1">
        <f t="array" aca="1" ref="AI893" ca="1">_xlfn.IFS(AG893&gt;10,"10+",AG893&gt;4,"5-10 YIL",AG893&gt;2,"3-5 YIL",AG893&gt;0.9,"1-3 YIL",AG893&lt;1,"0-1 YIL")</f>
        <v>1-3 YIL</v>
      </c>
      <c r="AJ893">
        <f t="shared" si="40"/>
        <v>2024</v>
      </c>
      <c r="AK893" t="e">
        <f t="shared" si="41"/>
        <v>#VALUE!</v>
      </c>
    </row>
    <row r="894" spans="1:37" x14ac:dyDescent="0.3">
      <c r="A894" s="2" t="s">
        <v>1368</v>
      </c>
      <c r="B894" s="3" t="s">
        <v>186</v>
      </c>
      <c r="C894" s="2" t="s">
        <v>48</v>
      </c>
      <c r="D894" s="13">
        <v>36698</v>
      </c>
      <c r="E894" s="4">
        <v>26</v>
      </c>
      <c r="F894" s="2" t="s">
        <v>34</v>
      </c>
      <c r="G894" s="4">
        <v>0</v>
      </c>
      <c r="H894" s="2" t="s">
        <v>35</v>
      </c>
      <c r="I894" s="3" t="s">
        <v>36</v>
      </c>
      <c r="J894" s="3" t="s">
        <v>37</v>
      </c>
      <c r="K894" s="2" t="s">
        <v>38</v>
      </c>
      <c r="L894" s="2" t="s">
        <v>39</v>
      </c>
      <c r="M894" s="3" t="s">
        <v>40</v>
      </c>
      <c r="N894" s="2" t="s">
        <v>41</v>
      </c>
      <c r="O894" s="13">
        <v>45403</v>
      </c>
      <c r="P894" s="2" t="s">
        <v>44</v>
      </c>
      <c r="Q894" s="3" t="s">
        <v>44</v>
      </c>
      <c r="R894" s="2" t="s">
        <v>44</v>
      </c>
      <c r="S894" s="2" t="s">
        <v>56</v>
      </c>
      <c r="T894" s="5">
        <v>26900</v>
      </c>
      <c r="U894" s="5">
        <v>0</v>
      </c>
      <c r="V894" s="4">
        <v>22</v>
      </c>
      <c r="W894" s="4">
        <v>30</v>
      </c>
      <c r="X894" s="2" t="s">
        <v>44</v>
      </c>
      <c r="Y894" s="4">
        <v>0</v>
      </c>
      <c r="Z894" s="4">
        <v>1</v>
      </c>
      <c r="AA894" s="4">
        <v>0</v>
      </c>
      <c r="AB894" s="4">
        <v>0</v>
      </c>
      <c r="AC894" s="4">
        <v>3</v>
      </c>
      <c r="AD894" s="4">
        <v>5</v>
      </c>
      <c r="AE894" s="3" t="s">
        <v>82</v>
      </c>
      <c r="AG894">
        <f t="shared" ca="1" si="39"/>
        <v>2</v>
      </c>
      <c r="AH894" s="23" t="str" cm="1">
        <f t="array" ref="AH894">_xlfn.IFS(E894&gt;49,"50+",E894&gt;39,"40-49",E894&gt;29,"30-39",E894&gt;19,"20-29")</f>
        <v>20-29</v>
      </c>
      <c r="AI894" s="24" t="str" cm="1">
        <f t="array" aca="1" ref="AI894" ca="1">_xlfn.IFS(AG894&gt;10,"10+",AG894&gt;4,"5-10 YIL",AG894&gt;2,"3-5 YIL",AG894&gt;0.9,"1-3 YIL",AG894&lt;1,"0-1 YIL")</f>
        <v>1-3 YIL</v>
      </c>
      <c r="AJ894">
        <f t="shared" si="40"/>
        <v>2024</v>
      </c>
      <c r="AK894" t="e">
        <f t="shared" si="41"/>
        <v>#VALUE!</v>
      </c>
    </row>
    <row r="895" spans="1:37" x14ac:dyDescent="0.3">
      <c r="A895" s="6" t="s">
        <v>1369</v>
      </c>
      <c r="B895" s="7" t="s">
        <v>1370</v>
      </c>
      <c r="C895" s="6" t="s">
        <v>33</v>
      </c>
      <c r="D895" s="14">
        <v>35626</v>
      </c>
      <c r="E895" s="8">
        <v>29</v>
      </c>
      <c r="F895" s="6" t="s">
        <v>34</v>
      </c>
      <c r="G895" s="8">
        <v>0</v>
      </c>
      <c r="H895" s="6" t="s">
        <v>35</v>
      </c>
      <c r="I895" s="7" t="s">
        <v>36</v>
      </c>
      <c r="J895" s="7" t="s">
        <v>37</v>
      </c>
      <c r="K895" s="6" t="s">
        <v>38</v>
      </c>
      <c r="L895" s="6" t="s">
        <v>39</v>
      </c>
      <c r="M895" s="7" t="s">
        <v>40</v>
      </c>
      <c r="N895" s="6" t="s">
        <v>41</v>
      </c>
      <c r="O895" s="14">
        <v>45851</v>
      </c>
      <c r="P895" s="14">
        <v>46069</v>
      </c>
      <c r="Q895" s="7" t="s">
        <v>53</v>
      </c>
      <c r="R895" s="6">
        <v>4</v>
      </c>
      <c r="S895" s="6" t="s">
        <v>43</v>
      </c>
      <c r="T895" s="9">
        <v>27200</v>
      </c>
      <c r="U895" s="9">
        <v>0</v>
      </c>
      <c r="V895" s="8">
        <v>30</v>
      </c>
      <c r="W895" s="8">
        <v>30</v>
      </c>
      <c r="X895" s="6" t="s">
        <v>44</v>
      </c>
      <c r="Y895" s="8">
        <v>0</v>
      </c>
      <c r="Z895" s="8">
        <v>0</v>
      </c>
      <c r="AA895" s="8">
        <v>0</v>
      </c>
      <c r="AB895" s="8">
        <v>0</v>
      </c>
      <c r="AC895" s="8">
        <v>3</v>
      </c>
      <c r="AD895" s="8">
        <v>17</v>
      </c>
      <c r="AE895" s="7" t="s">
        <v>58</v>
      </c>
      <c r="AG895">
        <f t="shared" ca="1" si="39"/>
        <v>0</v>
      </c>
      <c r="AH895" s="23" t="str" cm="1">
        <f t="array" ref="AH895">_xlfn.IFS(E895&gt;49,"50+",E895&gt;39,"40-49",E895&gt;29,"30-39",E895&gt;19,"20-29")</f>
        <v>20-29</v>
      </c>
      <c r="AI895" s="24" t="str" cm="1">
        <f t="array" aca="1" ref="AI895" ca="1">_xlfn.IFS(AG895&gt;10,"10+",AG895&gt;4,"5-10 YIL",AG895&gt;2,"3-5 YIL",AG895&gt;0.9,"1-3 YIL",AG895&lt;1,"0-1 YIL")</f>
        <v>0-1 YIL</v>
      </c>
      <c r="AJ895">
        <f t="shared" si="40"/>
        <v>2025</v>
      </c>
      <c r="AK895">
        <f t="shared" si="41"/>
        <v>2026</v>
      </c>
    </row>
    <row r="896" spans="1:37" x14ac:dyDescent="0.3">
      <c r="A896" s="2" t="s">
        <v>1371</v>
      </c>
      <c r="B896" s="3" t="s">
        <v>543</v>
      </c>
      <c r="C896" s="2" t="s">
        <v>48</v>
      </c>
      <c r="D896" s="13">
        <v>37762</v>
      </c>
      <c r="E896" s="4">
        <v>23</v>
      </c>
      <c r="F896" s="2" t="s">
        <v>34</v>
      </c>
      <c r="G896" s="4">
        <v>0</v>
      </c>
      <c r="H896" s="2" t="s">
        <v>35</v>
      </c>
      <c r="I896" s="3" t="s">
        <v>36</v>
      </c>
      <c r="J896" s="3" t="s">
        <v>37</v>
      </c>
      <c r="K896" s="2" t="s">
        <v>38</v>
      </c>
      <c r="L896" s="2" t="s">
        <v>39</v>
      </c>
      <c r="M896" s="3" t="s">
        <v>40</v>
      </c>
      <c r="N896" s="2" t="s">
        <v>52</v>
      </c>
      <c r="O896" s="13">
        <v>45998</v>
      </c>
      <c r="P896" s="2" t="s">
        <v>44</v>
      </c>
      <c r="Q896" s="3" t="s">
        <v>44</v>
      </c>
      <c r="R896" s="2" t="s">
        <v>44</v>
      </c>
      <c r="S896" s="2" t="s">
        <v>56</v>
      </c>
      <c r="T896" s="5">
        <v>26500</v>
      </c>
      <c r="U896" s="5">
        <v>0</v>
      </c>
      <c r="V896" s="4">
        <v>11</v>
      </c>
      <c r="W896" s="4">
        <v>30</v>
      </c>
      <c r="X896" s="2" t="s">
        <v>44</v>
      </c>
      <c r="Y896" s="4">
        <v>0</v>
      </c>
      <c r="Z896" s="4">
        <v>0</v>
      </c>
      <c r="AA896" s="4">
        <v>0</v>
      </c>
      <c r="AB896" s="4">
        <v>0</v>
      </c>
      <c r="AC896" s="4">
        <v>3</v>
      </c>
      <c r="AD896" s="4">
        <v>13</v>
      </c>
      <c r="AE896" s="3" t="s">
        <v>58</v>
      </c>
      <c r="AG896">
        <f t="shared" ca="1" si="39"/>
        <v>0</v>
      </c>
      <c r="AH896" s="23" t="str" cm="1">
        <f t="array" ref="AH896">_xlfn.IFS(E896&gt;49,"50+",E896&gt;39,"40-49",E896&gt;29,"30-39",E896&gt;19,"20-29")</f>
        <v>20-29</v>
      </c>
      <c r="AI896" s="24" t="str" cm="1">
        <f t="array" aca="1" ref="AI896" ca="1">_xlfn.IFS(AG896&gt;10,"10+",AG896&gt;4,"5-10 YIL",AG896&gt;2,"3-5 YIL",AG896&gt;0.9,"1-3 YIL",AG896&lt;1,"0-1 YIL")</f>
        <v>0-1 YIL</v>
      </c>
      <c r="AJ896">
        <f t="shared" si="40"/>
        <v>2025</v>
      </c>
      <c r="AK896" t="e">
        <f t="shared" si="41"/>
        <v>#VALUE!</v>
      </c>
    </row>
    <row r="897" spans="1:37" x14ac:dyDescent="0.3">
      <c r="A897" s="6" t="s">
        <v>1372</v>
      </c>
      <c r="B897" s="7" t="s">
        <v>131</v>
      </c>
      <c r="C897" s="6" t="s">
        <v>33</v>
      </c>
      <c r="D897" s="14">
        <v>31110</v>
      </c>
      <c r="E897" s="8">
        <v>41</v>
      </c>
      <c r="F897" s="6" t="s">
        <v>34</v>
      </c>
      <c r="G897" s="8">
        <v>0</v>
      </c>
      <c r="H897" s="6" t="s">
        <v>35</v>
      </c>
      <c r="I897" s="7" t="s">
        <v>36</v>
      </c>
      <c r="J897" s="7" t="s">
        <v>50</v>
      </c>
      <c r="K897" s="6" t="s">
        <v>51</v>
      </c>
      <c r="L897" s="6" t="s">
        <v>39</v>
      </c>
      <c r="M897" s="7" t="s">
        <v>40</v>
      </c>
      <c r="N897" s="6" t="s">
        <v>89</v>
      </c>
      <c r="O897" s="14">
        <v>44258</v>
      </c>
      <c r="P897" s="6" t="s">
        <v>44</v>
      </c>
      <c r="Q897" s="7" t="s">
        <v>44</v>
      </c>
      <c r="R897" s="6" t="s">
        <v>44</v>
      </c>
      <c r="S897" s="6" t="s">
        <v>56</v>
      </c>
      <c r="T897" s="9">
        <v>43300</v>
      </c>
      <c r="U897" s="9">
        <v>0</v>
      </c>
      <c r="V897" s="8">
        <v>19</v>
      </c>
      <c r="W897" s="8">
        <v>28</v>
      </c>
      <c r="X897" s="6" t="s">
        <v>57</v>
      </c>
      <c r="Y897" s="8">
        <v>2</v>
      </c>
      <c r="Z897" s="8">
        <v>9</v>
      </c>
      <c r="AA897" s="8">
        <v>0</v>
      </c>
      <c r="AB897" s="8">
        <v>0</v>
      </c>
      <c r="AC897" s="8">
        <v>4</v>
      </c>
      <c r="AD897" s="8">
        <v>29</v>
      </c>
      <c r="AE897" s="7" t="s">
        <v>45</v>
      </c>
      <c r="AG897">
        <f t="shared" ca="1" si="39"/>
        <v>5</v>
      </c>
      <c r="AH897" s="23" t="str" cm="1">
        <f t="array" ref="AH897">_xlfn.IFS(E897&gt;49,"50+",E897&gt;39,"40-49",E897&gt;29,"30-39",E897&gt;19,"20-29")</f>
        <v>40-49</v>
      </c>
      <c r="AI897" s="24" t="str" cm="1">
        <f t="array" aca="1" ref="AI897" ca="1">_xlfn.IFS(AG897&gt;10,"10+",AG897&gt;4,"5-10 YIL",AG897&gt;2,"3-5 YIL",AG897&gt;0.9,"1-3 YIL",AG897&lt;1,"0-1 YIL")</f>
        <v>5-10 YIL</v>
      </c>
      <c r="AJ897">
        <f t="shared" si="40"/>
        <v>2021</v>
      </c>
      <c r="AK897" t="e">
        <f t="shared" si="41"/>
        <v>#VALUE!</v>
      </c>
    </row>
    <row r="898" spans="1:37" x14ac:dyDescent="0.3">
      <c r="A898" s="2" t="s">
        <v>1373</v>
      </c>
      <c r="B898" s="3" t="s">
        <v>569</v>
      </c>
      <c r="C898" s="2" t="s">
        <v>48</v>
      </c>
      <c r="D898" s="13">
        <v>30745</v>
      </c>
      <c r="E898" s="4">
        <v>42</v>
      </c>
      <c r="F898" s="2" t="s">
        <v>34</v>
      </c>
      <c r="G898" s="4">
        <v>0</v>
      </c>
      <c r="H898" s="2" t="s">
        <v>35</v>
      </c>
      <c r="I898" s="3" t="s">
        <v>70</v>
      </c>
      <c r="J898" s="3" t="s">
        <v>71</v>
      </c>
      <c r="K898" s="2" t="s">
        <v>51</v>
      </c>
      <c r="L898" s="2" t="s">
        <v>63</v>
      </c>
      <c r="M898" s="3" t="s">
        <v>72</v>
      </c>
      <c r="N898" s="2" t="s">
        <v>41</v>
      </c>
      <c r="O898" s="13">
        <v>43381</v>
      </c>
      <c r="P898" s="2" t="s">
        <v>44</v>
      </c>
      <c r="Q898" s="3" t="s">
        <v>44</v>
      </c>
      <c r="R898" s="2" t="s">
        <v>44</v>
      </c>
      <c r="S898" s="2" t="s">
        <v>56</v>
      </c>
      <c r="T898" s="5">
        <v>56900</v>
      </c>
      <c r="U898" s="5">
        <v>5900</v>
      </c>
      <c r="V898" s="4">
        <v>9</v>
      </c>
      <c r="W898" s="4">
        <v>30</v>
      </c>
      <c r="X898" s="2" t="s">
        <v>44</v>
      </c>
      <c r="Y898" s="4">
        <v>0</v>
      </c>
      <c r="Z898" s="4">
        <v>10</v>
      </c>
      <c r="AA898" s="4">
        <v>0</v>
      </c>
      <c r="AB898" s="4">
        <v>0</v>
      </c>
      <c r="AC898" s="4">
        <v>3</v>
      </c>
      <c r="AD898" s="4">
        <v>18</v>
      </c>
      <c r="AE898" s="3" t="s">
        <v>58</v>
      </c>
      <c r="AG898">
        <f t="shared" ca="1" si="39"/>
        <v>7</v>
      </c>
      <c r="AH898" s="23" t="str" cm="1">
        <f t="array" ref="AH898">_xlfn.IFS(E898&gt;49,"50+",E898&gt;39,"40-49",E898&gt;29,"30-39",E898&gt;19,"20-29")</f>
        <v>40-49</v>
      </c>
      <c r="AI898" s="24" t="str" cm="1">
        <f t="array" aca="1" ref="AI898" ca="1">_xlfn.IFS(AG898&gt;10,"10+",AG898&gt;4,"5-10 YIL",AG898&gt;2,"3-5 YIL",AG898&gt;0.9,"1-3 YIL",AG898&lt;1,"0-1 YIL")</f>
        <v>5-10 YIL</v>
      </c>
      <c r="AJ898">
        <f t="shared" si="40"/>
        <v>2018</v>
      </c>
      <c r="AK898" t="e">
        <f t="shared" si="41"/>
        <v>#VALUE!</v>
      </c>
    </row>
    <row r="899" spans="1:37" x14ac:dyDescent="0.3">
      <c r="A899" s="6" t="s">
        <v>1374</v>
      </c>
      <c r="B899" s="7" t="s">
        <v>166</v>
      </c>
      <c r="C899" s="6" t="s">
        <v>48</v>
      </c>
      <c r="D899" s="14">
        <v>30023</v>
      </c>
      <c r="E899" s="8">
        <v>44</v>
      </c>
      <c r="F899" s="6" t="s">
        <v>34</v>
      </c>
      <c r="G899" s="8">
        <v>0</v>
      </c>
      <c r="H899" s="6" t="s">
        <v>35</v>
      </c>
      <c r="I899" s="7" t="s">
        <v>36</v>
      </c>
      <c r="J899" s="7" t="s">
        <v>50</v>
      </c>
      <c r="K899" s="6" t="s">
        <v>51</v>
      </c>
      <c r="L899" s="6" t="s">
        <v>39</v>
      </c>
      <c r="M899" s="7" t="s">
        <v>40</v>
      </c>
      <c r="N899" s="6" t="s">
        <v>52</v>
      </c>
      <c r="O899" s="14">
        <v>43166</v>
      </c>
      <c r="P899" s="6" t="s">
        <v>44</v>
      </c>
      <c r="Q899" s="7" t="s">
        <v>44</v>
      </c>
      <c r="R899" s="6" t="s">
        <v>44</v>
      </c>
      <c r="S899" s="6" t="s">
        <v>56</v>
      </c>
      <c r="T899" s="9">
        <v>44800</v>
      </c>
      <c r="U899" s="9">
        <v>0</v>
      </c>
      <c r="V899" s="8">
        <v>30</v>
      </c>
      <c r="W899" s="8">
        <v>30</v>
      </c>
      <c r="X899" s="6" t="s">
        <v>44</v>
      </c>
      <c r="Y899" s="8">
        <v>0</v>
      </c>
      <c r="Z899" s="8">
        <v>6</v>
      </c>
      <c r="AA899" s="8">
        <v>0</v>
      </c>
      <c r="AB899" s="8">
        <v>0</v>
      </c>
      <c r="AC899" s="8">
        <v>2</v>
      </c>
      <c r="AD899" s="8">
        <v>5</v>
      </c>
      <c r="AE899" s="7" t="s">
        <v>45</v>
      </c>
      <c r="AG899">
        <f t="shared" ref="AG899:AG962" ca="1" si="42">DATEDIF(O899,TODAY(),"Y")</f>
        <v>8</v>
      </c>
      <c r="AH899" s="23" t="str" cm="1">
        <f t="array" ref="AH899">_xlfn.IFS(E899&gt;49,"50+",E899&gt;39,"40-49",E899&gt;29,"30-39",E899&gt;19,"20-29")</f>
        <v>40-49</v>
      </c>
      <c r="AI899" s="24" t="str" cm="1">
        <f t="array" aca="1" ref="AI899" ca="1">_xlfn.IFS(AG899&gt;10,"10+",AG899&gt;4,"5-10 YIL",AG899&gt;2,"3-5 YIL",AG899&gt;0.9,"1-3 YIL",AG899&lt;1,"0-1 YIL")</f>
        <v>5-10 YIL</v>
      </c>
      <c r="AJ899">
        <f t="shared" ref="AJ899:AJ962" si="43">YEAR(O899)</f>
        <v>2018</v>
      </c>
      <c r="AK899" t="e">
        <f t="shared" ref="AK899:AK962" si="44">YEAR(P899)</f>
        <v>#VALUE!</v>
      </c>
    </row>
    <row r="900" spans="1:37" x14ac:dyDescent="0.3">
      <c r="A900" s="2" t="s">
        <v>1375</v>
      </c>
      <c r="B900" s="3" t="s">
        <v>158</v>
      </c>
      <c r="C900" s="2" t="s">
        <v>48</v>
      </c>
      <c r="D900" s="13">
        <v>37099</v>
      </c>
      <c r="E900" s="4">
        <v>25</v>
      </c>
      <c r="F900" s="2" t="s">
        <v>49</v>
      </c>
      <c r="G900" s="4">
        <v>0</v>
      </c>
      <c r="H900" s="2" t="s">
        <v>35</v>
      </c>
      <c r="I900" s="3" t="s">
        <v>61</v>
      </c>
      <c r="J900" s="3" t="s">
        <v>62</v>
      </c>
      <c r="K900" s="2" t="s">
        <v>38</v>
      </c>
      <c r="L900" s="2" t="s">
        <v>63</v>
      </c>
      <c r="M900" s="3" t="s">
        <v>64</v>
      </c>
      <c r="N900" s="2" t="s">
        <v>89</v>
      </c>
      <c r="O900" s="13">
        <v>44949</v>
      </c>
      <c r="P900" s="2" t="s">
        <v>44</v>
      </c>
      <c r="Q900" s="3" t="s">
        <v>44</v>
      </c>
      <c r="R900" s="2" t="s">
        <v>44</v>
      </c>
      <c r="S900" s="2" t="s">
        <v>56</v>
      </c>
      <c r="T900" s="5">
        <v>33300</v>
      </c>
      <c r="U900" s="5">
        <v>9000</v>
      </c>
      <c r="V900" s="4">
        <v>0</v>
      </c>
      <c r="W900" s="4">
        <v>30</v>
      </c>
      <c r="X900" s="2" t="s">
        <v>44</v>
      </c>
      <c r="Y900" s="4">
        <v>0</v>
      </c>
      <c r="Z900" s="4">
        <v>6</v>
      </c>
      <c r="AA900" s="4">
        <v>0</v>
      </c>
      <c r="AB900" s="4">
        <v>0</v>
      </c>
      <c r="AC900" s="4">
        <v>3</v>
      </c>
      <c r="AD900" s="4">
        <v>10</v>
      </c>
      <c r="AE900" s="3" t="s">
        <v>45</v>
      </c>
      <c r="AG900">
        <f t="shared" ca="1" si="42"/>
        <v>3</v>
      </c>
      <c r="AH900" s="23" t="str" cm="1">
        <f t="array" ref="AH900">_xlfn.IFS(E900&gt;49,"50+",E900&gt;39,"40-49",E900&gt;29,"30-39",E900&gt;19,"20-29")</f>
        <v>20-29</v>
      </c>
      <c r="AI900" s="24" t="str" cm="1">
        <f t="array" aca="1" ref="AI900" ca="1">_xlfn.IFS(AG900&gt;10,"10+",AG900&gt;4,"5-10 YIL",AG900&gt;2,"3-5 YIL",AG900&gt;0.9,"1-3 YIL",AG900&lt;1,"0-1 YIL")</f>
        <v>3-5 YIL</v>
      </c>
      <c r="AJ900">
        <f t="shared" si="43"/>
        <v>2023</v>
      </c>
      <c r="AK900" t="e">
        <f t="shared" si="44"/>
        <v>#VALUE!</v>
      </c>
    </row>
    <row r="901" spans="1:37" x14ac:dyDescent="0.3">
      <c r="A901" s="6" t="s">
        <v>1376</v>
      </c>
      <c r="B901" s="7" t="s">
        <v>1169</v>
      </c>
      <c r="C901" s="6" t="s">
        <v>48</v>
      </c>
      <c r="D901" s="14">
        <v>36287</v>
      </c>
      <c r="E901" s="8">
        <v>27</v>
      </c>
      <c r="F901" s="6" t="s">
        <v>49</v>
      </c>
      <c r="G901" s="8">
        <v>1</v>
      </c>
      <c r="H901" s="6" t="s">
        <v>85</v>
      </c>
      <c r="I901" s="7" t="s">
        <v>36</v>
      </c>
      <c r="J901" s="7" t="s">
        <v>37</v>
      </c>
      <c r="K901" s="6" t="s">
        <v>38</v>
      </c>
      <c r="L901" s="6" t="s">
        <v>39</v>
      </c>
      <c r="M901" s="7" t="s">
        <v>40</v>
      </c>
      <c r="N901" s="6" t="s">
        <v>52</v>
      </c>
      <c r="O901" s="14">
        <v>45449</v>
      </c>
      <c r="P901" s="6" t="s">
        <v>44</v>
      </c>
      <c r="Q901" s="7" t="s">
        <v>44</v>
      </c>
      <c r="R901" s="6" t="s">
        <v>44</v>
      </c>
      <c r="S901" s="6" t="s">
        <v>56</v>
      </c>
      <c r="T901" s="9">
        <v>28700</v>
      </c>
      <c r="U901" s="9">
        <v>0</v>
      </c>
      <c r="V901" s="8">
        <v>28</v>
      </c>
      <c r="W901" s="8">
        <v>30</v>
      </c>
      <c r="X901" s="6" t="s">
        <v>44</v>
      </c>
      <c r="Y901" s="8">
        <v>0</v>
      </c>
      <c r="Z901" s="8">
        <v>12</v>
      </c>
      <c r="AA901" s="8">
        <v>0</v>
      </c>
      <c r="AB901" s="8">
        <v>0</v>
      </c>
      <c r="AC901" s="8">
        <v>4</v>
      </c>
      <c r="AD901" s="8">
        <v>36</v>
      </c>
      <c r="AE901" s="7" t="s">
        <v>82</v>
      </c>
      <c r="AG901">
        <f t="shared" ca="1" si="42"/>
        <v>2</v>
      </c>
      <c r="AH901" s="23" t="str" cm="1">
        <f t="array" ref="AH901">_xlfn.IFS(E901&gt;49,"50+",E901&gt;39,"40-49",E901&gt;29,"30-39",E901&gt;19,"20-29")</f>
        <v>20-29</v>
      </c>
      <c r="AI901" s="24" t="str" cm="1">
        <f t="array" aca="1" ref="AI901" ca="1">_xlfn.IFS(AG901&gt;10,"10+",AG901&gt;4,"5-10 YIL",AG901&gt;2,"3-5 YIL",AG901&gt;0.9,"1-3 YIL",AG901&lt;1,"0-1 YIL")</f>
        <v>1-3 YIL</v>
      </c>
      <c r="AJ901">
        <f t="shared" si="43"/>
        <v>2024</v>
      </c>
      <c r="AK901" t="e">
        <f t="shared" si="44"/>
        <v>#VALUE!</v>
      </c>
    </row>
    <row r="902" spans="1:37" x14ac:dyDescent="0.3">
      <c r="A902" s="2" t="s">
        <v>1377</v>
      </c>
      <c r="B902" s="3" t="s">
        <v>473</v>
      </c>
      <c r="C902" s="2" t="s">
        <v>48</v>
      </c>
      <c r="D902" s="13">
        <v>36040</v>
      </c>
      <c r="E902" s="4">
        <v>28</v>
      </c>
      <c r="F902" s="2" t="s">
        <v>34</v>
      </c>
      <c r="G902" s="4">
        <v>0</v>
      </c>
      <c r="H902" s="2" t="s">
        <v>35</v>
      </c>
      <c r="I902" s="3" t="s">
        <v>36</v>
      </c>
      <c r="J902" s="3" t="s">
        <v>37</v>
      </c>
      <c r="K902" s="2" t="s">
        <v>38</v>
      </c>
      <c r="L902" s="2" t="s">
        <v>39</v>
      </c>
      <c r="M902" s="3" t="s">
        <v>40</v>
      </c>
      <c r="N902" s="2" t="s">
        <v>89</v>
      </c>
      <c r="O902" s="13">
        <v>45820</v>
      </c>
      <c r="P902" s="2" t="s">
        <v>44</v>
      </c>
      <c r="Q902" s="3" t="s">
        <v>44</v>
      </c>
      <c r="R902" s="2" t="s">
        <v>44</v>
      </c>
      <c r="S902" s="2" t="s">
        <v>56</v>
      </c>
      <c r="T902" s="5">
        <v>27500</v>
      </c>
      <c r="U902" s="5">
        <v>0</v>
      </c>
      <c r="V902" s="4">
        <v>37</v>
      </c>
      <c r="W902" s="4">
        <v>30</v>
      </c>
      <c r="X902" s="2" t="s">
        <v>44</v>
      </c>
      <c r="Y902" s="4">
        <v>0</v>
      </c>
      <c r="Z902" s="4">
        <v>0</v>
      </c>
      <c r="AA902" s="4">
        <v>0</v>
      </c>
      <c r="AB902" s="4">
        <v>0</v>
      </c>
      <c r="AC902" s="4">
        <v>3</v>
      </c>
      <c r="AD902" s="4">
        <v>7</v>
      </c>
      <c r="AE902" s="3" t="s">
        <v>58</v>
      </c>
      <c r="AG902">
        <f t="shared" ca="1" si="42"/>
        <v>1</v>
      </c>
      <c r="AH902" s="23" t="str" cm="1">
        <f t="array" ref="AH902">_xlfn.IFS(E902&gt;49,"50+",E902&gt;39,"40-49",E902&gt;29,"30-39",E902&gt;19,"20-29")</f>
        <v>20-29</v>
      </c>
      <c r="AI902" s="24" t="str" cm="1">
        <f t="array" aca="1" ref="AI902" ca="1">_xlfn.IFS(AG902&gt;10,"10+",AG902&gt;4,"5-10 YIL",AG902&gt;2,"3-5 YIL",AG902&gt;0.9,"1-3 YIL",AG902&lt;1,"0-1 YIL")</f>
        <v>1-3 YIL</v>
      </c>
      <c r="AJ902">
        <f t="shared" si="43"/>
        <v>2025</v>
      </c>
      <c r="AK902" t="e">
        <f t="shared" si="44"/>
        <v>#VALUE!</v>
      </c>
    </row>
    <row r="903" spans="1:37" x14ac:dyDescent="0.3">
      <c r="A903" s="6" t="s">
        <v>1378</v>
      </c>
      <c r="B903" s="7" t="s">
        <v>943</v>
      </c>
      <c r="C903" s="6" t="s">
        <v>33</v>
      </c>
      <c r="D903" s="14">
        <v>30947</v>
      </c>
      <c r="E903" s="8">
        <v>42</v>
      </c>
      <c r="F903" s="6" t="s">
        <v>34</v>
      </c>
      <c r="G903" s="8">
        <v>0</v>
      </c>
      <c r="H903" s="6" t="s">
        <v>35</v>
      </c>
      <c r="I903" s="7" t="s">
        <v>148</v>
      </c>
      <c r="J903" s="7" t="s">
        <v>149</v>
      </c>
      <c r="K903" s="6" t="s">
        <v>51</v>
      </c>
      <c r="L903" s="6" t="s">
        <v>63</v>
      </c>
      <c r="M903" s="7" t="s">
        <v>150</v>
      </c>
      <c r="N903" s="6" t="s">
        <v>41</v>
      </c>
      <c r="O903" s="14">
        <v>44156</v>
      </c>
      <c r="P903" s="6" t="s">
        <v>44</v>
      </c>
      <c r="Q903" s="7" t="s">
        <v>44</v>
      </c>
      <c r="R903" s="6" t="s">
        <v>44</v>
      </c>
      <c r="S903" s="6" t="s">
        <v>56</v>
      </c>
      <c r="T903" s="9">
        <v>51900</v>
      </c>
      <c r="U903" s="9">
        <v>0</v>
      </c>
      <c r="V903" s="8">
        <v>0</v>
      </c>
      <c r="W903" s="8">
        <v>27</v>
      </c>
      <c r="X903" s="6" t="s">
        <v>57</v>
      </c>
      <c r="Y903" s="8">
        <v>3</v>
      </c>
      <c r="Z903" s="8">
        <v>5</v>
      </c>
      <c r="AA903" s="8">
        <v>0</v>
      </c>
      <c r="AB903" s="8">
        <v>0</v>
      </c>
      <c r="AC903" s="8">
        <v>3</v>
      </c>
      <c r="AD903" s="8">
        <v>18</v>
      </c>
      <c r="AE903" s="7" t="s">
        <v>82</v>
      </c>
      <c r="AG903">
        <f t="shared" ca="1" si="42"/>
        <v>5</v>
      </c>
      <c r="AH903" s="23" t="str" cm="1">
        <f t="array" ref="AH903">_xlfn.IFS(E903&gt;49,"50+",E903&gt;39,"40-49",E903&gt;29,"30-39",E903&gt;19,"20-29")</f>
        <v>40-49</v>
      </c>
      <c r="AI903" s="24" t="str" cm="1">
        <f t="array" aca="1" ref="AI903" ca="1">_xlfn.IFS(AG903&gt;10,"10+",AG903&gt;4,"5-10 YIL",AG903&gt;2,"3-5 YIL",AG903&gt;0.9,"1-3 YIL",AG903&lt;1,"0-1 YIL")</f>
        <v>5-10 YIL</v>
      </c>
      <c r="AJ903">
        <f t="shared" si="43"/>
        <v>2020</v>
      </c>
      <c r="AK903" t="e">
        <f t="shared" si="44"/>
        <v>#VALUE!</v>
      </c>
    </row>
    <row r="904" spans="1:37" x14ac:dyDescent="0.3">
      <c r="A904" s="2" t="s">
        <v>1379</v>
      </c>
      <c r="B904" s="3" t="s">
        <v>313</v>
      </c>
      <c r="C904" s="2" t="s">
        <v>48</v>
      </c>
      <c r="D904" s="13">
        <v>29057</v>
      </c>
      <c r="E904" s="4">
        <v>47</v>
      </c>
      <c r="F904" s="2" t="s">
        <v>34</v>
      </c>
      <c r="G904" s="4">
        <v>0</v>
      </c>
      <c r="H904" s="2" t="s">
        <v>85</v>
      </c>
      <c r="I904" s="3" t="s">
        <v>148</v>
      </c>
      <c r="J904" s="3" t="s">
        <v>149</v>
      </c>
      <c r="K904" s="2" t="s">
        <v>51</v>
      </c>
      <c r="L904" s="2" t="s">
        <v>63</v>
      </c>
      <c r="M904" s="3" t="s">
        <v>150</v>
      </c>
      <c r="N904" s="2" t="s">
        <v>41</v>
      </c>
      <c r="O904" s="13">
        <v>44400</v>
      </c>
      <c r="P904" s="2" t="s">
        <v>44</v>
      </c>
      <c r="Q904" s="3" t="s">
        <v>44</v>
      </c>
      <c r="R904" s="2" t="s">
        <v>44</v>
      </c>
      <c r="S904" s="2" t="s">
        <v>56</v>
      </c>
      <c r="T904" s="5">
        <v>57100</v>
      </c>
      <c r="U904" s="5">
        <v>0</v>
      </c>
      <c r="V904" s="4">
        <v>7</v>
      </c>
      <c r="W904" s="4">
        <v>24</v>
      </c>
      <c r="X904" s="2" t="s">
        <v>57</v>
      </c>
      <c r="Y904" s="4">
        <v>3</v>
      </c>
      <c r="Z904" s="4">
        <v>3</v>
      </c>
      <c r="AA904" s="4">
        <v>3</v>
      </c>
      <c r="AB904" s="4">
        <v>0</v>
      </c>
      <c r="AC904" s="4">
        <v>3</v>
      </c>
      <c r="AD904" s="4">
        <v>18</v>
      </c>
      <c r="AE904" s="3" t="s">
        <v>58</v>
      </c>
      <c r="AG904">
        <f t="shared" ca="1" si="42"/>
        <v>4</v>
      </c>
      <c r="AH904" s="23" t="str" cm="1">
        <f t="array" ref="AH904">_xlfn.IFS(E904&gt;49,"50+",E904&gt;39,"40-49",E904&gt;29,"30-39",E904&gt;19,"20-29")</f>
        <v>40-49</v>
      </c>
      <c r="AI904" s="24" t="str" cm="1">
        <f t="array" aca="1" ref="AI904" ca="1">_xlfn.IFS(AG904&gt;10,"10+",AG904&gt;4,"5-10 YIL",AG904&gt;2,"3-5 YIL",AG904&gt;0.9,"1-3 YIL",AG904&lt;1,"0-1 YIL")</f>
        <v>3-5 YIL</v>
      </c>
      <c r="AJ904">
        <f t="shared" si="43"/>
        <v>2021</v>
      </c>
      <c r="AK904" t="e">
        <f t="shared" si="44"/>
        <v>#VALUE!</v>
      </c>
    </row>
    <row r="905" spans="1:37" x14ac:dyDescent="0.3">
      <c r="A905" s="6" t="s">
        <v>1380</v>
      </c>
      <c r="B905" s="7" t="s">
        <v>1370</v>
      </c>
      <c r="C905" s="6" t="s">
        <v>33</v>
      </c>
      <c r="D905" s="14">
        <v>37544</v>
      </c>
      <c r="E905" s="8">
        <v>24</v>
      </c>
      <c r="F905" s="6" t="s">
        <v>49</v>
      </c>
      <c r="G905" s="8">
        <v>0</v>
      </c>
      <c r="H905" s="6" t="s">
        <v>35</v>
      </c>
      <c r="I905" s="7" t="s">
        <v>36</v>
      </c>
      <c r="J905" s="7" t="s">
        <v>37</v>
      </c>
      <c r="K905" s="6" t="s">
        <v>38</v>
      </c>
      <c r="L905" s="6" t="s">
        <v>39</v>
      </c>
      <c r="M905" s="7" t="s">
        <v>40</v>
      </c>
      <c r="N905" s="6" t="s">
        <v>41</v>
      </c>
      <c r="O905" s="14">
        <v>45779</v>
      </c>
      <c r="P905" s="6" t="s">
        <v>44</v>
      </c>
      <c r="Q905" s="7" t="s">
        <v>44</v>
      </c>
      <c r="R905" s="6" t="s">
        <v>44</v>
      </c>
      <c r="S905" s="6" t="s">
        <v>56</v>
      </c>
      <c r="T905" s="9">
        <v>27800</v>
      </c>
      <c r="U905" s="9">
        <v>0</v>
      </c>
      <c r="V905" s="8">
        <v>20</v>
      </c>
      <c r="W905" s="8">
        <v>30</v>
      </c>
      <c r="X905" s="6" t="s">
        <v>44</v>
      </c>
      <c r="Y905" s="8">
        <v>0</v>
      </c>
      <c r="Z905" s="8">
        <v>4</v>
      </c>
      <c r="AA905" s="8">
        <v>0</v>
      </c>
      <c r="AB905" s="8">
        <v>0</v>
      </c>
      <c r="AC905" s="8">
        <v>3</v>
      </c>
      <c r="AD905" s="8">
        <v>6</v>
      </c>
      <c r="AE905" s="7" t="s">
        <v>45</v>
      </c>
      <c r="AG905">
        <f t="shared" ca="1" si="42"/>
        <v>1</v>
      </c>
      <c r="AH905" s="23" t="str" cm="1">
        <f t="array" ref="AH905">_xlfn.IFS(E905&gt;49,"50+",E905&gt;39,"40-49",E905&gt;29,"30-39",E905&gt;19,"20-29")</f>
        <v>20-29</v>
      </c>
      <c r="AI905" s="24" t="str" cm="1">
        <f t="array" aca="1" ref="AI905" ca="1">_xlfn.IFS(AG905&gt;10,"10+",AG905&gt;4,"5-10 YIL",AG905&gt;2,"3-5 YIL",AG905&gt;0.9,"1-3 YIL",AG905&lt;1,"0-1 YIL")</f>
        <v>1-3 YIL</v>
      </c>
      <c r="AJ905">
        <f t="shared" si="43"/>
        <v>2025</v>
      </c>
      <c r="AK905" t="e">
        <f t="shared" si="44"/>
        <v>#VALUE!</v>
      </c>
    </row>
    <row r="906" spans="1:37" x14ac:dyDescent="0.3">
      <c r="A906" s="2" t="s">
        <v>1381</v>
      </c>
      <c r="B906" s="3" t="s">
        <v>84</v>
      </c>
      <c r="C906" s="2" t="s">
        <v>33</v>
      </c>
      <c r="D906" s="13">
        <v>30791</v>
      </c>
      <c r="E906" s="4">
        <v>42</v>
      </c>
      <c r="F906" s="2" t="s">
        <v>49</v>
      </c>
      <c r="G906" s="4">
        <v>0</v>
      </c>
      <c r="H906" s="2" t="s">
        <v>88</v>
      </c>
      <c r="I906" s="3" t="s">
        <v>139</v>
      </c>
      <c r="J906" s="3" t="s">
        <v>140</v>
      </c>
      <c r="K906" s="2" t="s">
        <v>79</v>
      </c>
      <c r="L906" s="2" t="s">
        <v>63</v>
      </c>
      <c r="M906" s="3" t="s">
        <v>80</v>
      </c>
      <c r="N906" s="2" t="s">
        <v>41</v>
      </c>
      <c r="O906" s="13">
        <v>44206</v>
      </c>
      <c r="P906" s="2" t="s">
        <v>44</v>
      </c>
      <c r="Q906" s="3" t="s">
        <v>44</v>
      </c>
      <c r="R906" s="2" t="s">
        <v>44</v>
      </c>
      <c r="S906" s="2" t="s">
        <v>56</v>
      </c>
      <c r="T906" s="5">
        <v>125000</v>
      </c>
      <c r="U906" s="5">
        <v>0</v>
      </c>
      <c r="V906" s="4">
        <v>9</v>
      </c>
      <c r="W906" s="4">
        <v>30</v>
      </c>
      <c r="X906" s="2" t="s">
        <v>44</v>
      </c>
      <c r="Y906" s="4">
        <v>0</v>
      </c>
      <c r="Z906" s="4">
        <v>12</v>
      </c>
      <c r="AA906" s="4">
        <v>0</v>
      </c>
      <c r="AB906" s="4">
        <v>0</v>
      </c>
      <c r="AC906" s="4">
        <v>3</v>
      </c>
      <c r="AD906" s="4">
        <v>13</v>
      </c>
      <c r="AE906" s="3" t="s">
        <v>58</v>
      </c>
      <c r="AG906">
        <f t="shared" ca="1" si="42"/>
        <v>5</v>
      </c>
      <c r="AH906" s="23" t="str" cm="1">
        <f t="array" ref="AH906">_xlfn.IFS(E906&gt;49,"50+",E906&gt;39,"40-49",E906&gt;29,"30-39",E906&gt;19,"20-29")</f>
        <v>40-49</v>
      </c>
      <c r="AI906" s="24" t="str" cm="1">
        <f t="array" aca="1" ref="AI906" ca="1">_xlfn.IFS(AG906&gt;10,"10+",AG906&gt;4,"5-10 YIL",AG906&gt;2,"3-5 YIL",AG906&gt;0.9,"1-3 YIL",AG906&lt;1,"0-1 YIL")</f>
        <v>5-10 YIL</v>
      </c>
      <c r="AJ906">
        <f t="shared" si="43"/>
        <v>2021</v>
      </c>
      <c r="AK906" t="e">
        <f t="shared" si="44"/>
        <v>#VALUE!</v>
      </c>
    </row>
    <row r="907" spans="1:37" x14ac:dyDescent="0.3">
      <c r="A907" s="6" t="s">
        <v>1382</v>
      </c>
      <c r="B907" s="7" t="s">
        <v>211</v>
      </c>
      <c r="C907" s="6" t="s">
        <v>33</v>
      </c>
      <c r="D907" s="14">
        <v>37274</v>
      </c>
      <c r="E907" s="8">
        <v>24</v>
      </c>
      <c r="F907" s="6" t="s">
        <v>49</v>
      </c>
      <c r="G907" s="8">
        <v>0</v>
      </c>
      <c r="H907" s="6" t="s">
        <v>35</v>
      </c>
      <c r="I907" s="7" t="s">
        <v>139</v>
      </c>
      <c r="J907" s="7" t="s">
        <v>235</v>
      </c>
      <c r="K907" s="6" t="s">
        <v>38</v>
      </c>
      <c r="L907" s="6" t="s">
        <v>63</v>
      </c>
      <c r="M907" s="7" t="s">
        <v>162</v>
      </c>
      <c r="N907" s="6" t="s">
        <v>95</v>
      </c>
      <c r="O907" s="14">
        <v>46113</v>
      </c>
      <c r="P907" s="6" t="s">
        <v>44</v>
      </c>
      <c r="Q907" s="7" t="s">
        <v>44</v>
      </c>
      <c r="R907" s="6" t="s">
        <v>44</v>
      </c>
      <c r="S907" s="6" t="s">
        <v>56</v>
      </c>
      <c r="T907" s="9">
        <v>51600</v>
      </c>
      <c r="U907" s="9">
        <v>6100</v>
      </c>
      <c r="V907" s="8">
        <v>6</v>
      </c>
      <c r="W907" s="8">
        <v>30</v>
      </c>
      <c r="X907" s="6" t="s">
        <v>44</v>
      </c>
      <c r="Y907" s="8">
        <v>0</v>
      </c>
      <c r="Z907" s="8">
        <v>0</v>
      </c>
      <c r="AA907" s="8">
        <v>0</v>
      </c>
      <c r="AB907" s="8">
        <v>0</v>
      </c>
      <c r="AC907" s="8">
        <v>3</v>
      </c>
      <c r="AD907" s="8">
        <v>12</v>
      </c>
      <c r="AE907" s="7" t="s">
        <v>45</v>
      </c>
      <c r="AG907">
        <f t="shared" ca="1" si="42"/>
        <v>0</v>
      </c>
      <c r="AH907" s="23" t="str" cm="1">
        <f t="array" ref="AH907">_xlfn.IFS(E907&gt;49,"50+",E907&gt;39,"40-49",E907&gt;29,"30-39",E907&gt;19,"20-29")</f>
        <v>20-29</v>
      </c>
      <c r="AI907" s="24" t="str" cm="1">
        <f t="array" aca="1" ref="AI907" ca="1">_xlfn.IFS(AG907&gt;10,"10+",AG907&gt;4,"5-10 YIL",AG907&gt;2,"3-5 YIL",AG907&gt;0.9,"1-3 YIL",AG907&lt;1,"0-1 YIL")</f>
        <v>0-1 YIL</v>
      </c>
      <c r="AJ907">
        <f t="shared" si="43"/>
        <v>2026</v>
      </c>
      <c r="AK907" t="e">
        <f t="shared" si="44"/>
        <v>#VALUE!</v>
      </c>
    </row>
    <row r="908" spans="1:37" x14ac:dyDescent="0.3">
      <c r="A908" s="2" t="s">
        <v>1383</v>
      </c>
      <c r="B908" s="3" t="s">
        <v>55</v>
      </c>
      <c r="C908" s="2" t="s">
        <v>48</v>
      </c>
      <c r="D908" s="13">
        <v>30546</v>
      </c>
      <c r="E908" s="4">
        <v>43</v>
      </c>
      <c r="F908" s="2" t="s">
        <v>34</v>
      </c>
      <c r="G908" s="4">
        <v>0</v>
      </c>
      <c r="H908" s="2" t="s">
        <v>35</v>
      </c>
      <c r="I908" s="3" t="s">
        <v>36</v>
      </c>
      <c r="J908" s="3" t="s">
        <v>78</v>
      </c>
      <c r="K908" s="2" t="s">
        <v>79</v>
      </c>
      <c r="L908" s="2" t="s">
        <v>63</v>
      </c>
      <c r="M908" s="3" t="s">
        <v>80</v>
      </c>
      <c r="N908" s="2" t="s">
        <v>41</v>
      </c>
      <c r="O908" s="13">
        <v>41568</v>
      </c>
      <c r="P908" s="2" t="s">
        <v>44</v>
      </c>
      <c r="Q908" s="3" t="s">
        <v>44</v>
      </c>
      <c r="R908" s="2" t="s">
        <v>44</v>
      </c>
      <c r="S908" s="2" t="s">
        <v>56</v>
      </c>
      <c r="T908" s="5">
        <v>90700</v>
      </c>
      <c r="U908" s="5">
        <v>0</v>
      </c>
      <c r="V908" s="4">
        <v>7</v>
      </c>
      <c r="W908" s="4">
        <v>30</v>
      </c>
      <c r="X908" s="2" t="s">
        <v>44</v>
      </c>
      <c r="Y908" s="4">
        <v>0</v>
      </c>
      <c r="Z908" s="4">
        <v>1</v>
      </c>
      <c r="AA908" s="4">
        <v>0</v>
      </c>
      <c r="AB908" s="4">
        <v>0</v>
      </c>
      <c r="AC908" s="4">
        <v>2</v>
      </c>
      <c r="AD908" s="4">
        <v>7</v>
      </c>
      <c r="AE908" s="3" t="s">
        <v>45</v>
      </c>
      <c r="AG908">
        <f t="shared" ca="1" si="42"/>
        <v>12</v>
      </c>
      <c r="AH908" s="23" t="str" cm="1">
        <f t="array" ref="AH908">_xlfn.IFS(E908&gt;49,"50+",E908&gt;39,"40-49",E908&gt;29,"30-39",E908&gt;19,"20-29")</f>
        <v>40-49</v>
      </c>
      <c r="AI908" s="24" t="str" cm="1">
        <f t="array" aca="1" ref="AI908" ca="1">_xlfn.IFS(AG908&gt;10,"10+",AG908&gt;4,"5-10 YIL",AG908&gt;2,"3-5 YIL",AG908&gt;0.9,"1-3 YIL",AG908&lt;1,"0-1 YIL")</f>
        <v>10+</v>
      </c>
      <c r="AJ908">
        <f t="shared" si="43"/>
        <v>2013</v>
      </c>
      <c r="AK908" t="e">
        <f t="shared" si="44"/>
        <v>#VALUE!</v>
      </c>
    </row>
    <row r="909" spans="1:37" x14ac:dyDescent="0.3">
      <c r="A909" s="6" t="s">
        <v>1384</v>
      </c>
      <c r="B909" s="7" t="s">
        <v>685</v>
      </c>
      <c r="C909" s="6" t="s">
        <v>48</v>
      </c>
      <c r="D909" s="14">
        <v>31238</v>
      </c>
      <c r="E909" s="8">
        <v>41</v>
      </c>
      <c r="F909" s="6" t="s">
        <v>49</v>
      </c>
      <c r="G909" s="8">
        <v>3</v>
      </c>
      <c r="H909" s="6" t="s">
        <v>35</v>
      </c>
      <c r="I909" s="7" t="s">
        <v>139</v>
      </c>
      <c r="J909" s="7" t="s">
        <v>161</v>
      </c>
      <c r="K909" s="6" t="s">
        <v>51</v>
      </c>
      <c r="L909" s="6" t="s">
        <v>63</v>
      </c>
      <c r="M909" s="7" t="s">
        <v>162</v>
      </c>
      <c r="N909" s="6" t="s">
        <v>41</v>
      </c>
      <c r="O909" s="14">
        <v>44417</v>
      </c>
      <c r="P909" s="6" t="s">
        <v>44</v>
      </c>
      <c r="Q909" s="7" t="s">
        <v>44</v>
      </c>
      <c r="R909" s="6" t="s">
        <v>44</v>
      </c>
      <c r="S909" s="6" t="s">
        <v>56</v>
      </c>
      <c r="T909" s="9">
        <v>76500</v>
      </c>
      <c r="U909" s="9">
        <v>9400</v>
      </c>
      <c r="V909" s="8">
        <v>9</v>
      </c>
      <c r="W909" s="8">
        <v>30</v>
      </c>
      <c r="X909" s="6" t="s">
        <v>44</v>
      </c>
      <c r="Y909" s="8">
        <v>0</v>
      </c>
      <c r="Z909" s="8">
        <v>5</v>
      </c>
      <c r="AA909" s="8">
        <v>0</v>
      </c>
      <c r="AB909" s="8">
        <v>0</v>
      </c>
      <c r="AC909" s="8">
        <v>3</v>
      </c>
      <c r="AD909" s="8">
        <v>18</v>
      </c>
      <c r="AE909" s="7" t="s">
        <v>45</v>
      </c>
      <c r="AG909">
        <f t="shared" ca="1" si="42"/>
        <v>4</v>
      </c>
      <c r="AH909" s="23" t="str" cm="1">
        <f t="array" ref="AH909">_xlfn.IFS(E909&gt;49,"50+",E909&gt;39,"40-49",E909&gt;29,"30-39",E909&gt;19,"20-29")</f>
        <v>40-49</v>
      </c>
      <c r="AI909" s="24" t="str" cm="1">
        <f t="array" aca="1" ref="AI909" ca="1">_xlfn.IFS(AG909&gt;10,"10+",AG909&gt;4,"5-10 YIL",AG909&gt;2,"3-5 YIL",AG909&gt;0.9,"1-3 YIL",AG909&lt;1,"0-1 YIL")</f>
        <v>3-5 YIL</v>
      </c>
      <c r="AJ909">
        <f t="shared" si="43"/>
        <v>2021</v>
      </c>
      <c r="AK909" t="e">
        <f t="shared" si="44"/>
        <v>#VALUE!</v>
      </c>
    </row>
    <row r="910" spans="1:37" x14ac:dyDescent="0.3">
      <c r="A910" s="2" t="s">
        <v>1385</v>
      </c>
      <c r="B910" s="3" t="s">
        <v>551</v>
      </c>
      <c r="C910" s="2" t="s">
        <v>48</v>
      </c>
      <c r="D910" s="13">
        <v>36071</v>
      </c>
      <c r="E910" s="4">
        <v>28</v>
      </c>
      <c r="F910" s="2" t="s">
        <v>49</v>
      </c>
      <c r="G910" s="4">
        <v>0</v>
      </c>
      <c r="H910" s="2" t="s">
        <v>35</v>
      </c>
      <c r="I910" s="3" t="s">
        <v>36</v>
      </c>
      <c r="J910" s="3" t="s">
        <v>50</v>
      </c>
      <c r="K910" s="2" t="s">
        <v>51</v>
      </c>
      <c r="L910" s="2" t="s">
        <v>39</v>
      </c>
      <c r="M910" s="3" t="s">
        <v>40</v>
      </c>
      <c r="N910" s="2" t="s">
        <v>41</v>
      </c>
      <c r="O910" s="13">
        <v>42100</v>
      </c>
      <c r="P910" s="2" t="s">
        <v>44</v>
      </c>
      <c r="Q910" s="3" t="s">
        <v>44</v>
      </c>
      <c r="R910" s="2" t="s">
        <v>44</v>
      </c>
      <c r="S910" s="2" t="s">
        <v>56</v>
      </c>
      <c r="T910" s="5">
        <v>44200</v>
      </c>
      <c r="U910" s="5">
        <v>0</v>
      </c>
      <c r="V910" s="4">
        <v>10</v>
      </c>
      <c r="W910" s="4">
        <v>20</v>
      </c>
      <c r="X910" s="2" t="s">
        <v>57</v>
      </c>
      <c r="Y910" s="4">
        <v>10</v>
      </c>
      <c r="Z910" s="4">
        <v>4</v>
      </c>
      <c r="AA910" s="4">
        <v>0</v>
      </c>
      <c r="AB910" s="4">
        <v>0</v>
      </c>
      <c r="AC910" s="4">
        <v>3</v>
      </c>
      <c r="AD910" s="4">
        <v>14</v>
      </c>
      <c r="AE910" s="3" t="s">
        <v>58</v>
      </c>
      <c r="AG910">
        <f t="shared" ca="1" si="42"/>
        <v>11</v>
      </c>
      <c r="AH910" s="23" t="str" cm="1">
        <f t="array" ref="AH910">_xlfn.IFS(E910&gt;49,"50+",E910&gt;39,"40-49",E910&gt;29,"30-39",E910&gt;19,"20-29")</f>
        <v>20-29</v>
      </c>
      <c r="AI910" s="24" t="str" cm="1">
        <f t="array" aca="1" ref="AI910" ca="1">_xlfn.IFS(AG910&gt;10,"10+",AG910&gt;4,"5-10 YIL",AG910&gt;2,"3-5 YIL",AG910&gt;0.9,"1-3 YIL",AG910&lt;1,"0-1 YIL")</f>
        <v>10+</v>
      </c>
      <c r="AJ910">
        <f t="shared" si="43"/>
        <v>2015</v>
      </c>
      <c r="AK910" t="e">
        <f t="shared" si="44"/>
        <v>#VALUE!</v>
      </c>
    </row>
    <row r="911" spans="1:37" x14ac:dyDescent="0.3">
      <c r="A911" s="6" t="s">
        <v>1386</v>
      </c>
      <c r="B911" s="7" t="s">
        <v>138</v>
      </c>
      <c r="C911" s="6" t="s">
        <v>33</v>
      </c>
      <c r="D911" s="14">
        <v>37263</v>
      </c>
      <c r="E911" s="8">
        <v>24</v>
      </c>
      <c r="F911" s="6" t="s">
        <v>34</v>
      </c>
      <c r="G911" s="8">
        <v>0</v>
      </c>
      <c r="H911" s="6" t="s">
        <v>35</v>
      </c>
      <c r="I911" s="7" t="s">
        <v>36</v>
      </c>
      <c r="J911" s="7" t="s">
        <v>37</v>
      </c>
      <c r="K911" s="6" t="s">
        <v>38</v>
      </c>
      <c r="L911" s="6" t="s">
        <v>39</v>
      </c>
      <c r="M911" s="7" t="s">
        <v>40</v>
      </c>
      <c r="N911" s="6" t="s">
        <v>95</v>
      </c>
      <c r="O911" s="14">
        <v>45631</v>
      </c>
      <c r="P911" s="6" t="s">
        <v>44</v>
      </c>
      <c r="Q911" s="7" t="s">
        <v>44</v>
      </c>
      <c r="R911" s="6" t="s">
        <v>44</v>
      </c>
      <c r="S911" s="6" t="s">
        <v>56</v>
      </c>
      <c r="T911" s="9">
        <v>26800</v>
      </c>
      <c r="U911" s="9">
        <v>0</v>
      </c>
      <c r="V911" s="8">
        <v>25</v>
      </c>
      <c r="W911" s="8">
        <v>30</v>
      </c>
      <c r="X911" s="6" t="s">
        <v>44</v>
      </c>
      <c r="Y911" s="8">
        <v>0</v>
      </c>
      <c r="Z911" s="8">
        <v>0</v>
      </c>
      <c r="AA911" s="8">
        <v>0</v>
      </c>
      <c r="AB911" s="8">
        <v>0</v>
      </c>
      <c r="AC911" s="8">
        <v>3</v>
      </c>
      <c r="AD911" s="8">
        <v>19</v>
      </c>
      <c r="AE911" s="7" t="s">
        <v>82</v>
      </c>
      <c r="AG911">
        <f t="shared" ca="1" si="42"/>
        <v>1</v>
      </c>
      <c r="AH911" s="23" t="str" cm="1">
        <f t="array" ref="AH911">_xlfn.IFS(E911&gt;49,"50+",E911&gt;39,"40-49",E911&gt;29,"30-39",E911&gt;19,"20-29")</f>
        <v>20-29</v>
      </c>
      <c r="AI911" s="24" t="str" cm="1">
        <f t="array" aca="1" ref="AI911" ca="1">_xlfn.IFS(AG911&gt;10,"10+",AG911&gt;4,"5-10 YIL",AG911&gt;2,"3-5 YIL",AG911&gt;0.9,"1-3 YIL",AG911&lt;1,"0-1 YIL")</f>
        <v>1-3 YIL</v>
      </c>
      <c r="AJ911">
        <f t="shared" si="43"/>
        <v>2024</v>
      </c>
      <c r="AK911" t="e">
        <f t="shared" si="44"/>
        <v>#VALUE!</v>
      </c>
    </row>
    <row r="912" spans="1:37" x14ac:dyDescent="0.3">
      <c r="A912" s="2" t="s">
        <v>1387</v>
      </c>
      <c r="B912" s="3" t="s">
        <v>582</v>
      </c>
      <c r="C912" s="2" t="s">
        <v>48</v>
      </c>
      <c r="D912" s="13">
        <v>36121</v>
      </c>
      <c r="E912" s="4">
        <v>28</v>
      </c>
      <c r="F912" s="2" t="s">
        <v>49</v>
      </c>
      <c r="G912" s="4">
        <v>1</v>
      </c>
      <c r="H912" s="2" t="s">
        <v>88</v>
      </c>
      <c r="I912" s="3" t="s">
        <v>70</v>
      </c>
      <c r="J912" s="3" t="s">
        <v>92</v>
      </c>
      <c r="K912" s="2" t="s">
        <v>38</v>
      </c>
      <c r="L912" s="2" t="s">
        <v>63</v>
      </c>
      <c r="M912" s="3" t="s">
        <v>72</v>
      </c>
      <c r="N912" s="2" t="s">
        <v>41</v>
      </c>
      <c r="O912" s="13">
        <v>44992</v>
      </c>
      <c r="P912" s="2" t="s">
        <v>44</v>
      </c>
      <c r="Q912" s="3" t="s">
        <v>44</v>
      </c>
      <c r="R912" s="2" t="s">
        <v>44</v>
      </c>
      <c r="S912" s="2" t="s">
        <v>56</v>
      </c>
      <c r="T912" s="5">
        <v>36500</v>
      </c>
      <c r="U912" s="5">
        <v>0</v>
      </c>
      <c r="V912" s="4">
        <v>5</v>
      </c>
      <c r="W912" s="4">
        <v>30</v>
      </c>
      <c r="X912" s="2" t="s">
        <v>44</v>
      </c>
      <c r="Y912" s="4">
        <v>0</v>
      </c>
      <c r="Z912" s="4">
        <v>6</v>
      </c>
      <c r="AA912" s="4">
        <v>0</v>
      </c>
      <c r="AB912" s="4">
        <v>0</v>
      </c>
      <c r="AC912" s="4">
        <v>4</v>
      </c>
      <c r="AD912" s="4">
        <v>29</v>
      </c>
      <c r="AE912" s="3" t="s">
        <v>73</v>
      </c>
      <c r="AG912">
        <f t="shared" ca="1" si="42"/>
        <v>3</v>
      </c>
      <c r="AH912" s="23" t="str" cm="1">
        <f t="array" ref="AH912">_xlfn.IFS(E912&gt;49,"50+",E912&gt;39,"40-49",E912&gt;29,"30-39",E912&gt;19,"20-29")</f>
        <v>20-29</v>
      </c>
      <c r="AI912" s="24" t="str" cm="1">
        <f t="array" aca="1" ref="AI912" ca="1">_xlfn.IFS(AG912&gt;10,"10+",AG912&gt;4,"5-10 YIL",AG912&gt;2,"3-5 YIL",AG912&gt;0.9,"1-3 YIL",AG912&lt;1,"0-1 YIL")</f>
        <v>3-5 YIL</v>
      </c>
      <c r="AJ912">
        <f t="shared" si="43"/>
        <v>2023</v>
      </c>
      <c r="AK912" t="e">
        <f t="shared" si="44"/>
        <v>#VALUE!</v>
      </c>
    </row>
    <row r="913" spans="1:37" x14ac:dyDescent="0.3">
      <c r="A913" s="6" t="s">
        <v>1388</v>
      </c>
      <c r="B913" s="7" t="s">
        <v>386</v>
      </c>
      <c r="C913" s="6" t="s">
        <v>33</v>
      </c>
      <c r="D913" s="14">
        <v>36271</v>
      </c>
      <c r="E913" s="8">
        <v>27</v>
      </c>
      <c r="F913" s="6" t="s">
        <v>34</v>
      </c>
      <c r="G913" s="8">
        <v>0</v>
      </c>
      <c r="H913" s="6" t="s">
        <v>35</v>
      </c>
      <c r="I913" s="7" t="s">
        <v>36</v>
      </c>
      <c r="J913" s="7" t="s">
        <v>37</v>
      </c>
      <c r="K913" s="6" t="s">
        <v>38</v>
      </c>
      <c r="L913" s="6" t="s">
        <v>39</v>
      </c>
      <c r="M913" s="7" t="s">
        <v>40</v>
      </c>
      <c r="N913" s="6" t="s">
        <v>41</v>
      </c>
      <c r="O913" s="14">
        <v>45360</v>
      </c>
      <c r="P913" s="14">
        <v>45749</v>
      </c>
      <c r="Q913" s="7" t="s">
        <v>53</v>
      </c>
      <c r="R913" s="6">
        <v>4</v>
      </c>
      <c r="S913" s="6" t="s">
        <v>43</v>
      </c>
      <c r="T913" s="9">
        <v>27200</v>
      </c>
      <c r="U913" s="9">
        <v>0</v>
      </c>
      <c r="V913" s="8">
        <v>36</v>
      </c>
      <c r="W913" s="8">
        <v>30</v>
      </c>
      <c r="X913" s="6" t="s">
        <v>44</v>
      </c>
      <c r="Y913" s="8">
        <v>0</v>
      </c>
      <c r="Z913" s="8">
        <v>5</v>
      </c>
      <c r="AA913" s="8">
        <v>0</v>
      </c>
      <c r="AB913" s="8">
        <v>0</v>
      </c>
      <c r="AC913" s="8">
        <v>3</v>
      </c>
      <c r="AD913" s="8">
        <v>7</v>
      </c>
      <c r="AE913" s="7" t="s">
        <v>45</v>
      </c>
      <c r="AG913">
        <f t="shared" ca="1" si="42"/>
        <v>2</v>
      </c>
      <c r="AH913" s="23" t="str" cm="1">
        <f t="array" ref="AH913">_xlfn.IFS(E913&gt;49,"50+",E913&gt;39,"40-49",E913&gt;29,"30-39",E913&gt;19,"20-29")</f>
        <v>20-29</v>
      </c>
      <c r="AI913" s="24" t="str" cm="1">
        <f t="array" aca="1" ref="AI913" ca="1">_xlfn.IFS(AG913&gt;10,"10+",AG913&gt;4,"5-10 YIL",AG913&gt;2,"3-5 YIL",AG913&gt;0.9,"1-3 YIL",AG913&lt;1,"0-1 YIL")</f>
        <v>1-3 YIL</v>
      </c>
      <c r="AJ913">
        <f t="shared" si="43"/>
        <v>2024</v>
      </c>
      <c r="AK913">
        <f t="shared" si="44"/>
        <v>2025</v>
      </c>
    </row>
    <row r="914" spans="1:37" x14ac:dyDescent="0.3">
      <c r="A914" s="2" t="s">
        <v>1389</v>
      </c>
      <c r="B914" s="3" t="s">
        <v>587</v>
      </c>
      <c r="C914" s="2" t="s">
        <v>48</v>
      </c>
      <c r="D914" s="13">
        <v>31055</v>
      </c>
      <c r="E914" s="4">
        <v>41</v>
      </c>
      <c r="F914" s="2" t="s">
        <v>49</v>
      </c>
      <c r="G914" s="4">
        <v>0</v>
      </c>
      <c r="H914" s="2" t="s">
        <v>35</v>
      </c>
      <c r="I914" s="3" t="s">
        <v>36</v>
      </c>
      <c r="J914" s="3" t="s">
        <v>78</v>
      </c>
      <c r="K914" s="2" t="s">
        <v>79</v>
      </c>
      <c r="L914" s="2" t="s">
        <v>63</v>
      </c>
      <c r="M914" s="3" t="s">
        <v>80</v>
      </c>
      <c r="N914" s="2" t="s">
        <v>67</v>
      </c>
      <c r="O914" s="13">
        <v>41915</v>
      </c>
      <c r="P914" s="2" t="s">
        <v>44</v>
      </c>
      <c r="Q914" s="3" t="s">
        <v>44</v>
      </c>
      <c r="R914" s="2" t="s">
        <v>44</v>
      </c>
      <c r="S914" s="2" t="s">
        <v>56</v>
      </c>
      <c r="T914" s="5">
        <v>107800</v>
      </c>
      <c r="U914" s="5">
        <v>0</v>
      </c>
      <c r="V914" s="4">
        <v>4</v>
      </c>
      <c r="W914" s="4">
        <v>30</v>
      </c>
      <c r="X914" s="2" t="s">
        <v>44</v>
      </c>
      <c r="Y914" s="4">
        <v>0</v>
      </c>
      <c r="Z914" s="4">
        <v>11</v>
      </c>
      <c r="AA914" s="4">
        <v>0</v>
      </c>
      <c r="AB914" s="4">
        <v>0</v>
      </c>
      <c r="AC914" s="4">
        <v>3</v>
      </c>
      <c r="AD914" s="4">
        <v>9</v>
      </c>
      <c r="AE914" s="3" t="s">
        <v>82</v>
      </c>
      <c r="AG914">
        <f t="shared" ca="1" si="42"/>
        <v>11</v>
      </c>
      <c r="AH914" s="23" t="str" cm="1">
        <f t="array" ref="AH914">_xlfn.IFS(E914&gt;49,"50+",E914&gt;39,"40-49",E914&gt;29,"30-39",E914&gt;19,"20-29")</f>
        <v>40-49</v>
      </c>
      <c r="AI914" s="24" t="str" cm="1">
        <f t="array" aca="1" ref="AI914" ca="1">_xlfn.IFS(AG914&gt;10,"10+",AG914&gt;4,"5-10 YIL",AG914&gt;2,"3-5 YIL",AG914&gt;0.9,"1-3 YIL",AG914&lt;1,"0-1 YIL")</f>
        <v>10+</v>
      </c>
      <c r="AJ914">
        <f t="shared" si="43"/>
        <v>2014</v>
      </c>
      <c r="AK914" t="e">
        <f t="shared" si="44"/>
        <v>#VALUE!</v>
      </c>
    </row>
    <row r="915" spans="1:37" x14ac:dyDescent="0.3">
      <c r="A915" s="6" t="s">
        <v>1390</v>
      </c>
      <c r="B915" s="7" t="s">
        <v>1204</v>
      </c>
      <c r="C915" s="6" t="s">
        <v>33</v>
      </c>
      <c r="D915" s="14">
        <v>33913</v>
      </c>
      <c r="E915" s="8">
        <v>34</v>
      </c>
      <c r="F915" s="6" t="s">
        <v>49</v>
      </c>
      <c r="G915" s="8">
        <v>0</v>
      </c>
      <c r="H915" s="6" t="s">
        <v>35</v>
      </c>
      <c r="I915" s="7" t="s">
        <v>61</v>
      </c>
      <c r="J915" s="7" t="s">
        <v>107</v>
      </c>
      <c r="K915" s="6" t="s">
        <v>51</v>
      </c>
      <c r="L915" s="6" t="s">
        <v>63</v>
      </c>
      <c r="M915" s="7" t="s">
        <v>64</v>
      </c>
      <c r="N915" s="6" t="s">
        <v>41</v>
      </c>
      <c r="O915" s="14">
        <v>42699</v>
      </c>
      <c r="P915" s="6" t="s">
        <v>44</v>
      </c>
      <c r="Q915" s="7" t="s">
        <v>44</v>
      </c>
      <c r="R915" s="6" t="s">
        <v>44</v>
      </c>
      <c r="S915" s="6" t="s">
        <v>56</v>
      </c>
      <c r="T915" s="9">
        <v>56400</v>
      </c>
      <c r="U915" s="9">
        <v>0</v>
      </c>
      <c r="V915" s="8">
        <v>5</v>
      </c>
      <c r="W915" s="8">
        <v>30</v>
      </c>
      <c r="X915" s="6" t="s">
        <v>44</v>
      </c>
      <c r="Y915" s="8">
        <v>0</v>
      </c>
      <c r="Z915" s="8">
        <v>12</v>
      </c>
      <c r="AA915" s="8">
        <v>0</v>
      </c>
      <c r="AB915" s="8">
        <v>0</v>
      </c>
      <c r="AC915" s="8">
        <v>3</v>
      </c>
      <c r="AD915" s="8">
        <v>19</v>
      </c>
      <c r="AE915" s="7" t="s">
        <v>45</v>
      </c>
      <c r="AG915">
        <f t="shared" ca="1" si="42"/>
        <v>9</v>
      </c>
      <c r="AH915" s="23" t="str" cm="1">
        <f t="array" ref="AH915">_xlfn.IFS(E915&gt;49,"50+",E915&gt;39,"40-49",E915&gt;29,"30-39",E915&gt;19,"20-29")</f>
        <v>30-39</v>
      </c>
      <c r="AI915" s="24" t="str" cm="1">
        <f t="array" aca="1" ref="AI915" ca="1">_xlfn.IFS(AG915&gt;10,"10+",AG915&gt;4,"5-10 YIL",AG915&gt;2,"3-5 YIL",AG915&gt;0.9,"1-3 YIL",AG915&lt;1,"0-1 YIL")</f>
        <v>5-10 YIL</v>
      </c>
      <c r="AJ915">
        <f t="shared" si="43"/>
        <v>2016</v>
      </c>
      <c r="AK915" t="e">
        <f t="shared" si="44"/>
        <v>#VALUE!</v>
      </c>
    </row>
    <row r="916" spans="1:37" x14ac:dyDescent="0.3">
      <c r="A916" s="2" t="s">
        <v>1391</v>
      </c>
      <c r="B916" s="3" t="s">
        <v>828</v>
      </c>
      <c r="C916" s="2" t="s">
        <v>48</v>
      </c>
      <c r="D916" s="13">
        <v>38275</v>
      </c>
      <c r="E916" s="4">
        <v>22</v>
      </c>
      <c r="F916" s="2" t="s">
        <v>49</v>
      </c>
      <c r="G916" s="4">
        <v>0</v>
      </c>
      <c r="H916" s="2" t="s">
        <v>184</v>
      </c>
      <c r="I916" s="3" t="s">
        <v>36</v>
      </c>
      <c r="J916" s="3" t="s">
        <v>37</v>
      </c>
      <c r="K916" s="2" t="s">
        <v>38</v>
      </c>
      <c r="L916" s="2" t="s">
        <v>39</v>
      </c>
      <c r="M916" s="3" t="s">
        <v>40</v>
      </c>
      <c r="N916" s="2" t="s">
        <v>41</v>
      </c>
      <c r="O916" s="13">
        <v>44876</v>
      </c>
      <c r="P916" s="2" t="s">
        <v>44</v>
      </c>
      <c r="Q916" s="3" t="s">
        <v>44</v>
      </c>
      <c r="R916" s="2" t="s">
        <v>44</v>
      </c>
      <c r="S916" s="2" t="s">
        <v>56</v>
      </c>
      <c r="T916" s="5">
        <v>27500</v>
      </c>
      <c r="U916" s="5">
        <v>0</v>
      </c>
      <c r="V916" s="4">
        <v>40</v>
      </c>
      <c r="W916" s="4">
        <v>30</v>
      </c>
      <c r="X916" s="2" t="s">
        <v>44</v>
      </c>
      <c r="Y916" s="4">
        <v>0</v>
      </c>
      <c r="Z916" s="4">
        <v>3</v>
      </c>
      <c r="AA916" s="4">
        <v>0</v>
      </c>
      <c r="AB916" s="4">
        <v>0</v>
      </c>
      <c r="AC916" s="4">
        <v>3</v>
      </c>
      <c r="AD916" s="4">
        <v>2</v>
      </c>
      <c r="AE916" s="3" t="s">
        <v>45</v>
      </c>
      <c r="AG916">
        <f t="shared" ca="1" si="42"/>
        <v>3</v>
      </c>
      <c r="AH916" s="23" t="str" cm="1">
        <f t="array" ref="AH916">_xlfn.IFS(E916&gt;49,"50+",E916&gt;39,"40-49",E916&gt;29,"30-39",E916&gt;19,"20-29")</f>
        <v>20-29</v>
      </c>
      <c r="AI916" s="24" t="str" cm="1">
        <f t="array" aca="1" ref="AI916" ca="1">_xlfn.IFS(AG916&gt;10,"10+",AG916&gt;4,"5-10 YIL",AG916&gt;2,"3-5 YIL",AG916&gt;0.9,"1-3 YIL",AG916&lt;1,"0-1 YIL")</f>
        <v>3-5 YIL</v>
      </c>
      <c r="AJ916">
        <f t="shared" si="43"/>
        <v>2022</v>
      </c>
      <c r="AK916" t="e">
        <f t="shared" si="44"/>
        <v>#VALUE!</v>
      </c>
    </row>
    <row r="917" spans="1:37" x14ac:dyDescent="0.3">
      <c r="A917" s="6" t="s">
        <v>1392</v>
      </c>
      <c r="B917" s="7" t="s">
        <v>1037</v>
      </c>
      <c r="C917" s="6" t="s">
        <v>48</v>
      </c>
      <c r="D917" s="14">
        <v>36334</v>
      </c>
      <c r="E917" s="8">
        <v>27</v>
      </c>
      <c r="F917" s="6" t="s">
        <v>49</v>
      </c>
      <c r="G917" s="8">
        <v>1</v>
      </c>
      <c r="H917" s="6" t="s">
        <v>35</v>
      </c>
      <c r="I917" s="7" t="s">
        <v>36</v>
      </c>
      <c r="J917" s="7" t="s">
        <v>37</v>
      </c>
      <c r="K917" s="6" t="s">
        <v>38</v>
      </c>
      <c r="L917" s="6" t="s">
        <v>39</v>
      </c>
      <c r="M917" s="7" t="s">
        <v>40</v>
      </c>
      <c r="N917" s="6" t="s">
        <v>41</v>
      </c>
      <c r="O917" s="14">
        <v>46169</v>
      </c>
      <c r="P917" s="6" t="s">
        <v>44</v>
      </c>
      <c r="Q917" s="7" t="s">
        <v>44</v>
      </c>
      <c r="R917" s="6" t="s">
        <v>44</v>
      </c>
      <c r="S917" s="6" t="s">
        <v>56</v>
      </c>
      <c r="T917" s="9">
        <v>28500</v>
      </c>
      <c r="U917" s="9">
        <v>0</v>
      </c>
      <c r="V917" s="8">
        <v>10</v>
      </c>
      <c r="W917" s="8">
        <v>29</v>
      </c>
      <c r="X917" s="6" t="s">
        <v>57</v>
      </c>
      <c r="Y917" s="8">
        <v>1</v>
      </c>
      <c r="Z917" s="8">
        <v>0</v>
      </c>
      <c r="AA917" s="8">
        <v>0</v>
      </c>
      <c r="AB917" s="8">
        <v>0</v>
      </c>
      <c r="AC917" s="8">
        <v>4</v>
      </c>
      <c r="AD917" s="8">
        <v>23</v>
      </c>
      <c r="AE917" s="7" t="s">
        <v>45</v>
      </c>
      <c r="AG917">
        <f t="shared" ca="1" si="42"/>
        <v>0</v>
      </c>
      <c r="AH917" s="23" t="str" cm="1">
        <f t="array" ref="AH917">_xlfn.IFS(E917&gt;49,"50+",E917&gt;39,"40-49",E917&gt;29,"30-39",E917&gt;19,"20-29")</f>
        <v>20-29</v>
      </c>
      <c r="AI917" s="24" t="str" cm="1">
        <f t="array" aca="1" ref="AI917" ca="1">_xlfn.IFS(AG917&gt;10,"10+",AG917&gt;4,"5-10 YIL",AG917&gt;2,"3-5 YIL",AG917&gt;0.9,"1-3 YIL",AG917&lt;1,"0-1 YIL")</f>
        <v>0-1 YIL</v>
      </c>
      <c r="AJ917">
        <f t="shared" si="43"/>
        <v>2026</v>
      </c>
      <c r="AK917" t="e">
        <f t="shared" si="44"/>
        <v>#VALUE!</v>
      </c>
    </row>
    <row r="918" spans="1:37" x14ac:dyDescent="0.3">
      <c r="A918" s="2" t="s">
        <v>1393</v>
      </c>
      <c r="B918" s="3" t="s">
        <v>256</v>
      </c>
      <c r="C918" s="2" t="s">
        <v>48</v>
      </c>
      <c r="D918" s="13">
        <v>35834</v>
      </c>
      <c r="E918" s="4">
        <v>28</v>
      </c>
      <c r="F918" s="2" t="s">
        <v>49</v>
      </c>
      <c r="G918" s="4">
        <v>0</v>
      </c>
      <c r="H918" s="2" t="s">
        <v>88</v>
      </c>
      <c r="I918" s="3" t="s">
        <v>36</v>
      </c>
      <c r="J918" s="3" t="s">
        <v>37</v>
      </c>
      <c r="K918" s="2" t="s">
        <v>38</v>
      </c>
      <c r="L918" s="2" t="s">
        <v>39</v>
      </c>
      <c r="M918" s="3" t="s">
        <v>40</v>
      </c>
      <c r="N918" s="2" t="s">
        <v>41</v>
      </c>
      <c r="O918" s="13">
        <v>44888</v>
      </c>
      <c r="P918" s="2" t="s">
        <v>44</v>
      </c>
      <c r="Q918" s="3" t="s">
        <v>44</v>
      </c>
      <c r="R918" s="2" t="s">
        <v>44</v>
      </c>
      <c r="S918" s="2" t="s">
        <v>56</v>
      </c>
      <c r="T918" s="5">
        <v>25900</v>
      </c>
      <c r="U918" s="5">
        <v>0</v>
      </c>
      <c r="V918" s="4">
        <v>19</v>
      </c>
      <c r="W918" s="4">
        <v>29</v>
      </c>
      <c r="X918" s="2" t="s">
        <v>81</v>
      </c>
      <c r="Y918" s="4">
        <v>0</v>
      </c>
      <c r="Z918" s="4">
        <v>0</v>
      </c>
      <c r="AA918" s="4">
        <v>1</v>
      </c>
      <c r="AB918" s="4">
        <v>0</v>
      </c>
      <c r="AC918" s="4">
        <v>4</v>
      </c>
      <c r="AD918" s="4">
        <v>30</v>
      </c>
      <c r="AE918" s="3" t="s">
        <v>45</v>
      </c>
      <c r="AG918">
        <f t="shared" ca="1" si="42"/>
        <v>3</v>
      </c>
      <c r="AH918" s="23" t="str" cm="1">
        <f t="array" ref="AH918">_xlfn.IFS(E918&gt;49,"50+",E918&gt;39,"40-49",E918&gt;29,"30-39",E918&gt;19,"20-29")</f>
        <v>20-29</v>
      </c>
      <c r="AI918" s="24" t="str" cm="1">
        <f t="array" aca="1" ref="AI918" ca="1">_xlfn.IFS(AG918&gt;10,"10+",AG918&gt;4,"5-10 YIL",AG918&gt;2,"3-5 YIL",AG918&gt;0.9,"1-3 YIL",AG918&lt;1,"0-1 YIL")</f>
        <v>3-5 YIL</v>
      </c>
      <c r="AJ918">
        <f t="shared" si="43"/>
        <v>2022</v>
      </c>
      <c r="AK918" t="e">
        <f t="shared" si="44"/>
        <v>#VALUE!</v>
      </c>
    </row>
    <row r="919" spans="1:37" x14ac:dyDescent="0.3">
      <c r="A919" s="6" t="s">
        <v>1394</v>
      </c>
      <c r="B919" s="7" t="s">
        <v>209</v>
      </c>
      <c r="C919" s="6" t="s">
        <v>48</v>
      </c>
      <c r="D919" s="14">
        <v>38294</v>
      </c>
      <c r="E919" s="8">
        <v>22</v>
      </c>
      <c r="F919" s="6" t="s">
        <v>49</v>
      </c>
      <c r="G919" s="8">
        <v>3</v>
      </c>
      <c r="H919" s="6" t="s">
        <v>35</v>
      </c>
      <c r="I919" s="7" t="s">
        <v>148</v>
      </c>
      <c r="J919" s="7" t="s">
        <v>252</v>
      </c>
      <c r="K919" s="6" t="s">
        <v>38</v>
      </c>
      <c r="L919" s="6" t="s">
        <v>63</v>
      </c>
      <c r="M919" s="7" t="s">
        <v>150</v>
      </c>
      <c r="N919" s="6" t="s">
        <v>95</v>
      </c>
      <c r="O919" s="14">
        <v>45869</v>
      </c>
      <c r="P919" s="6" t="s">
        <v>44</v>
      </c>
      <c r="Q919" s="7" t="s">
        <v>44</v>
      </c>
      <c r="R919" s="6" t="s">
        <v>44</v>
      </c>
      <c r="S919" s="6" t="s">
        <v>56</v>
      </c>
      <c r="T919" s="9">
        <v>35200</v>
      </c>
      <c r="U919" s="9">
        <v>0</v>
      </c>
      <c r="V919" s="8">
        <v>2</v>
      </c>
      <c r="W919" s="8">
        <v>30</v>
      </c>
      <c r="X919" s="6" t="s">
        <v>44</v>
      </c>
      <c r="Y919" s="8">
        <v>0</v>
      </c>
      <c r="Z919" s="8">
        <v>0</v>
      </c>
      <c r="AA919" s="8">
        <v>0</v>
      </c>
      <c r="AB919" s="8">
        <v>0</v>
      </c>
      <c r="AC919" s="8">
        <v>4</v>
      </c>
      <c r="AD919" s="8">
        <v>33</v>
      </c>
      <c r="AE919" s="7" t="s">
        <v>58</v>
      </c>
      <c r="AG919">
        <f t="shared" ca="1" si="42"/>
        <v>0</v>
      </c>
      <c r="AH919" s="23" t="str" cm="1">
        <f t="array" ref="AH919">_xlfn.IFS(E919&gt;49,"50+",E919&gt;39,"40-49",E919&gt;29,"30-39",E919&gt;19,"20-29")</f>
        <v>20-29</v>
      </c>
      <c r="AI919" s="24" t="str" cm="1">
        <f t="array" aca="1" ref="AI919" ca="1">_xlfn.IFS(AG919&gt;10,"10+",AG919&gt;4,"5-10 YIL",AG919&gt;2,"3-5 YIL",AG919&gt;0.9,"1-3 YIL",AG919&lt;1,"0-1 YIL")</f>
        <v>0-1 YIL</v>
      </c>
      <c r="AJ919">
        <f t="shared" si="43"/>
        <v>2025</v>
      </c>
      <c r="AK919" t="e">
        <f t="shared" si="44"/>
        <v>#VALUE!</v>
      </c>
    </row>
    <row r="920" spans="1:37" x14ac:dyDescent="0.3">
      <c r="A920" s="2" t="s">
        <v>1395</v>
      </c>
      <c r="B920" s="3" t="s">
        <v>565</v>
      </c>
      <c r="C920" s="2" t="s">
        <v>48</v>
      </c>
      <c r="D920" s="13">
        <v>31359</v>
      </c>
      <c r="E920" s="4">
        <v>41</v>
      </c>
      <c r="F920" s="2" t="s">
        <v>49</v>
      </c>
      <c r="G920" s="4">
        <v>3</v>
      </c>
      <c r="H920" s="2" t="s">
        <v>35</v>
      </c>
      <c r="I920" s="3" t="s">
        <v>36</v>
      </c>
      <c r="J920" s="3" t="s">
        <v>78</v>
      </c>
      <c r="K920" s="2" t="s">
        <v>79</v>
      </c>
      <c r="L920" s="2" t="s">
        <v>63</v>
      </c>
      <c r="M920" s="3" t="s">
        <v>80</v>
      </c>
      <c r="N920" s="2" t="s">
        <v>41</v>
      </c>
      <c r="O920" s="13">
        <v>39874</v>
      </c>
      <c r="P920" s="2" t="s">
        <v>44</v>
      </c>
      <c r="Q920" s="3" t="s">
        <v>44</v>
      </c>
      <c r="R920" s="2" t="s">
        <v>44</v>
      </c>
      <c r="S920" s="2" t="s">
        <v>56</v>
      </c>
      <c r="T920" s="5">
        <v>97100</v>
      </c>
      <c r="U920" s="5">
        <v>0</v>
      </c>
      <c r="V920" s="4">
        <v>1</v>
      </c>
      <c r="W920" s="4">
        <v>29</v>
      </c>
      <c r="X920" s="2" t="s">
        <v>57</v>
      </c>
      <c r="Y920" s="4">
        <v>1</v>
      </c>
      <c r="Z920" s="4">
        <v>12</v>
      </c>
      <c r="AA920" s="4">
        <v>0</v>
      </c>
      <c r="AB920" s="4">
        <v>0</v>
      </c>
      <c r="AC920" s="4">
        <v>3</v>
      </c>
      <c r="AD920" s="4">
        <v>5</v>
      </c>
      <c r="AE920" s="3" t="s">
        <v>45</v>
      </c>
      <c r="AG920">
        <f t="shared" ca="1" si="42"/>
        <v>17</v>
      </c>
      <c r="AH920" s="23" t="str" cm="1">
        <f t="array" ref="AH920">_xlfn.IFS(E920&gt;49,"50+",E920&gt;39,"40-49",E920&gt;29,"30-39",E920&gt;19,"20-29")</f>
        <v>40-49</v>
      </c>
      <c r="AI920" s="24" t="str" cm="1">
        <f t="array" aca="1" ref="AI920" ca="1">_xlfn.IFS(AG920&gt;10,"10+",AG920&gt;4,"5-10 YIL",AG920&gt;2,"3-5 YIL",AG920&gt;0.9,"1-3 YIL",AG920&lt;1,"0-1 YIL")</f>
        <v>10+</v>
      </c>
      <c r="AJ920">
        <f t="shared" si="43"/>
        <v>2009</v>
      </c>
      <c r="AK920" t="e">
        <f t="shared" si="44"/>
        <v>#VALUE!</v>
      </c>
    </row>
    <row r="921" spans="1:37" x14ac:dyDescent="0.3">
      <c r="A921" s="6" t="s">
        <v>1396</v>
      </c>
      <c r="B921" s="7" t="s">
        <v>225</v>
      </c>
      <c r="C921" s="6" t="s">
        <v>33</v>
      </c>
      <c r="D921" s="14">
        <v>32358</v>
      </c>
      <c r="E921" s="8">
        <v>38</v>
      </c>
      <c r="F921" s="6" t="s">
        <v>34</v>
      </c>
      <c r="G921" s="8">
        <v>0</v>
      </c>
      <c r="H921" s="6" t="s">
        <v>85</v>
      </c>
      <c r="I921" s="7" t="s">
        <v>70</v>
      </c>
      <c r="J921" s="7" t="s">
        <v>71</v>
      </c>
      <c r="K921" s="6" t="s">
        <v>51</v>
      </c>
      <c r="L921" s="6" t="s">
        <v>63</v>
      </c>
      <c r="M921" s="7" t="s">
        <v>72</v>
      </c>
      <c r="N921" s="6" t="s">
        <v>67</v>
      </c>
      <c r="O921" s="14">
        <v>44220</v>
      </c>
      <c r="P921" s="14">
        <v>46027</v>
      </c>
      <c r="Q921" s="7" t="s">
        <v>177</v>
      </c>
      <c r="R921" s="6">
        <v>3</v>
      </c>
      <c r="S921" s="6" t="s">
        <v>43</v>
      </c>
      <c r="T921" s="9">
        <v>58600</v>
      </c>
      <c r="U921" s="9">
        <v>0</v>
      </c>
      <c r="V921" s="8">
        <v>9</v>
      </c>
      <c r="W921" s="8">
        <v>27</v>
      </c>
      <c r="X921" s="6" t="s">
        <v>57</v>
      </c>
      <c r="Y921" s="8">
        <v>3</v>
      </c>
      <c r="Z921" s="8">
        <v>1</v>
      </c>
      <c r="AA921" s="8">
        <v>0</v>
      </c>
      <c r="AB921" s="8">
        <v>0</v>
      </c>
      <c r="AC921" s="8">
        <v>4</v>
      </c>
      <c r="AD921" s="8">
        <v>38</v>
      </c>
      <c r="AE921" s="7" t="s">
        <v>58</v>
      </c>
      <c r="AG921">
        <f t="shared" ca="1" si="42"/>
        <v>5</v>
      </c>
      <c r="AH921" s="23" t="str" cm="1">
        <f t="array" ref="AH921">_xlfn.IFS(E921&gt;49,"50+",E921&gt;39,"40-49",E921&gt;29,"30-39",E921&gt;19,"20-29")</f>
        <v>30-39</v>
      </c>
      <c r="AI921" s="24" t="str" cm="1">
        <f t="array" aca="1" ref="AI921" ca="1">_xlfn.IFS(AG921&gt;10,"10+",AG921&gt;4,"5-10 YIL",AG921&gt;2,"3-5 YIL",AG921&gt;0.9,"1-3 YIL",AG921&lt;1,"0-1 YIL")</f>
        <v>5-10 YIL</v>
      </c>
      <c r="AJ921">
        <f t="shared" si="43"/>
        <v>2021</v>
      </c>
      <c r="AK921">
        <f t="shared" si="44"/>
        <v>2026</v>
      </c>
    </row>
    <row r="922" spans="1:37" x14ac:dyDescent="0.3">
      <c r="A922" s="2" t="s">
        <v>1397</v>
      </c>
      <c r="B922" s="3" t="s">
        <v>1088</v>
      </c>
      <c r="C922" s="2" t="s">
        <v>48</v>
      </c>
      <c r="D922" s="13">
        <v>30874</v>
      </c>
      <c r="E922" s="4">
        <v>42</v>
      </c>
      <c r="F922" s="2" t="s">
        <v>49</v>
      </c>
      <c r="G922" s="4">
        <v>0</v>
      </c>
      <c r="H922" s="2" t="s">
        <v>85</v>
      </c>
      <c r="I922" s="3" t="s">
        <v>70</v>
      </c>
      <c r="J922" s="3" t="s">
        <v>71</v>
      </c>
      <c r="K922" s="2" t="s">
        <v>51</v>
      </c>
      <c r="L922" s="2" t="s">
        <v>63</v>
      </c>
      <c r="M922" s="3" t="s">
        <v>72</v>
      </c>
      <c r="N922" s="2" t="s">
        <v>41</v>
      </c>
      <c r="O922" s="13">
        <v>44773</v>
      </c>
      <c r="P922" s="2" t="s">
        <v>44</v>
      </c>
      <c r="Q922" s="3" t="s">
        <v>44</v>
      </c>
      <c r="R922" s="2" t="s">
        <v>44</v>
      </c>
      <c r="S922" s="2" t="s">
        <v>56</v>
      </c>
      <c r="T922" s="5">
        <v>58500</v>
      </c>
      <c r="U922" s="5">
        <v>0</v>
      </c>
      <c r="V922" s="4">
        <v>1</v>
      </c>
      <c r="W922" s="4">
        <v>29</v>
      </c>
      <c r="X922" s="2" t="s">
        <v>57</v>
      </c>
      <c r="Y922" s="4">
        <v>1</v>
      </c>
      <c r="Z922" s="4">
        <v>10</v>
      </c>
      <c r="AA922" s="4">
        <v>0</v>
      </c>
      <c r="AB922" s="4">
        <v>0</v>
      </c>
      <c r="AC922" s="4">
        <v>3</v>
      </c>
      <c r="AD922" s="4">
        <v>12</v>
      </c>
      <c r="AE922" s="3" t="s">
        <v>82</v>
      </c>
      <c r="AG922">
        <f t="shared" ca="1" si="42"/>
        <v>3</v>
      </c>
      <c r="AH922" s="23" t="str" cm="1">
        <f t="array" ref="AH922">_xlfn.IFS(E922&gt;49,"50+",E922&gt;39,"40-49",E922&gt;29,"30-39",E922&gt;19,"20-29")</f>
        <v>40-49</v>
      </c>
      <c r="AI922" s="24" t="str" cm="1">
        <f t="array" aca="1" ref="AI922" ca="1">_xlfn.IFS(AG922&gt;10,"10+",AG922&gt;4,"5-10 YIL",AG922&gt;2,"3-5 YIL",AG922&gt;0.9,"1-3 YIL",AG922&lt;1,"0-1 YIL")</f>
        <v>3-5 YIL</v>
      </c>
      <c r="AJ922">
        <f t="shared" si="43"/>
        <v>2022</v>
      </c>
      <c r="AK922" t="e">
        <f t="shared" si="44"/>
        <v>#VALUE!</v>
      </c>
    </row>
    <row r="923" spans="1:37" x14ac:dyDescent="0.3">
      <c r="A923" s="6" t="s">
        <v>1398</v>
      </c>
      <c r="B923" s="7" t="s">
        <v>319</v>
      </c>
      <c r="C923" s="6" t="s">
        <v>48</v>
      </c>
      <c r="D923" s="14">
        <v>37211</v>
      </c>
      <c r="E923" s="8">
        <v>25</v>
      </c>
      <c r="F923" s="6" t="s">
        <v>49</v>
      </c>
      <c r="G923" s="8">
        <v>0</v>
      </c>
      <c r="H923" s="6" t="s">
        <v>35</v>
      </c>
      <c r="I923" s="7" t="s">
        <v>70</v>
      </c>
      <c r="J923" s="7" t="s">
        <v>92</v>
      </c>
      <c r="K923" s="6" t="s">
        <v>38</v>
      </c>
      <c r="L923" s="6" t="s">
        <v>63</v>
      </c>
      <c r="M923" s="7" t="s">
        <v>72</v>
      </c>
      <c r="N923" s="6" t="s">
        <v>95</v>
      </c>
      <c r="O923" s="14">
        <v>45749</v>
      </c>
      <c r="P923" s="6" t="s">
        <v>44</v>
      </c>
      <c r="Q923" s="7" t="s">
        <v>44</v>
      </c>
      <c r="R923" s="6" t="s">
        <v>44</v>
      </c>
      <c r="S923" s="6" t="s">
        <v>56</v>
      </c>
      <c r="T923" s="9">
        <v>35600</v>
      </c>
      <c r="U923" s="9">
        <v>3400</v>
      </c>
      <c r="V923" s="8">
        <v>0</v>
      </c>
      <c r="W923" s="8">
        <v>24</v>
      </c>
      <c r="X923" s="6" t="s">
        <v>57</v>
      </c>
      <c r="Y923" s="8">
        <v>3</v>
      </c>
      <c r="Z923" s="8">
        <v>4</v>
      </c>
      <c r="AA923" s="8">
        <v>3</v>
      </c>
      <c r="AB923" s="8">
        <v>0</v>
      </c>
      <c r="AC923" s="8">
        <v>4</v>
      </c>
      <c r="AD923" s="8">
        <v>38</v>
      </c>
      <c r="AE923" s="7" t="s">
        <v>82</v>
      </c>
      <c r="AG923">
        <f t="shared" ca="1" si="42"/>
        <v>1</v>
      </c>
      <c r="AH923" s="23" t="str" cm="1">
        <f t="array" ref="AH923">_xlfn.IFS(E923&gt;49,"50+",E923&gt;39,"40-49",E923&gt;29,"30-39",E923&gt;19,"20-29")</f>
        <v>20-29</v>
      </c>
      <c r="AI923" s="24" t="str" cm="1">
        <f t="array" aca="1" ref="AI923" ca="1">_xlfn.IFS(AG923&gt;10,"10+",AG923&gt;4,"5-10 YIL",AG923&gt;2,"3-5 YIL",AG923&gt;0.9,"1-3 YIL",AG923&lt;1,"0-1 YIL")</f>
        <v>1-3 YIL</v>
      </c>
      <c r="AJ923">
        <f t="shared" si="43"/>
        <v>2025</v>
      </c>
      <c r="AK923" t="e">
        <f t="shared" si="44"/>
        <v>#VALUE!</v>
      </c>
    </row>
    <row r="924" spans="1:37" x14ac:dyDescent="0.3">
      <c r="A924" s="2" t="s">
        <v>1399</v>
      </c>
      <c r="B924" s="3" t="s">
        <v>1123</v>
      </c>
      <c r="C924" s="2" t="s">
        <v>48</v>
      </c>
      <c r="D924" s="13">
        <v>36351</v>
      </c>
      <c r="E924" s="4">
        <v>27</v>
      </c>
      <c r="F924" s="2" t="s">
        <v>34</v>
      </c>
      <c r="G924" s="4">
        <v>0</v>
      </c>
      <c r="H924" s="2" t="s">
        <v>35</v>
      </c>
      <c r="I924" s="3" t="s">
        <v>36</v>
      </c>
      <c r="J924" s="3" t="s">
        <v>37</v>
      </c>
      <c r="K924" s="2" t="s">
        <v>38</v>
      </c>
      <c r="L924" s="2" t="s">
        <v>39</v>
      </c>
      <c r="M924" s="3" t="s">
        <v>40</v>
      </c>
      <c r="N924" s="2" t="s">
        <v>52</v>
      </c>
      <c r="O924" s="13">
        <v>46143</v>
      </c>
      <c r="P924" s="2" t="s">
        <v>44</v>
      </c>
      <c r="Q924" s="3" t="s">
        <v>44</v>
      </c>
      <c r="R924" s="2" t="s">
        <v>44</v>
      </c>
      <c r="S924" s="2" t="s">
        <v>56</v>
      </c>
      <c r="T924" s="5">
        <v>26100</v>
      </c>
      <c r="U924" s="5">
        <v>0</v>
      </c>
      <c r="V924" s="4">
        <v>44</v>
      </c>
      <c r="W924" s="4">
        <v>30</v>
      </c>
      <c r="X924" s="2" t="s">
        <v>44</v>
      </c>
      <c r="Y924" s="4">
        <v>0</v>
      </c>
      <c r="Z924" s="4">
        <v>0</v>
      </c>
      <c r="AA924" s="4">
        <v>0</v>
      </c>
      <c r="AB924" s="4">
        <v>0</v>
      </c>
      <c r="AC924" s="4">
        <v>1</v>
      </c>
      <c r="AD924" s="4">
        <v>6</v>
      </c>
      <c r="AE924" s="3" t="s">
        <v>58</v>
      </c>
      <c r="AG924">
        <f t="shared" ca="1" si="42"/>
        <v>0</v>
      </c>
      <c r="AH924" s="23" t="str" cm="1">
        <f t="array" ref="AH924">_xlfn.IFS(E924&gt;49,"50+",E924&gt;39,"40-49",E924&gt;29,"30-39",E924&gt;19,"20-29")</f>
        <v>20-29</v>
      </c>
      <c r="AI924" s="24" t="str" cm="1">
        <f t="array" aca="1" ref="AI924" ca="1">_xlfn.IFS(AG924&gt;10,"10+",AG924&gt;4,"5-10 YIL",AG924&gt;2,"3-5 YIL",AG924&gt;0.9,"1-3 YIL",AG924&lt;1,"0-1 YIL")</f>
        <v>0-1 YIL</v>
      </c>
      <c r="AJ924">
        <f t="shared" si="43"/>
        <v>2026</v>
      </c>
      <c r="AK924" t="e">
        <f t="shared" si="44"/>
        <v>#VALUE!</v>
      </c>
    </row>
    <row r="925" spans="1:37" x14ac:dyDescent="0.3">
      <c r="A925" s="6" t="s">
        <v>1400</v>
      </c>
      <c r="B925" s="7" t="s">
        <v>1236</v>
      </c>
      <c r="C925" s="6" t="s">
        <v>33</v>
      </c>
      <c r="D925" s="14">
        <v>35332</v>
      </c>
      <c r="E925" s="8">
        <v>30</v>
      </c>
      <c r="F925" s="6" t="s">
        <v>34</v>
      </c>
      <c r="G925" s="8">
        <v>0</v>
      </c>
      <c r="H925" s="6" t="s">
        <v>88</v>
      </c>
      <c r="I925" s="7" t="s">
        <v>36</v>
      </c>
      <c r="J925" s="7" t="s">
        <v>50</v>
      </c>
      <c r="K925" s="6" t="s">
        <v>51</v>
      </c>
      <c r="L925" s="6" t="s">
        <v>39</v>
      </c>
      <c r="M925" s="7" t="s">
        <v>40</v>
      </c>
      <c r="N925" s="6" t="s">
        <v>67</v>
      </c>
      <c r="O925" s="14">
        <v>43308</v>
      </c>
      <c r="P925" s="6" t="s">
        <v>44</v>
      </c>
      <c r="Q925" s="7" t="s">
        <v>44</v>
      </c>
      <c r="R925" s="6" t="s">
        <v>44</v>
      </c>
      <c r="S925" s="6" t="s">
        <v>56</v>
      </c>
      <c r="T925" s="9">
        <v>39300</v>
      </c>
      <c r="U925" s="9">
        <v>0</v>
      </c>
      <c r="V925" s="8">
        <v>34</v>
      </c>
      <c r="W925" s="8">
        <v>20</v>
      </c>
      <c r="X925" s="6" t="s">
        <v>57</v>
      </c>
      <c r="Y925" s="8">
        <v>10</v>
      </c>
      <c r="Z925" s="8">
        <v>8</v>
      </c>
      <c r="AA925" s="8">
        <v>0</v>
      </c>
      <c r="AB925" s="8">
        <v>0</v>
      </c>
      <c r="AC925" s="8">
        <v>2</v>
      </c>
      <c r="AD925" s="8">
        <v>2</v>
      </c>
      <c r="AE925" s="7" t="s">
        <v>58</v>
      </c>
      <c r="AG925">
        <f t="shared" ca="1" si="42"/>
        <v>7</v>
      </c>
      <c r="AH925" s="23" t="str" cm="1">
        <f t="array" ref="AH925">_xlfn.IFS(E925&gt;49,"50+",E925&gt;39,"40-49",E925&gt;29,"30-39",E925&gt;19,"20-29")</f>
        <v>30-39</v>
      </c>
      <c r="AI925" s="24" t="str" cm="1">
        <f t="array" aca="1" ref="AI925" ca="1">_xlfn.IFS(AG925&gt;10,"10+",AG925&gt;4,"5-10 YIL",AG925&gt;2,"3-5 YIL",AG925&gt;0.9,"1-3 YIL",AG925&lt;1,"0-1 YIL")</f>
        <v>5-10 YIL</v>
      </c>
      <c r="AJ925">
        <f t="shared" si="43"/>
        <v>2018</v>
      </c>
      <c r="AK925" t="e">
        <f t="shared" si="44"/>
        <v>#VALUE!</v>
      </c>
    </row>
    <row r="926" spans="1:37" x14ac:dyDescent="0.3">
      <c r="A926" s="2" t="s">
        <v>1401</v>
      </c>
      <c r="B926" s="3" t="s">
        <v>493</v>
      </c>
      <c r="C926" s="2" t="s">
        <v>33</v>
      </c>
      <c r="D926" s="13">
        <v>25542</v>
      </c>
      <c r="E926" s="4">
        <v>57</v>
      </c>
      <c r="F926" s="2" t="s">
        <v>34</v>
      </c>
      <c r="G926" s="4">
        <v>0</v>
      </c>
      <c r="H926" s="2" t="s">
        <v>85</v>
      </c>
      <c r="I926" s="3" t="s">
        <v>139</v>
      </c>
      <c r="J926" s="3" t="s">
        <v>140</v>
      </c>
      <c r="K926" s="2" t="s">
        <v>79</v>
      </c>
      <c r="L926" s="2" t="s">
        <v>63</v>
      </c>
      <c r="M926" s="3" t="s">
        <v>80</v>
      </c>
      <c r="N926" s="2" t="s">
        <v>52</v>
      </c>
      <c r="O926" s="13">
        <v>42950</v>
      </c>
      <c r="P926" s="2" t="s">
        <v>44</v>
      </c>
      <c r="Q926" s="3" t="s">
        <v>44</v>
      </c>
      <c r="R926" s="2" t="s">
        <v>44</v>
      </c>
      <c r="S926" s="2" t="s">
        <v>56</v>
      </c>
      <c r="T926" s="5">
        <v>133000</v>
      </c>
      <c r="U926" s="5">
        <v>0</v>
      </c>
      <c r="V926" s="4">
        <v>6</v>
      </c>
      <c r="W926" s="4">
        <v>27</v>
      </c>
      <c r="X926" s="2" t="s">
        <v>57</v>
      </c>
      <c r="Y926" s="4">
        <v>2</v>
      </c>
      <c r="Z926" s="4">
        <v>3</v>
      </c>
      <c r="AA926" s="4">
        <v>1</v>
      </c>
      <c r="AB926" s="4">
        <v>0</v>
      </c>
      <c r="AC926" s="4">
        <v>4</v>
      </c>
      <c r="AD926" s="4">
        <v>23</v>
      </c>
      <c r="AE926" s="3" t="s">
        <v>58</v>
      </c>
      <c r="AG926">
        <f t="shared" ca="1" si="42"/>
        <v>8</v>
      </c>
      <c r="AH926" s="23" t="str" cm="1">
        <f t="array" ref="AH926">_xlfn.IFS(E926&gt;49,"50+",E926&gt;39,"40-49",E926&gt;29,"30-39",E926&gt;19,"20-29")</f>
        <v>50+</v>
      </c>
      <c r="AI926" s="24" t="str" cm="1">
        <f t="array" aca="1" ref="AI926" ca="1">_xlfn.IFS(AG926&gt;10,"10+",AG926&gt;4,"5-10 YIL",AG926&gt;2,"3-5 YIL",AG926&gt;0.9,"1-3 YIL",AG926&lt;1,"0-1 YIL")</f>
        <v>5-10 YIL</v>
      </c>
      <c r="AJ926">
        <f t="shared" si="43"/>
        <v>2017</v>
      </c>
      <c r="AK926" t="e">
        <f t="shared" si="44"/>
        <v>#VALUE!</v>
      </c>
    </row>
    <row r="927" spans="1:37" x14ac:dyDescent="0.3">
      <c r="A927" s="6" t="s">
        <v>1402</v>
      </c>
      <c r="B927" s="7" t="s">
        <v>1095</v>
      </c>
      <c r="C927" s="6" t="s">
        <v>33</v>
      </c>
      <c r="D927" s="14">
        <v>30864</v>
      </c>
      <c r="E927" s="8">
        <v>42</v>
      </c>
      <c r="F927" s="6" t="s">
        <v>34</v>
      </c>
      <c r="G927" s="8">
        <v>0</v>
      </c>
      <c r="H927" s="6" t="s">
        <v>88</v>
      </c>
      <c r="I927" s="7" t="s">
        <v>61</v>
      </c>
      <c r="J927" s="7" t="s">
        <v>107</v>
      </c>
      <c r="K927" s="6" t="s">
        <v>51</v>
      </c>
      <c r="L927" s="6" t="s">
        <v>63</v>
      </c>
      <c r="M927" s="7" t="s">
        <v>64</v>
      </c>
      <c r="N927" s="6" t="s">
        <v>41</v>
      </c>
      <c r="O927" s="14">
        <v>42026</v>
      </c>
      <c r="P927" s="6" t="s">
        <v>44</v>
      </c>
      <c r="Q927" s="7" t="s">
        <v>44</v>
      </c>
      <c r="R927" s="6" t="s">
        <v>44</v>
      </c>
      <c r="S927" s="6" t="s">
        <v>56</v>
      </c>
      <c r="T927" s="9">
        <v>56700</v>
      </c>
      <c r="U927" s="9">
        <v>0</v>
      </c>
      <c r="V927" s="8">
        <v>3</v>
      </c>
      <c r="W927" s="8">
        <v>30</v>
      </c>
      <c r="X927" s="6" t="s">
        <v>44</v>
      </c>
      <c r="Y927" s="8">
        <v>0</v>
      </c>
      <c r="Z927" s="8">
        <v>3</v>
      </c>
      <c r="AA927" s="8">
        <v>0</v>
      </c>
      <c r="AB927" s="8">
        <v>0</v>
      </c>
      <c r="AC927" s="8">
        <v>4</v>
      </c>
      <c r="AD927" s="8">
        <v>39</v>
      </c>
      <c r="AE927" s="7" t="s">
        <v>45</v>
      </c>
      <c r="AG927">
        <f t="shared" ca="1" si="42"/>
        <v>11</v>
      </c>
      <c r="AH927" s="23" t="str" cm="1">
        <f t="array" ref="AH927">_xlfn.IFS(E927&gt;49,"50+",E927&gt;39,"40-49",E927&gt;29,"30-39",E927&gt;19,"20-29")</f>
        <v>40-49</v>
      </c>
      <c r="AI927" s="24" t="str" cm="1">
        <f t="array" aca="1" ref="AI927" ca="1">_xlfn.IFS(AG927&gt;10,"10+",AG927&gt;4,"5-10 YIL",AG927&gt;2,"3-5 YIL",AG927&gt;0.9,"1-3 YIL",AG927&lt;1,"0-1 YIL")</f>
        <v>10+</v>
      </c>
      <c r="AJ927">
        <f t="shared" si="43"/>
        <v>2015</v>
      </c>
      <c r="AK927" t="e">
        <f t="shared" si="44"/>
        <v>#VALUE!</v>
      </c>
    </row>
    <row r="928" spans="1:37" x14ac:dyDescent="0.3">
      <c r="A928" s="2" t="s">
        <v>1403</v>
      </c>
      <c r="B928" s="3" t="s">
        <v>1029</v>
      </c>
      <c r="C928" s="2" t="s">
        <v>33</v>
      </c>
      <c r="D928" s="13">
        <v>38028</v>
      </c>
      <c r="E928" s="4">
        <v>22</v>
      </c>
      <c r="F928" s="2" t="s">
        <v>49</v>
      </c>
      <c r="G928" s="4">
        <v>0</v>
      </c>
      <c r="H928" s="2" t="s">
        <v>85</v>
      </c>
      <c r="I928" s="3" t="s">
        <v>36</v>
      </c>
      <c r="J928" s="3" t="s">
        <v>37</v>
      </c>
      <c r="K928" s="2" t="s">
        <v>38</v>
      </c>
      <c r="L928" s="2" t="s">
        <v>39</v>
      </c>
      <c r="M928" s="3" t="s">
        <v>40</v>
      </c>
      <c r="N928" s="2" t="s">
        <v>41</v>
      </c>
      <c r="O928" s="13">
        <v>45073</v>
      </c>
      <c r="P928" s="2" t="s">
        <v>44</v>
      </c>
      <c r="Q928" s="3" t="s">
        <v>44</v>
      </c>
      <c r="R928" s="2" t="s">
        <v>44</v>
      </c>
      <c r="S928" s="2" t="s">
        <v>56</v>
      </c>
      <c r="T928" s="5">
        <v>24700</v>
      </c>
      <c r="U928" s="5">
        <v>0</v>
      </c>
      <c r="V928" s="4">
        <v>17</v>
      </c>
      <c r="W928" s="4">
        <v>29</v>
      </c>
      <c r="X928" s="2" t="s">
        <v>57</v>
      </c>
      <c r="Y928" s="4">
        <v>1</v>
      </c>
      <c r="Z928" s="4">
        <v>3</v>
      </c>
      <c r="AA928" s="4">
        <v>0</v>
      </c>
      <c r="AB928" s="4">
        <v>0</v>
      </c>
      <c r="AC928" s="4">
        <v>4</v>
      </c>
      <c r="AD928" s="4">
        <v>33</v>
      </c>
      <c r="AE928" s="3" t="s">
        <v>45</v>
      </c>
      <c r="AG928">
        <f t="shared" ca="1" si="42"/>
        <v>3</v>
      </c>
      <c r="AH928" s="23" t="str" cm="1">
        <f t="array" ref="AH928">_xlfn.IFS(E928&gt;49,"50+",E928&gt;39,"40-49",E928&gt;29,"30-39",E928&gt;19,"20-29")</f>
        <v>20-29</v>
      </c>
      <c r="AI928" s="24" t="str" cm="1">
        <f t="array" aca="1" ref="AI928" ca="1">_xlfn.IFS(AG928&gt;10,"10+",AG928&gt;4,"5-10 YIL",AG928&gt;2,"3-5 YIL",AG928&gt;0.9,"1-3 YIL",AG928&lt;1,"0-1 YIL")</f>
        <v>3-5 YIL</v>
      </c>
      <c r="AJ928">
        <f t="shared" si="43"/>
        <v>2023</v>
      </c>
      <c r="AK928" t="e">
        <f t="shared" si="44"/>
        <v>#VALUE!</v>
      </c>
    </row>
    <row r="929" spans="1:37" x14ac:dyDescent="0.3">
      <c r="A929" s="6" t="s">
        <v>1404</v>
      </c>
      <c r="B929" s="7" t="s">
        <v>209</v>
      </c>
      <c r="C929" s="6" t="s">
        <v>48</v>
      </c>
      <c r="D929" s="14">
        <v>33451</v>
      </c>
      <c r="E929" s="8">
        <v>35</v>
      </c>
      <c r="F929" s="6" t="s">
        <v>49</v>
      </c>
      <c r="G929" s="8">
        <v>1</v>
      </c>
      <c r="H929" s="6" t="s">
        <v>35</v>
      </c>
      <c r="I929" s="7" t="s">
        <v>61</v>
      </c>
      <c r="J929" s="7" t="s">
        <v>124</v>
      </c>
      <c r="K929" s="6" t="s">
        <v>79</v>
      </c>
      <c r="L929" s="6" t="s">
        <v>63</v>
      </c>
      <c r="M929" s="7" t="s">
        <v>80</v>
      </c>
      <c r="N929" s="6" t="s">
        <v>41</v>
      </c>
      <c r="O929" s="14">
        <v>42560</v>
      </c>
      <c r="P929" s="6" t="s">
        <v>44</v>
      </c>
      <c r="Q929" s="7" t="s">
        <v>44</v>
      </c>
      <c r="R929" s="6" t="s">
        <v>44</v>
      </c>
      <c r="S929" s="6" t="s">
        <v>56</v>
      </c>
      <c r="T929" s="9">
        <v>107300</v>
      </c>
      <c r="U929" s="9">
        <v>33000</v>
      </c>
      <c r="V929" s="8">
        <v>4</v>
      </c>
      <c r="W929" s="8">
        <v>28</v>
      </c>
      <c r="X929" s="6" t="s">
        <v>57</v>
      </c>
      <c r="Y929" s="8">
        <v>2</v>
      </c>
      <c r="Z929" s="8">
        <v>4</v>
      </c>
      <c r="AA929" s="8">
        <v>0</v>
      </c>
      <c r="AB929" s="8">
        <v>0</v>
      </c>
      <c r="AC929" s="8">
        <v>3</v>
      </c>
      <c r="AD929" s="8">
        <v>18</v>
      </c>
      <c r="AE929" s="7" t="s">
        <v>45</v>
      </c>
      <c r="AG929">
        <f t="shared" ca="1" si="42"/>
        <v>9</v>
      </c>
      <c r="AH929" s="23" t="str" cm="1">
        <f t="array" ref="AH929">_xlfn.IFS(E929&gt;49,"50+",E929&gt;39,"40-49",E929&gt;29,"30-39",E929&gt;19,"20-29")</f>
        <v>30-39</v>
      </c>
      <c r="AI929" s="24" t="str" cm="1">
        <f t="array" aca="1" ref="AI929" ca="1">_xlfn.IFS(AG929&gt;10,"10+",AG929&gt;4,"5-10 YIL",AG929&gt;2,"3-5 YIL",AG929&gt;0.9,"1-3 YIL",AG929&lt;1,"0-1 YIL")</f>
        <v>5-10 YIL</v>
      </c>
      <c r="AJ929">
        <f t="shared" si="43"/>
        <v>2016</v>
      </c>
      <c r="AK929" t="e">
        <f t="shared" si="44"/>
        <v>#VALUE!</v>
      </c>
    </row>
    <row r="930" spans="1:37" x14ac:dyDescent="0.3">
      <c r="A930" s="2" t="s">
        <v>1405</v>
      </c>
      <c r="B930" s="3" t="s">
        <v>340</v>
      </c>
      <c r="C930" s="2" t="s">
        <v>33</v>
      </c>
      <c r="D930" s="13">
        <v>31505</v>
      </c>
      <c r="E930" s="4">
        <v>40</v>
      </c>
      <c r="F930" s="2" t="s">
        <v>34</v>
      </c>
      <c r="G930" s="4">
        <v>0</v>
      </c>
      <c r="H930" s="2" t="s">
        <v>88</v>
      </c>
      <c r="I930" s="3" t="s">
        <v>70</v>
      </c>
      <c r="J930" s="3" t="s">
        <v>129</v>
      </c>
      <c r="K930" s="2" t="s">
        <v>79</v>
      </c>
      <c r="L930" s="2" t="s">
        <v>63</v>
      </c>
      <c r="M930" s="3" t="s">
        <v>80</v>
      </c>
      <c r="N930" s="2" t="s">
        <v>52</v>
      </c>
      <c r="O930" s="13">
        <v>40776</v>
      </c>
      <c r="P930" s="2" t="s">
        <v>44</v>
      </c>
      <c r="Q930" s="3" t="s">
        <v>44</v>
      </c>
      <c r="R930" s="2" t="s">
        <v>44</v>
      </c>
      <c r="S930" s="2" t="s">
        <v>56</v>
      </c>
      <c r="T930" s="5">
        <v>125300</v>
      </c>
      <c r="U930" s="5">
        <v>0</v>
      </c>
      <c r="V930" s="4">
        <v>0</v>
      </c>
      <c r="W930" s="4">
        <v>30</v>
      </c>
      <c r="X930" s="2" t="s">
        <v>44</v>
      </c>
      <c r="Y930" s="4">
        <v>0</v>
      </c>
      <c r="Z930" s="4">
        <v>3</v>
      </c>
      <c r="AA930" s="4">
        <v>0</v>
      </c>
      <c r="AB930" s="4">
        <v>0</v>
      </c>
      <c r="AC930" s="4">
        <v>4</v>
      </c>
      <c r="AD930" s="4">
        <v>18</v>
      </c>
      <c r="AE930" s="3" t="s">
        <v>58</v>
      </c>
      <c r="AG930">
        <f t="shared" ca="1" si="42"/>
        <v>14</v>
      </c>
      <c r="AH930" s="23" t="str" cm="1">
        <f t="array" ref="AH930">_xlfn.IFS(E930&gt;49,"50+",E930&gt;39,"40-49",E930&gt;29,"30-39",E930&gt;19,"20-29")</f>
        <v>40-49</v>
      </c>
      <c r="AI930" s="24" t="str" cm="1">
        <f t="array" aca="1" ref="AI930" ca="1">_xlfn.IFS(AG930&gt;10,"10+",AG930&gt;4,"5-10 YIL",AG930&gt;2,"3-5 YIL",AG930&gt;0.9,"1-3 YIL",AG930&lt;1,"0-1 YIL")</f>
        <v>10+</v>
      </c>
      <c r="AJ930">
        <f t="shared" si="43"/>
        <v>2011</v>
      </c>
      <c r="AK930" t="e">
        <f t="shared" si="44"/>
        <v>#VALUE!</v>
      </c>
    </row>
    <row r="931" spans="1:37" x14ac:dyDescent="0.3">
      <c r="A931" s="6" t="s">
        <v>1406</v>
      </c>
      <c r="B931" s="7" t="s">
        <v>471</v>
      </c>
      <c r="C931" s="6" t="s">
        <v>48</v>
      </c>
      <c r="D931" s="14">
        <v>35930</v>
      </c>
      <c r="E931" s="8">
        <v>28</v>
      </c>
      <c r="F931" s="6" t="s">
        <v>49</v>
      </c>
      <c r="G931" s="8">
        <v>1</v>
      </c>
      <c r="H931" s="6" t="s">
        <v>35</v>
      </c>
      <c r="I931" s="7" t="s">
        <v>36</v>
      </c>
      <c r="J931" s="7" t="s">
        <v>37</v>
      </c>
      <c r="K931" s="6" t="s">
        <v>38</v>
      </c>
      <c r="L931" s="6" t="s">
        <v>39</v>
      </c>
      <c r="M931" s="7" t="s">
        <v>40</v>
      </c>
      <c r="N931" s="6" t="s">
        <v>41</v>
      </c>
      <c r="O931" s="14">
        <v>45196</v>
      </c>
      <c r="P931" s="6" t="s">
        <v>44</v>
      </c>
      <c r="Q931" s="7" t="s">
        <v>44</v>
      </c>
      <c r="R931" s="6" t="s">
        <v>44</v>
      </c>
      <c r="S931" s="6" t="s">
        <v>56</v>
      </c>
      <c r="T931" s="9">
        <v>26700</v>
      </c>
      <c r="U931" s="9">
        <v>0</v>
      </c>
      <c r="V931" s="8">
        <v>11</v>
      </c>
      <c r="W931" s="8">
        <v>30</v>
      </c>
      <c r="X931" s="6" t="s">
        <v>44</v>
      </c>
      <c r="Y931" s="8">
        <v>0</v>
      </c>
      <c r="Z931" s="8">
        <v>12</v>
      </c>
      <c r="AA931" s="8">
        <v>0</v>
      </c>
      <c r="AB931" s="8">
        <v>0</v>
      </c>
      <c r="AC931" s="8">
        <v>2</v>
      </c>
      <c r="AD931" s="8">
        <v>2</v>
      </c>
      <c r="AE931" s="7" t="s">
        <v>45</v>
      </c>
      <c r="AG931">
        <f t="shared" ca="1" si="42"/>
        <v>2</v>
      </c>
      <c r="AH931" s="23" t="str" cm="1">
        <f t="array" ref="AH931">_xlfn.IFS(E931&gt;49,"50+",E931&gt;39,"40-49",E931&gt;29,"30-39",E931&gt;19,"20-29")</f>
        <v>20-29</v>
      </c>
      <c r="AI931" s="24" t="str" cm="1">
        <f t="array" aca="1" ref="AI931" ca="1">_xlfn.IFS(AG931&gt;10,"10+",AG931&gt;4,"5-10 YIL",AG931&gt;2,"3-5 YIL",AG931&gt;0.9,"1-3 YIL",AG931&lt;1,"0-1 YIL")</f>
        <v>1-3 YIL</v>
      </c>
      <c r="AJ931">
        <f t="shared" si="43"/>
        <v>2023</v>
      </c>
      <c r="AK931" t="e">
        <f t="shared" si="44"/>
        <v>#VALUE!</v>
      </c>
    </row>
    <row r="932" spans="1:37" x14ac:dyDescent="0.3">
      <c r="A932" s="2" t="s">
        <v>1407</v>
      </c>
      <c r="B932" s="3" t="s">
        <v>1029</v>
      </c>
      <c r="C932" s="2" t="s">
        <v>33</v>
      </c>
      <c r="D932" s="13">
        <v>38079</v>
      </c>
      <c r="E932" s="4">
        <v>22</v>
      </c>
      <c r="F932" s="2" t="s">
        <v>34</v>
      </c>
      <c r="G932" s="4">
        <v>0</v>
      </c>
      <c r="H932" s="2" t="s">
        <v>35</v>
      </c>
      <c r="I932" s="3" t="s">
        <v>36</v>
      </c>
      <c r="J932" s="3" t="s">
        <v>37</v>
      </c>
      <c r="K932" s="2" t="s">
        <v>38</v>
      </c>
      <c r="L932" s="2" t="s">
        <v>39</v>
      </c>
      <c r="M932" s="3" t="s">
        <v>40</v>
      </c>
      <c r="N932" s="2" t="s">
        <v>41</v>
      </c>
      <c r="O932" s="13">
        <v>45689</v>
      </c>
      <c r="P932" s="2" t="s">
        <v>44</v>
      </c>
      <c r="Q932" s="3" t="s">
        <v>44</v>
      </c>
      <c r="R932" s="2" t="s">
        <v>44</v>
      </c>
      <c r="S932" s="2" t="s">
        <v>56</v>
      </c>
      <c r="T932" s="5">
        <v>28500</v>
      </c>
      <c r="U932" s="5">
        <v>0</v>
      </c>
      <c r="V932" s="4">
        <v>36</v>
      </c>
      <c r="W932" s="4">
        <v>30</v>
      </c>
      <c r="X932" s="2" t="s">
        <v>44</v>
      </c>
      <c r="Y932" s="4">
        <v>0</v>
      </c>
      <c r="Z932" s="4">
        <v>3</v>
      </c>
      <c r="AA932" s="4">
        <v>0</v>
      </c>
      <c r="AB932" s="4">
        <v>0</v>
      </c>
      <c r="AC932" s="4">
        <v>3</v>
      </c>
      <c r="AD932" s="4">
        <v>9</v>
      </c>
      <c r="AE932" s="3" t="s">
        <v>58</v>
      </c>
      <c r="AG932">
        <f t="shared" ca="1" si="42"/>
        <v>1</v>
      </c>
      <c r="AH932" s="23" t="str" cm="1">
        <f t="array" ref="AH932">_xlfn.IFS(E932&gt;49,"50+",E932&gt;39,"40-49",E932&gt;29,"30-39",E932&gt;19,"20-29")</f>
        <v>20-29</v>
      </c>
      <c r="AI932" s="24" t="str" cm="1">
        <f t="array" aca="1" ref="AI932" ca="1">_xlfn.IFS(AG932&gt;10,"10+",AG932&gt;4,"5-10 YIL",AG932&gt;2,"3-5 YIL",AG932&gt;0.9,"1-3 YIL",AG932&lt;1,"0-1 YIL")</f>
        <v>1-3 YIL</v>
      </c>
      <c r="AJ932">
        <f t="shared" si="43"/>
        <v>2025</v>
      </c>
      <c r="AK932" t="e">
        <f t="shared" si="44"/>
        <v>#VALUE!</v>
      </c>
    </row>
    <row r="933" spans="1:37" x14ac:dyDescent="0.3">
      <c r="A933" s="6" t="s">
        <v>1408</v>
      </c>
      <c r="B933" s="7" t="s">
        <v>116</v>
      </c>
      <c r="C933" s="6" t="s">
        <v>48</v>
      </c>
      <c r="D933" s="14">
        <v>36048</v>
      </c>
      <c r="E933" s="8">
        <v>28</v>
      </c>
      <c r="F933" s="6" t="s">
        <v>49</v>
      </c>
      <c r="G933" s="8">
        <v>2</v>
      </c>
      <c r="H933" s="6" t="s">
        <v>35</v>
      </c>
      <c r="I933" s="7" t="s">
        <v>70</v>
      </c>
      <c r="J933" s="7" t="s">
        <v>71</v>
      </c>
      <c r="K933" s="6" t="s">
        <v>51</v>
      </c>
      <c r="L933" s="6" t="s">
        <v>63</v>
      </c>
      <c r="M933" s="7" t="s">
        <v>72</v>
      </c>
      <c r="N933" s="6" t="s">
        <v>41</v>
      </c>
      <c r="O933" s="14">
        <v>42946</v>
      </c>
      <c r="P933" s="6" t="s">
        <v>44</v>
      </c>
      <c r="Q933" s="7" t="s">
        <v>44</v>
      </c>
      <c r="R933" s="6" t="s">
        <v>44</v>
      </c>
      <c r="S933" s="6" t="s">
        <v>56</v>
      </c>
      <c r="T933" s="9">
        <v>65100</v>
      </c>
      <c r="U933" s="9">
        <v>9100</v>
      </c>
      <c r="V933" s="8">
        <v>6</v>
      </c>
      <c r="W933" s="8">
        <v>27</v>
      </c>
      <c r="X933" s="6" t="s">
        <v>81</v>
      </c>
      <c r="Y933" s="8">
        <v>0</v>
      </c>
      <c r="Z933" s="8">
        <v>11</v>
      </c>
      <c r="AA933" s="8">
        <v>3</v>
      </c>
      <c r="AB933" s="8">
        <v>0</v>
      </c>
      <c r="AC933" s="8">
        <v>1</v>
      </c>
      <c r="AD933" s="8">
        <v>13</v>
      </c>
      <c r="AE933" s="7" t="s">
        <v>82</v>
      </c>
      <c r="AG933">
        <f t="shared" ca="1" si="42"/>
        <v>8</v>
      </c>
      <c r="AH933" s="23" t="str" cm="1">
        <f t="array" ref="AH933">_xlfn.IFS(E933&gt;49,"50+",E933&gt;39,"40-49",E933&gt;29,"30-39",E933&gt;19,"20-29")</f>
        <v>20-29</v>
      </c>
      <c r="AI933" s="24" t="str" cm="1">
        <f t="array" aca="1" ref="AI933" ca="1">_xlfn.IFS(AG933&gt;10,"10+",AG933&gt;4,"5-10 YIL",AG933&gt;2,"3-5 YIL",AG933&gt;0.9,"1-3 YIL",AG933&lt;1,"0-1 YIL")</f>
        <v>5-10 YIL</v>
      </c>
      <c r="AJ933">
        <f t="shared" si="43"/>
        <v>2017</v>
      </c>
      <c r="AK933" t="e">
        <f t="shared" si="44"/>
        <v>#VALUE!</v>
      </c>
    </row>
    <row r="934" spans="1:37" x14ac:dyDescent="0.3">
      <c r="A934" s="2" t="s">
        <v>1409</v>
      </c>
      <c r="B934" s="3" t="s">
        <v>75</v>
      </c>
      <c r="C934" s="2" t="s">
        <v>33</v>
      </c>
      <c r="D934" s="13">
        <v>30037</v>
      </c>
      <c r="E934" s="4">
        <v>44</v>
      </c>
      <c r="F934" s="2" t="s">
        <v>34</v>
      </c>
      <c r="G934" s="4">
        <v>0</v>
      </c>
      <c r="H934" s="2" t="s">
        <v>35</v>
      </c>
      <c r="I934" s="3" t="s">
        <v>61</v>
      </c>
      <c r="J934" s="3" t="s">
        <v>107</v>
      </c>
      <c r="K934" s="2" t="s">
        <v>51</v>
      </c>
      <c r="L934" s="2" t="s">
        <v>63</v>
      </c>
      <c r="M934" s="3" t="s">
        <v>64</v>
      </c>
      <c r="N934" s="2" t="s">
        <v>67</v>
      </c>
      <c r="O934" s="13">
        <v>42512</v>
      </c>
      <c r="P934" s="2" t="s">
        <v>44</v>
      </c>
      <c r="Q934" s="3" t="s">
        <v>44</v>
      </c>
      <c r="R934" s="2" t="s">
        <v>44</v>
      </c>
      <c r="S934" s="2" t="s">
        <v>56</v>
      </c>
      <c r="T934" s="5">
        <v>55100</v>
      </c>
      <c r="U934" s="5">
        <v>0</v>
      </c>
      <c r="V934" s="4">
        <v>5</v>
      </c>
      <c r="W934" s="4">
        <v>30</v>
      </c>
      <c r="X934" s="2" t="s">
        <v>44</v>
      </c>
      <c r="Y934" s="4">
        <v>0</v>
      </c>
      <c r="Z934" s="4">
        <v>1</v>
      </c>
      <c r="AA934" s="4">
        <v>0</v>
      </c>
      <c r="AB934" s="4">
        <v>0</v>
      </c>
      <c r="AC934" s="4">
        <v>4</v>
      </c>
      <c r="AD934" s="4">
        <v>33</v>
      </c>
      <c r="AE934" s="3" t="s">
        <v>73</v>
      </c>
      <c r="AG934">
        <f t="shared" ca="1" si="42"/>
        <v>10</v>
      </c>
      <c r="AH934" s="23" t="str" cm="1">
        <f t="array" ref="AH934">_xlfn.IFS(E934&gt;49,"50+",E934&gt;39,"40-49",E934&gt;29,"30-39",E934&gt;19,"20-29")</f>
        <v>40-49</v>
      </c>
      <c r="AI934" s="24" t="str" cm="1">
        <f t="array" aca="1" ref="AI934" ca="1">_xlfn.IFS(AG934&gt;10,"10+",AG934&gt;4,"5-10 YIL",AG934&gt;2,"3-5 YIL",AG934&gt;0.9,"1-3 YIL",AG934&lt;1,"0-1 YIL")</f>
        <v>5-10 YIL</v>
      </c>
      <c r="AJ934">
        <f t="shared" si="43"/>
        <v>2016</v>
      </c>
      <c r="AK934" t="e">
        <f t="shared" si="44"/>
        <v>#VALUE!</v>
      </c>
    </row>
    <row r="935" spans="1:37" x14ac:dyDescent="0.3">
      <c r="A935" s="6" t="s">
        <v>1410</v>
      </c>
      <c r="B935" s="7" t="s">
        <v>1411</v>
      </c>
      <c r="C935" s="6" t="s">
        <v>33</v>
      </c>
      <c r="D935" s="14">
        <v>37881</v>
      </c>
      <c r="E935" s="8">
        <v>23</v>
      </c>
      <c r="F935" s="6" t="s">
        <v>34</v>
      </c>
      <c r="G935" s="8">
        <v>0</v>
      </c>
      <c r="H935" s="6" t="s">
        <v>35</v>
      </c>
      <c r="I935" s="7" t="s">
        <v>36</v>
      </c>
      <c r="J935" s="7" t="s">
        <v>37</v>
      </c>
      <c r="K935" s="6" t="s">
        <v>38</v>
      </c>
      <c r="L935" s="6" t="s">
        <v>39</v>
      </c>
      <c r="M935" s="7" t="s">
        <v>40</v>
      </c>
      <c r="N935" s="6" t="s">
        <v>89</v>
      </c>
      <c r="O935" s="14">
        <v>45390</v>
      </c>
      <c r="P935" s="6" t="s">
        <v>44</v>
      </c>
      <c r="Q935" s="7" t="s">
        <v>44</v>
      </c>
      <c r="R935" s="6" t="s">
        <v>44</v>
      </c>
      <c r="S935" s="6" t="s">
        <v>56</v>
      </c>
      <c r="T935" s="9">
        <v>26100</v>
      </c>
      <c r="U935" s="9">
        <v>0</v>
      </c>
      <c r="V935" s="8">
        <v>44</v>
      </c>
      <c r="W935" s="8">
        <v>27</v>
      </c>
      <c r="X935" s="6" t="s">
        <v>57</v>
      </c>
      <c r="Y935" s="8">
        <v>3</v>
      </c>
      <c r="Z935" s="8">
        <v>14</v>
      </c>
      <c r="AA935" s="8">
        <v>0</v>
      </c>
      <c r="AB935" s="8">
        <v>0</v>
      </c>
      <c r="AC935" s="8">
        <v>2</v>
      </c>
      <c r="AD935" s="8">
        <v>11</v>
      </c>
      <c r="AE935" s="7" t="s">
        <v>58</v>
      </c>
      <c r="AG935">
        <f t="shared" ca="1" si="42"/>
        <v>2</v>
      </c>
      <c r="AH935" s="23" t="str" cm="1">
        <f t="array" ref="AH935">_xlfn.IFS(E935&gt;49,"50+",E935&gt;39,"40-49",E935&gt;29,"30-39",E935&gt;19,"20-29")</f>
        <v>20-29</v>
      </c>
      <c r="AI935" s="24" t="str" cm="1">
        <f t="array" aca="1" ref="AI935" ca="1">_xlfn.IFS(AG935&gt;10,"10+",AG935&gt;4,"5-10 YIL",AG935&gt;2,"3-5 YIL",AG935&gt;0.9,"1-3 YIL",AG935&lt;1,"0-1 YIL")</f>
        <v>1-3 YIL</v>
      </c>
      <c r="AJ935">
        <f t="shared" si="43"/>
        <v>2024</v>
      </c>
      <c r="AK935" t="e">
        <f t="shared" si="44"/>
        <v>#VALUE!</v>
      </c>
    </row>
    <row r="936" spans="1:37" x14ac:dyDescent="0.3">
      <c r="A936" s="2" t="s">
        <v>1412</v>
      </c>
      <c r="B936" s="3" t="s">
        <v>273</v>
      </c>
      <c r="C936" s="2" t="s">
        <v>48</v>
      </c>
      <c r="D936" s="13">
        <v>37092</v>
      </c>
      <c r="E936" s="4">
        <v>25</v>
      </c>
      <c r="F936" s="2" t="s">
        <v>49</v>
      </c>
      <c r="G936" s="4">
        <v>1</v>
      </c>
      <c r="H936" s="2" t="s">
        <v>85</v>
      </c>
      <c r="I936" s="3" t="s">
        <v>61</v>
      </c>
      <c r="J936" s="3" t="s">
        <v>62</v>
      </c>
      <c r="K936" s="2" t="s">
        <v>38</v>
      </c>
      <c r="L936" s="2" t="s">
        <v>63</v>
      </c>
      <c r="M936" s="3" t="s">
        <v>64</v>
      </c>
      <c r="N936" s="2" t="s">
        <v>41</v>
      </c>
      <c r="O936" s="13">
        <v>44764</v>
      </c>
      <c r="P936" s="2" t="s">
        <v>44</v>
      </c>
      <c r="Q936" s="3" t="s">
        <v>44</v>
      </c>
      <c r="R936" s="2" t="s">
        <v>44</v>
      </c>
      <c r="S936" s="2" t="s">
        <v>56</v>
      </c>
      <c r="T936" s="5">
        <v>32100</v>
      </c>
      <c r="U936" s="5">
        <v>6300</v>
      </c>
      <c r="V936" s="4">
        <v>0</v>
      </c>
      <c r="W936" s="4">
        <v>30</v>
      </c>
      <c r="X936" s="2" t="s">
        <v>44</v>
      </c>
      <c r="Y936" s="4">
        <v>0</v>
      </c>
      <c r="Z936" s="4">
        <v>14</v>
      </c>
      <c r="AA936" s="4">
        <v>0</v>
      </c>
      <c r="AB936" s="4">
        <v>0</v>
      </c>
      <c r="AC936" s="4">
        <v>3</v>
      </c>
      <c r="AD936" s="4">
        <v>2</v>
      </c>
      <c r="AE936" s="3" t="s">
        <v>96</v>
      </c>
      <c r="AG936">
        <f t="shared" ca="1" si="42"/>
        <v>3</v>
      </c>
      <c r="AH936" s="23" t="str" cm="1">
        <f t="array" ref="AH936">_xlfn.IFS(E936&gt;49,"50+",E936&gt;39,"40-49",E936&gt;29,"30-39",E936&gt;19,"20-29")</f>
        <v>20-29</v>
      </c>
      <c r="AI936" s="24" t="str" cm="1">
        <f t="array" aca="1" ref="AI936" ca="1">_xlfn.IFS(AG936&gt;10,"10+",AG936&gt;4,"5-10 YIL",AG936&gt;2,"3-5 YIL",AG936&gt;0.9,"1-3 YIL",AG936&lt;1,"0-1 YIL")</f>
        <v>3-5 YIL</v>
      </c>
      <c r="AJ936">
        <f t="shared" si="43"/>
        <v>2022</v>
      </c>
      <c r="AK936" t="e">
        <f t="shared" si="44"/>
        <v>#VALUE!</v>
      </c>
    </row>
    <row r="937" spans="1:37" x14ac:dyDescent="0.3">
      <c r="A937" s="6" t="s">
        <v>1413</v>
      </c>
      <c r="B937" s="7" t="s">
        <v>768</v>
      </c>
      <c r="C937" s="6" t="s">
        <v>48</v>
      </c>
      <c r="D937" s="14">
        <v>37638</v>
      </c>
      <c r="E937" s="8">
        <v>23</v>
      </c>
      <c r="F937" s="6" t="s">
        <v>34</v>
      </c>
      <c r="G937" s="8">
        <v>0</v>
      </c>
      <c r="H937" s="6" t="s">
        <v>35</v>
      </c>
      <c r="I937" s="7" t="s">
        <v>36</v>
      </c>
      <c r="J937" s="7" t="s">
        <v>37</v>
      </c>
      <c r="K937" s="6" t="s">
        <v>38</v>
      </c>
      <c r="L937" s="6" t="s">
        <v>39</v>
      </c>
      <c r="M937" s="7" t="s">
        <v>40</v>
      </c>
      <c r="N937" s="6" t="s">
        <v>67</v>
      </c>
      <c r="O937" s="14">
        <v>46089</v>
      </c>
      <c r="P937" s="6" t="s">
        <v>44</v>
      </c>
      <c r="Q937" s="7" t="s">
        <v>44</v>
      </c>
      <c r="R937" s="6" t="s">
        <v>44</v>
      </c>
      <c r="S937" s="6" t="s">
        <v>56</v>
      </c>
      <c r="T937" s="9">
        <v>25800</v>
      </c>
      <c r="U937" s="9">
        <v>0</v>
      </c>
      <c r="V937" s="8">
        <v>32</v>
      </c>
      <c r="W937" s="8">
        <v>25</v>
      </c>
      <c r="X937" s="6" t="s">
        <v>57</v>
      </c>
      <c r="Y937" s="8">
        <v>5</v>
      </c>
      <c r="Z937" s="8">
        <v>0</v>
      </c>
      <c r="AA937" s="8">
        <v>0</v>
      </c>
      <c r="AB937" s="8">
        <v>0</v>
      </c>
      <c r="AC937" s="8">
        <v>3</v>
      </c>
      <c r="AD937" s="8">
        <v>6</v>
      </c>
      <c r="AE937" s="7" t="s">
        <v>45</v>
      </c>
      <c r="AG937">
        <f t="shared" ca="1" si="42"/>
        <v>0</v>
      </c>
      <c r="AH937" s="23" t="str" cm="1">
        <f t="array" ref="AH937">_xlfn.IFS(E937&gt;49,"50+",E937&gt;39,"40-49",E937&gt;29,"30-39",E937&gt;19,"20-29")</f>
        <v>20-29</v>
      </c>
      <c r="AI937" s="24" t="str" cm="1">
        <f t="array" aca="1" ref="AI937" ca="1">_xlfn.IFS(AG937&gt;10,"10+",AG937&gt;4,"5-10 YIL",AG937&gt;2,"3-5 YIL",AG937&gt;0.9,"1-3 YIL",AG937&lt;1,"0-1 YIL")</f>
        <v>0-1 YIL</v>
      </c>
      <c r="AJ937">
        <f t="shared" si="43"/>
        <v>2026</v>
      </c>
      <c r="AK937" t="e">
        <f t="shared" si="44"/>
        <v>#VALUE!</v>
      </c>
    </row>
    <row r="938" spans="1:37" x14ac:dyDescent="0.3">
      <c r="A938" s="2" t="s">
        <v>1414</v>
      </c>
      <c r="B938" s="3" t="s">
        <v>750</v>
      </c>
      <c r="C938" s="2" t="s">
        <v>33</v>
      </c>
      <c r="D938" s="13">
        <v>32648</v>
      </c>
      <c r="E938" s="4">
        <v>37</v>
      </c>
      <c r="F938" s="2" t="s">
        <v>49</v>
      </c>
      <c r="G938" s="4">
        <v>2</v>
      </c>
      <c r="H938" s="2" t="s">
        <v>35</v>
      </c>
      <c r="I938" s="3" t="s">
        <v>61</v>
      </c>
      <c r="J938" s="3" t="s">
        <v>124</v>
      </c>
      <c r="K938" s="2" t="s">
        <v>79</v>
      </c>
      <c r="L938" s="2" t="s">
        <v>63</v>
      </c>
      <c r="M938" s="3" t="s">
        <v>80</v>
      </c>
      <c r="N938" s="2" t="s">
        <v>41</v>
      </c>
      <c r="O938" s="13">
        <v>43786</v>
      </c>
      <c r="P938" s="2" t="s">
        <v>44</v>
      </c>
      <c r="Q938" s="3" t="s">
        <v>44</v>
      </c>
      <c r="R938" s="2" t="s">
        <v>44</v>
      </c>
      <c r="S938" s="2" t="s">
        <v>56</v>
      </c>
      <c r="T938" s="5">
        <v>110500</v>
      </c>
      <c r="U938" s="5">
        <v>17700</v>
      </c>
      <c r="V938" s="4">
        <v>0</v>
      </c>
      <c r="W938" s="4">
        <v>30</v>
      </c>
      <c r="X938" s="2" t="s">
        <v>44</v>
      </c>
      <c r="Y938" s="4">
        <v>0</v>
      </c>
      <c r="Z938" s="4">
        <v>11</v>
      </c>
      <c r="AA938" s="4">
        <v>0</v>
      </c>
      <c r="AB938" s="4">
        <v>0</v>
      </c>
      <c r="AC938" s="4">
        <v>3</v>
      </c>
      <c r="AD938" s="4">
        <v>6</v>
      </c>
      <c r="AE938" s="3" t="s">
        <v>73</v>
      </c>
      <c r="AG938">
        <f t="shared" ca="1" si="42"/>
        <v>6</v>
      </c>
      <c r="AH938" s="23" t="str" cm="1">
        <f t="array" ref="AH938">_xlfn.IFS(E938&gt;49,"50+",E938&gt;39,"40-49",E938&gt;29,"30-39",E938&gt;19,"20-29")</f>
        <v>30-39</v>
      </c>
      <c r="AI938" s="24" t="str" cm="1">
        <f t="array" aca="1" ref="AI938" ca="1">_xlfn.IFS(AG938&gt;10,"10+",AG938&gt;4,"5-10 YIL",AG938&gt;2,"3-5 YIL",AG938&gt;0.9,"1-3 YIL",AG938&lt;1,"0-1 YIL")</f>
        <v>5-10 YIL</v>
      </c>
      <c r="AJ938">
        <f t="shared" si="43"/>
        <v>2019</v>
      </c>
      <c r="AK938" t="e">
        <f t="shared" si="44"/>
        <v>#VALUE!</v>
      </c>
    </row>
    <row r="939" spans="1:37" x14ac:dyDescent="0.3">
      <c r="A939" s="6" t="s">
        <v>1415</v>
      </c>
      <c r="B939" s="7" t="s">
        <v>979</v>
      </c>
      <c r="C939" s="6" t="s">
        <v>48</v>
      </c>
      <c r="D939" s="14">
        <v>37639</v>
      </c>
      <c r="E939" s="8">
        <v>23</v>
      </c>
      <c r="F939" s="6" t="s">
        <v>34</v>
      </c>
      <c r="G939" s="8">
        <v>0</v>
      </c>
      <c r="H939" s="6" t="s">
        <v>35</v>
      </c>
      <c r="I939" s="7" t="s">
        <v>61</v>
      </c>
      <c r="J939" s="7" t="s">
        <v>62</v>
      </c>
      <c r="K939" s="6" t="s">
        <v>38</v>
      </c>
      <c r="L939" s="6" t="s">
        <v>63</v>
      </c>
      <c r="M939" s="7" t="s">
        <v>64</v>
      </c>
      <c r="N939" s="6" t="s">
        <v>41</v>
      </c>
      <c r="O939" s="14">
        <v>44777</v>
      </c>
      <c r="P939" s="6" t="s">
        <v>44</v>
      </c>
      <c r="Q939" s="7" t="s">
        <v>44</v>
      </c>
      <c r="R939" s="6" t="s">
        <v>44</v>
      </c>
      <c r="S939" s="6" t="s">
        <v>56</v>
      </c>
      <c r="T939" s="9">
        <v>34900</v>
      </c>
      <c r="U939" s="9">
        <v>0</v>
      </c>
      <c r="V939" s="8">
        <v>5</v>
      </c>
      <c r="W939" s="8">
        <v>27</v>
      </c>
      <c r="X939" s="6" t="s">
        <v>81</v>
      </c>
      <c r="Y939" s="8">
        <v>0</v>
      </c>
      <c r="Z939" s="8">
        <v>14</v>
      </c>
      <c r="AA939" s="8">
        <v>3</v>
      </c>
      <c r="AB939" s="8">
        <v>0</v>
      </c>
      <c r="AC939" s="8">
        <v>3</v>
      </c>
      <c r="AD939" s="8">
        <v>17</v>
      </c>
      <c r="AE939" s="7" t="s">
        <v>58</v>
      </c>
      <c r="AG939">
        <f t="shared" ca="1" si="42"/>
        <v>3</v>
      </c>
      <c r="AH939" s="23" t="str" cm="1">
        <f t="array" ref="AH939">_xlfn.IFS(E939&gt;49,"50+",E939&gt;39,"40-49",E939&gt;29,"30-39",E939&gt;19,"20-29")</f>
        <v>20-29</v>
      </c>
      <c r="AI939" s="24" t="str" cm="1">
        <f t="array" aca="1" ref="AI939" ca="1">_xlfn.IFS(AG939&gt;10,"10+",AG939&gt;4,"5-10 YIL",AG939&gt;2,"3-5 YIL",AG939&gt;0.9,"1-3 YIL",AG939&lt;1,"0-1 YIL")</f>
        <v>3-5 YIL</v>
      </c>
      <c r="AJ939">
        <f t="shared" si="43"/>
        <v>2022</v>
      </c>
      <c r="AK939" t="e">
        <f t="shared" si="44"/>
        <v>#VALUE!</v>
      </c>
    </row>
    <row r="940" spans="1:37" x14ac:dyDescent="0.3">
      <c r="A940" s="2" t="s">
        <v>1416</v>
      </c>
      <c r="B940" s="3" t="s">
        <v>849</v>
      </c>
      <c r="C940" s="2" t="s">
        <v>48</v>
      </c>
      <c r="D940" s="13">
        <v>35893</v>
      </c>
      <c r="E940" s="4">
        <v>28</v>
      </c>
      <c r="F940" s="2" t="s">
        <v>34</v>
      </c>
      <c r="G940" s="4">
        <v>0</v>
      </c>
      <c r="H940" s="2" t="s">
        <v>35</v>
      </c>
      <c r="I940" s="3" t="s">
        <v>36</v>
      </c>
      <c r="J940" s="3" t="s">
        <v>37</v>
      </c>
      <c r="K940" s="2" t="s">
        <v>38</v>
      </c>
      <c r="L940" s="2" t="s">
        <v>39</v>
      </c>
      <c r="M940" s="3" t="s">
        <v>40</v>
      </c>
      <c r="N940" s="2" t="s">
        <v>41</v>
      </c>
      <c r="O940" s="13">
        <v>46002</v>
      </c>
      <c r="P940" s="2" t="s">
        <v>44</v>
      </c>
      <c r="Q940" s="3" t="s">
        <v>44</v>
      </c>
      <c r="R940" s="2" t="s">
        <v>44</v>
      </c>
      <c r="S940" s="2" t="s">
        <v>56</v>
      </c>
      <c r="T940" s="5">
        <v>28400</v>
      </c>
      <c r="U940" s="5">
        <v>0</v>
      </c>
      <c r="V940" s="4">
        <v>36</v>
      </c>
      <c r="W940" s="4">
        <v>29</v>
      </c>
      <c r="X940" s="2" t="s">
        <v>57</v>
      </c>
      <c r="Y940" s="4">
        <v>1</v>
      </c>
      <c r="Z940" s="4">
        <v>0</v>
      </c>
      <c r="AA940" s="4">
        <v>0</v>
      </c>
      <c r="AB940" s="4">
        <v>0</v>
      </c>
      <c r="AC940" s="4">
        <v>4</v>
      </c>
      <c r="AD940" s="4">
        <v>27</v>
      </c>
      <c r="AE940" s="3" t="s">
        <v>58</v>
      </c>
      <c r="AG940">
        <f t="shared" ca="1" si="42"/>
        <v>0</v>
      </c>
      <c r="AH940" s="23" t="str" cm="1">
        <f t="array" ref="AH940">_xlfn.IFS(E940&gt;49,"50+",E940&gt;39,"40-49",E940&gt;29,"30-39",E940&gt;19,"20-29")</f>
        <v>20-29</v>
      </c>
      <c r="AI940" s="24" t="str" cm="1">
        <f t="array" aca="1" ref="AI940" ca="1">_xlfn.IFS(AG940&gt;10,"10+",AG940&gt;4,"5-10 YIL",AG940&gt;2,"3-5 YIL",AG940&gt;0.9,"1-3 YIL",AG940&lt;1,"0-1 YIL")</f>
        <v>0-1 YIL</v>
      </c>
      <c r="AJ940">
        <f t="shared" si="43"/>
        <v>2025</v>
      </c>
      <c r="AK940" t="e">
        <f t="shared" si="44"/>
        <v>#VALUE!</v>
      </c>
    </row>
    <row r="941" spans="1:37" x14ac:dyDescent="0.3">
      <c r="A941" s="6" t="s">
        <v>1417</v>
      </c>
      <c r="B941" s="7" t="s">
        <v>620</v>
      </c>
      <c r="C941" s="6" t="s">
        <v>48</v>
      </c>
      <c r="D941" s="14">
        <v>35726</v>
      </c>
      <c r="E941" s="8">
        <v>29</v>
      </c>
      <c r="F941" s="6" t="s">
        <v>49</v>
      </c>
      <c r="G941" s="8">
        <v>0</v>
      </c>
      <c r="H941" s="6" t="s">
        <v>85</v>
      </c>
      <c r="I941" s="7" t="s">
        <v>139</v>
      </c>
      <c r="J941" s="7" t="s">
        <v>235</v>
      </c>
      <c r="K941" s="6" t="s">
        <v>38</v>
      </c>
      <c r="L941" s="6" t="s">
        <v>63</v>
      </c>
      <c r="M941" s="7" t="s">
        <v>162</v>
      </c>
      <c r="N941" s="6" t="s">
        <v>67</v>
      </c>
      <c r="O941" s="14">
        <v>45690</v>
      </c>
      <c r="P941" s="6" t="s">
        <v>44</v>
      </c>
      <c r="Q941" s="7" t="s">
        <v>44</v>
      </c>
      <c r="R941" s="6" t="s">
        <v>44</v>
      </c>
      <c r="S941" s="6" t="s">
        <v>56</v>
      </c>
      <c r="T941" s="9">
        <v>50700</v>
      </c>
      <c r="U941" s="9">
        <v>0</v>
      </c>
      <c r="V941" s="8">
        <v>6</v>
      </c>
      <c r="W941" s="8">
        <v>28</v>
      </c>
      <c r="X941" s="6" t="s">
        <v>57</v>
      </c>
      <c r="Y941" s="8">
        <v>2</v>
      </c>
      <c r="Z941" s="8">
        <v>7</v>
      </c>
      <c r="AA941" s="8">
        <v>0</v>
      </c>
      <c r="AB941" s="8">
        <v>0</v>
      </c>
      <c r="AC941" s="8">
        <v>1</v>
      </c>
      <c r="AD941" s="8">
        <v>13</v>
      </c>
      <c r="AE941" s="7" t="s">
        <v>58</v>
      </c>
      <c r="AG941">
        <f t="shared" ca="1" si="42"/>
        <v>1</v>
      </c>
      <c r="AH941" s="23" t="str" cm="1">
        <f t="array" ref="AH941">_xlfn.IFS(E941&gt;49,"50+",E941&gt;39,"40-49",E941&gt;29,"30-39",E941&gt;19,"20-29")</f>
        <v>20-29</v>
      </c>
      <c r="AI941" s="24" t="str" cm="1">
        <f t="array" aca="1" ref="AI941" ca="1">_xlfn.IFS(AG941&gt;10,"10+",AG941&gt;4,"5-10 YIL",AG941&gt;2,"3-5 YIL",AG941&gt;0.9,"1-3 YIL",AG941&lt;1,"0-1 YIL")</f>
        <v>1-3 YIL</v>
      </c>
      <c r="AJ941">
        <f t="shared" si="43"/>
        <v>2025</v>
      </c>
      <c r="AK941" t="e">
        <f t="shared" si="44"/>
        <v>#VALUE!</v>
      </c>
    </row>
    <row r="942" spans="1:37" x14ac:dyDescent="0.3">
      <c r="A942" s="2" t="s">
        <v>1418</v>
      </c>
      <c r="B942" s="3" t="s">
        <v>1271</v>
      </c>
      <c r="C942" s="2" t="s">
        <v>33</v>
      </c>
      <c r="D942" s="13">
        <v>37713</v>
      </c>
      <c r="E942" s="4">
        <v>23</v>
      </c>
      <c r="F942" s="2" t="s">
        <v>49</v>
      </c>
      <c r="G942" s="4">
        <v>1</v>
      </c>
      <c r="H942" s="2" t="s">
        <v>88</v>
      </c>
      <c r="I942" s="3" t="s">
        <v>36</v>
      </c>
      <c r="J942" s="3" t="s">
        <v>37</v>
      </c>
      <c r="K942" s="2" t="s">
        <v>38</v>
      </c>
      <c r="L942" s="2" t="s">
        <v>39</v>
      </c>
      <c r="M942" s="3" t="s">
        <v>40</v>
      </c>
      <c r="N942" s="2" t="s">
        <v>41</v>
      </c>
      <c r="O942" s="13">
        <v>45274</v>
      </c>
      <c r="P942" s="13">
        <v>46036</v>
      </c>
      <c r="Q942" s="3" t="s">
        <v>53</v>
      </c>
      <c r="R942" s="2">
        <v>4</v>
      </c>
      <c r="S942" s="2" t="s">
        <v>43</v>
      </c>
      <c r="T942" s="5">
        <v>28600</v>
      </c>
      <c r="U942" s="5">
        <v>0</v>
      </c>
      <c r="V942" s="4">
        <v>10</v>
      </c>
      <c r="W942" s="4">
        <v>30</v>
      </c>
      <c r="X942" s="2" t="s">
        <v>44</v>
      </c>
      <c r="Y942" s="4">
        <v>0</v>
      </c>
      <c r="Z942" s="4">
        <v>3</v>
      </c>
      <c r="AA942" s="4">
        <v>0</v>
      </c>
      <c r="AB942" s="4">
        <v>0</v>
      </c>
      <c r="AC942" s="4">
        <v>3</v>
      </c>
      <c r="AD942" s="4">
        <v>11</v>
      </c>
      <c r="AE942" s="3" t="s">
        <v>45</v>
      </c>
      <c r="AG942">
        <f t="shared" ca="1" si="42"/>
        <v>2</v>
      </c>
      <c r="AH942" s="23" t="str" cm="1">
        <f t="array" ref="AH942">_xlfn.IFS(E942&gt;49,"50+",E942&gt;39,"40-49",E942&gt;29,"30-39",E942&gt;19,"20-29")</f>
        <v>20-29</v>
      </c>
      <c r="AI942" s="24" t="str" cm="1">
        <f t="array" aca="1" ref="AI942" ca="1">_xlfn.IFS(AG942&gt;10,"10+",AG942&gt;4,"5-10 YIL",AG942&gt;2,"3-5 YIL",AG942&gt;0.9,"1-3 YIL",AG942&lt;1,"0-1 YIL")</f>
        <v>1-3 YIL</v>
      </c>
      <c r="AJ942">
        <f t="shared" si="43"/>
        <v>2023</v>
      </c>
      <c r="AK942">
        <f t="shared" si="44"/>
        <v>2026</v>
      </c>
    </row>
    <row r="943" spans="1:37" x14ac:dyDescent="0.3">
      <c r="A943" s="6" t="s">
        <v>1419</v>
      </c>
      <c r="B943" s="7" t="s">
        <v>673</v>
      </c>
      <c r="C943" s="6" t="s">
        <v>33</v>
      </c>
      <c r="D943" s="14">
        <v>35596</v>
      </c>
      <c r="E943" s="8">
        <v>29</v>
      </c>
      <c r="F943" s="6" t="s">
        <v>49</v>
      </c>
      <c r="G943" s="8">
        <v>0</v>
      </c>
      <c r="H943" s="6" t="s">
        <v>35</v>
      </c>
      <c r="I943" s="7" t="s">
        <v>36</v>
      </c>
      <c r="J943" s="7" t="s">
        <v>37</v>
      </c>
      <c r="K943" s="6" t="s">
        <v>38</v>
      </c>
      <c r="L943" s="6" t="s">
        <v>39</v>
      </c>
      <c r="M943" s="7" t="s">
        <v>40</v>
      </c>
      <c r="N943" s="6" t="s">
        <v>89</v>
      </c>
      <c r="O943" s="14">
        <v>45064</v>
      </c>
      <c r="P943" s="6" t="s">
        <v>44</v>
      </c>
      <c r="Q943" s="7" t="s">
        <v>44</v>
      </c>
      <c r="R943" s="6" t="s">
        <v>44</v>
      </c>
      <c r="S943" s="6" t="s">
        <v>56</v>
      </c>
      <c r="T943" s="9">
        <v>27500</v>
      </c>
      <c r="U943" s="9">
        <v>0</v>
      </c>
      <c r="V943" s="8">
        <v>17</v>
      </c>
      <c r="W943" s="8">
        <v>28</v>
      </c>
      <c r="X943" s="6" t="s">
        <v>57</v>
      </c>
      <c r="Y943" s="8">
        <v>2</v>
      </c>
      <c r="Z943" s="8">
        <v>10</v>
      </c>
      <c r="AA943" s="8">
        <v>0</v>
      </c>
      <c r="AB943" s="8">
        <v>0</v>
      </c>
      <c r="AC943" s="8">
        <v>3</v>
      </c>
      <c r="AD943" s="8">
        <v>10</v>
      </c>
      <c r="AE943" s="7" t="s">
        <v>58</v>
      </c>
      <c r="AG943">
        <f t="shared" ca="1" si="42"/>
        <v>3</v>
      </c>
      <c r="AH943" s="23" t="str" cm="1">
        <f t="array" ref="AH943">_xlfn.IFS(E943&gt;49,"50+",E943&gt;39,"40-49",E943&gt;29,"30-39",E943&gt;19,"20-29")</f>
        <v>20-29</v>
      </c>
      <c r="AI943" s="24" t="str" cm="1">
        <f t="array" aca="1" ref="AI943" ca="1">_xlfn.IFS(AG943&gt;10,"10+",AG943&gt;4,"5-10 YIL",AG943&gt;2,"3-5 YIL",AG943&gt;0.9,"1-3 YIL",AG943&lt;1,"0-1 YIL")</f>
        <v>3-5 YIL</v>
      </c>
      <c r="AJ943">
        <f t="shared" si="43"/>
        <v>2023</v>
      </c>
      <c r="AK943" t="e">
        <f t="shared" si="44"/>
        <v>#VALUE!</v>
      </c>
    </row>
    <row r="944" spans="1:37" x14ac:dyDescent="0.3">
      <c r="A944" s="2" t="s">
        <v>1420</v>
      </c>
      <c r="B944" s="3" t="s">
        <v>1025</v>
      </c>
      <c r="C944" s="2" t="s">
        <v>48</v>
      </c>
      <c r="D944" s="13">
        <v>38295</v>
      </c>
      <c r="E944" s="4">
        <v>22</v>
      </c>
      <c r="F944" s="2" t="s">
        <v>34</v>
      </c>
      <c r="G944" s="4">
        <v>0</v>
      </c>
      <c r="H944" s="2" t="s">
        <v>85</v>
      </c>
      <c r="I944" s="3" t="s">
        <v>36</v>
      </c>
      <c r="J944" s="3" t="s">
        <v>37</v>
      </c>
      <c r="K944" s="2" t="s">
        <v>38</v>
      </c>
      <c r="L944" s="2" t="s">
        <v>39</v>
      </c>
      <c r="M944" s="3" t="s">
        <v>40</v>
      </c>
      <c r="N944" s="2" t="s">
        <v>67</v>
      </c>
      <c r="O944" s="13">
        <v>45882</v>
      </c>
      <c r="P944" s="13">
        <v>46173</v>
      </c>
      <c r="Q944" s="3" t="s">
        <v>53</v>
      </c>
      <c r="R944" s="2">
        <v>4</v>
      </c>
      <c r="S944" s="2" t="s">
        <v>43</v>
      </c>
      <c r="T944" s="5">
        <v>27500</v>
      </c>
      <c r="U944" s="5">
        <v>0</v>
      </c>
      <c r="V944" s="4">
        <v>26</v>
      </c>
      <c r="W944" s="4">
        <v>30</v>
      </c>
      <c r="X944" s="2" t="s">
        <v>44</v>
      </c>
      <c r="Y944" s="4">
        <v>0</v>
      </c>
      <c r="Z944" s="4">
        <v>0</v>
      </c>
      <c r="AA944" s="4">
        <v>0</v>
      </c>
      <c r="AB944" s="4">
        <v>0</v>
      </c>
      <c r="AC944" s="4">
        <v>3</v>
      </c>
      <c r="AD944" s="4">
        <v>9</v>
      </c>
      <c r="AE944" s="3" t="s">
        <v>58</v>
      </c>
      <c r="AG944">
        <f t="shared" ca="1" si="42"/>
        <v>0</v>
      </c>
      <c r="AH944" s="23" t="str" cm="1">
        <f t="array" ref="AH944">_xlfn.IFS(E944&gt;49,"50+",E944&gt;39,"40-49",E944&gt;29,"30-39",E944&gt;19,"20-29")</f>
        <v>20-29</v>
      </c>
      <c r="AI944" s="24" t="str" cm="1">
        <f t="array" aca="1" ref="AI944" ca="1">_xlfn.IFS(AG944&gt;10,"10+",AG944&gt;4,"5-10 YIL",AG944&gt;2,"3-5 YIL",AG944&gt;0.9,"1-3 YIL",AG944&lt;1,"0-1 YIL")</f>
        <v>0-1 YIL</v>
      </c>
      <c r="AJ944">
        <f t="shared" si="43"/>
        <v>2025</v>
      </c>
      <c r="AK944">
        <f t="shared" si="44"/>
        <v>2026</v>
      </c>
    </row>
    <row r="945" spans="1:37" x14ac:dyDescent="0.3">
      <c r="A945" s="6" t="s">
        <v>1421</v>
      </c>
      <c r="B945" s="7" t="s">
        <v>102</v>
      </c>
      <c r="C945" s="6" t="s">
        <v>48</v>
      </c>
      <c r="D945" s="14">
        <v>33854</v>
      </c>
      <c r="E945" s="8">
        <v>34</v>
      </c>
      <c r="F945" s="6" t="s">
        <v>49</v>
      </c>
      <c r="G945" s="8">
        <v>1</v>
      </c>
      <c r="H945" s="6" t="s">
        <v>35</v>
      </c>
      <c r="I945" s="7" t="s">
        <v>70</v>
      </c>
      <c r="J945" s="7" t="s">
        <v>71</v>
      </c>
      <c r="K945" s="6" t="s">
        <v>51</v>
      </c>
      <c r="L945" s="6" t="s">
        <v>63</v>
      </c>
      <c r="M945" s="7" t="s">
        <v>72</v>
      </c>
      <c r="N945" s="6" t="s">
        <v>41</v>
      </c>
      <c r="O945" s="14">
        <v>43025</v>
      </c>
      <c r="P945" s="6" t="s">
        <v>44</v>
      </c>
      <c r="Q945" s="7" t="s">
        <v>44</v>
      </c>
      <c r="R945" s="6" t="s">
        <v>44</v>
      </c>
      <c r="S945" s="6" t="s">
        <v>56</v>
      </c>
      <c r="T945" s="9">
        <v>60000</v>
      </c>
      <c r="U945" s="9">
        <v>0</v>
      </c>
      <c r="V945" s="8">
        <v>9</v>
      </c>
      <c r="W945" s="8">
        <v>30</v>
      </c>
      <c r="X945" s="6" t="s">
        <v>44</v>
      </c>
      <c r="Y945" s="8">
        <v>0</v>
      </c>
      <c r="Z945" s="8">
        <v>7</v>
      </c>
      <c r="AA945" s="8">
        <v>0</v>
      </c>
      <c r="AB945" s="8">
        <v>0</v>
      </c>
      <c r="AC945" s="8">
        <v>3</v>
      </c>
      <c r="AD945" s="8">
        <v>15</v>
      </c>
      <c r="AE945" s="7" t="s">
        <v>73</v>
      </c>
      <c r="AG945">
        <f t="shared" ca="1" si="42"/>
        <v>8</v>
      </c>
      <c r="AH945" s="23" t="str" cm="1">
        <f t="array" ref="AH945">_xlfn.IFS(E945&gt;49,"50+",E945&gt;39,"40-49",E945&gt;29,"30-39",E945&gt;19,"20-29")</f>
        <v>30-39</v>
      </c>
      <c r="AI945" s="24" t="str" cm="1">
        <f t="array" aca="1" ref="AI945" ca="1">_xlfn.IFS(AG945&gt;10,"10+",AG945&gt;4,"5-10 YIL",AG945&gt;2,"3-5 YIL",AG945&gt;0.9,"1-3 YIL",AG945&lt;1,"0-1 YIL")</f>
        <v>5-10 YIL</v>
      </c>
      <c r="AJ945">
        <f t="shared" si="43"/>
        <v>2017</v>
      </c>
      <c r="AK945" t="e">
        <f t="shared" si="44"/>
        <v>#VALUE!</v>
      </c>
    </row>
    <row r="946" spans="1:37" x14ac:dyDescent="0.3">
      <c r="A946" s="2" t="s">
        <v>1422</v>
      </c>
      <c r="B946" s="3" t="s">
        <v>543</v>
      </c>
      <c r="C946" s="2" t="s">
        <v>48</v>
      </c>
      <c r="D946" s="13">
        <v>30231</v>
      </c>
      <c r="E946" s="4">
        <v>44</v>
      </c>
      <c r="F946" s="2" t="s">
        <v>34</v>
      </c>
      <c r="G946" s="4">
        <v>0</v>
      </c>
      <c r="H946" s="2" t="s">
        <v>85</v>
      </c>
      <c r="I946" s="3" t="s">
        <v>148</v>
      </c>
      <c r="J946" s="3" t="s">
        <v>149</v>
      </c>
      <c r="K946" s="2" t="s">
        <v>51</v>
      </c>
      <c r="L946" s="2" t="s">
        <v>63</v>
      </c>
      <c r="M946" s="3" t="s">
        <v>150</v>
      </c>
      <c r="N946" s="2" t="s">
        <v>41</v>
      </c>
      <c r="O946" s="13">
        <v>43984</v>
      </c>
      <c r="P946" s="2" t="s">
        <v>44</v>
      </c>
      <c r="Q946" s="3" t="s">
        <v>44</v>
      </c>
      <c r="R946" s="2" t="s">
        <v>44</v>
      </c>
      <c r="S946" s="2" t="s">
        <v>56</v>
      </c>
      <c r="T946" s="5">
        <v>52100</v>
      </c>
      <c r="U946" s="5">
        <v>0</v>
      </c>
      <c r="V946" s="4">
        <v>7</v>
      </c>
      <c r="W946" s="4">
        <v>29</v>
      </c>
      <c r="X946" s="2" t="s">
        <v>81</v>
      </c>
      <c r="Y946" s="4">
        <v>0</v>
      </c>
      <c r="Z946" s="4">
        <v>13</v>
      </c>
      <c r="AA946" s="4">
        <v>1</v>
      </c>
      <c r="AB946" s="4">
        <v>0</v>
      </c>
      <c r="AC946" s="4">
        <v>3</v>
      </c>
      <c r="AD946" s="4">
        <v>6</v>
      </c>
      <c r="AE946" s="3" t="s">
        <v>58</v>
      </c>
      <c r="AG946">
        <f t="shared" ca="1" si="42"/>
        <v>6</v>
      </c>
      <c r="AH946" s="23" t="str" cm="1">
        <f t="array" ref="AH946">_xlfn.IFS(E946&gt;49,"50+",E946&gt;39,"40-49",E946&gt;29,"30-39",E946&gt;19,"20-29")</f>
        <v>40-49</v>
      </c>
      <c r="AI946" s="24" t="str" cm="1">
        <f t="array" aca="1" ref="AI946" ca="1">_xlfn.IFS(AG946&gt;10,"10+",AG946&gt;4,"5-10 YIL",AG946&gt;2,"3-5 YIL",AG946&gt;0.9,"1-3 YIL",AG946&lt;1,"0-1 YIL")</f>
        <v>5-10 YIL</v>
      </c>
      <c r="AJ946">
        <f t="shared" si="43"/>
        <v>2020</v>
      </c>
      <c r="AK946" t="e">
        <f t="shared" si="44"/>
        <v>#VALUE!</v>
      </c>
    </row>
    <row r="947" spans="1:37" x14ac:dyDescent="0.3">
      <c r="A947" s="6" t="s">
        <v>1423</v>
      </c>
      <c r="B947" s="7" t="s">
        <v>1291</v>
      </c>
      <c r="C947" s="6" t="s">
        <v>48</v>
      </c>
      <c r="D947" s="14">
        <v>36685</v>
      </c>
      <c r="E947" s="8">
        <v>26</v>
      </c>
      <c r="F947" s="6" t="s">
        <v>49</v>
      </c>
      <c r="G947" s="8">
        <v>1</v>
      </c>
      <c r="H947" s="6" t="s">
        <v>88</v>
      </c>
      <c r="I947" s="7" t="s">
        <v>36</v>
      </c>
      <c r="J947" s="7" t="s">
        <v>37</v>
      </c>
      <c r="K947" s="6" t="s">
        <v>38</v>
      </c>
      <c r="L947" s="6" t="s">
        <v>39</v>
      </c>
      <c r="M947" s="7" t="s">
        <v>40</v>
      </c>
      <c r="N947" s="6" t="s">
        <v>41</v>
      </c>
      <c r="O947" s="14">
        <v>45672</v>
      </c>
      <c r="P947" s="6" t="s">
        <v>44</v>
      </c>
      <c r="Q947" s="7" t="s">
        <v>44</v>
      </c>
      <c r="R947" s="6" t="s">
        <v>44</v>
      </c>
      <c r="S947" s="6" t="s">
        <v>56</v>
      </c>
      <c r="T947" s="9">
        <v>24000</v>
      </c>
      <c r="U947" s="9">
        <v>0</v>
      </c>
      <c r="V947" s="8">
        <v>11</v>
      </c>
      <c r="W947" s="8">
        <v>29</v>
      </c>
      <c r="X947" s="6" t="s">
        <v>81</v>
      </c>
      <c r="Y947" s="8">
        <v>0</v>
      </c>
      <c r="Z947" s="8">
        <v>11</v>
      </c>
      <c r="AA947" s="8">
        <v>1</v>
      </c>
      <c r="AB947" s="8">
        <v>0</v>
      </c>
      <c r="AC947" s="8">
        <v>4</v>
      </c>
      <c r="AD947" s="8">
        <v>27</v>
      </c>
      <c r="AE947" s="7" t="s">
        <v>73</v>
      </c>
      <c r="AG947">
        <f t="shared" ca="1" si="42"/>
        <v>1</v>
      </c>
      <c r="AH947" s="23" t="str" cm="1">
        <f t="array" ref="AH947">_xlfn.IFS(E947&gt;49,"50+",E947&gt;39,"40-49",E947&gt;29,"30-39",E947&gt;19,"20-29")</f>
        <v>20-29</v>
      </c>
      <c r="AI947" s="24" t="str" cm="1">
        <f t="array" aca="1" ref="AI947" ca="1">_xlfn.IFS(AG947&gt;10,"10+",AG947&gt;4,"5-10 YIL",AG947&gt;2,"3-5 YIL",AG947&gt;0.9,"1-3 YIL",AG947&lt;1,"0-1 YIL")</f>
        <v>1-3 YIL</v>
      </c>
      <c r="AJ947">
        <f t="shared" si="43"/>
        <v>2025</v>
      </c>
      <c r="AK947" t="e">
        <f t="shared" si="44"/>
        <v>#VALUE!</v>
      </c>
    </row>
    <row r="948" spans="1:37" x14ac:dyDescent="0.3">
      <c r="A948" s="2" t="s">
        <v>1424</v>
      </c>
      <c r="B948" s="3" t="s">
        <v>358</v>
      </c>
      <c r="C948" s="2" t="s">
        <v>33</v>
      </c>
      <c r="D948" s="13">
        <v>36417</v>
      </c>
      <c r="E948" s="4">
        <v>27</v>
      </c>
      <c r="F948" s="2" t="s">
        <v>49</v>
      </c>
      <c r="G948" s="4">
        <v>1</v>
      </c>
      <c r="H948" s="2" t="s">
        <v>85</v>
      </c>
      <c r="I948" s="3" t="s">
        <v>139</v>
      </c>
      <c r="J948" s="3" t="s">
        <v>235</v>
      </c>
      <c r="K948" s="2" t="s">
        <v>38</v>
      </c>
      <c r="L948" s="2" t="s">
        <v>63</v>
      </c>
      <c r="M948" s="3" t="s">
        <v>162</v>
      </c>
      <c r="N948" s="2" t="s">
        <v>41</v>
      </c>
      <c r="O948" s="13">
        <v>45925</v>
      </c>
      <c r="P948" s="2" t="s">
        <v>44</v>
      </c>
      <c r="Q948" s="3" t="s">
        <v>44</v>
      </c>
      <c r="R948" s="2" t="s">
        <v>44</v>
      </c>
      <c r="S948" s="2" t="s">
        <v>56</v>
      </c>
      <c r="T948" s="5">
        <v>45000</v>
      </c>
      <c r="U948" s="5">
        <v>0</v>
      </c>
      <c r="V948" s="4">
        <v>2</v>
      </c>
      <c r="W948" s="4">
        <v>30</v>
      </c>
      <c r="X948" s="2" t="s">
        <v>44</v>
      </c>
      <c r="Y948" s="4">
        <v>0</v>
      </c>
      <c r="Z948" s="4">
        <v>0</v>
      </c>
      <c r="AA948" s="4">
        <v>0</v>
      </c>
      <c r="AB948" s="4">
        <v>0</v>
      </c>
      <c r="AC948" s="4">
        <v>3</v>
      </c>
      <c r="AD948" s="4">
        <v>5</v>
      </c>
      <c r="AE948" s="3" t="s">
        <v>58</v>
      </c>
      <c r="AG948">
        <f t="shared" ca="1" si="42"/>
        <v>0</v>
      </c>
      <c r="AH948" s="23" t="str" cm="1">
        <f t="array" ref="AH948">_xlfn.IFS(E948&gt;49,"50+",E948&gt;39,"40-49",E948&gt;29,"30-39",E948&gt;19,"20-29")</f>
        <v>20-29</v>
      </c>
      <c r="AI948" s="24" t="str" cm="1">
        <f t="array" aca="1" ref="AI948" ca="1">_xlfn.IFS(AG948&gt;10,"10+",AG948&gt;4,"5-10 YIL",AG948&gt;2,"3-5 YIL",AG948&gt;0.9,"1-3 YIL",AG948&lt;1,"0-1 YIL")</f>
        <v>0-1 YIL</v>
      </c>
      <c r="AJ948">
        <f t="shared" si="43"/>
        <v>2025</v>
      </c>
      <c r="AK948" t="e">
        <f t="shared" si="44"/>
        <v>#VALUE!</v>
      </c>
    </row>
    <row r="949" spans="1:37" x14ac:dyDescent="0.3">
      <c r="A949" s="6" t="s">
        <v>1425</v>
      </c>
      <c r="B949" s="7" t="s">
        <v>66</v>
      </c>
      <c r="C949" s="6" t="s">
        <v>33</v>
      </c>
      <c r="D949" s="14">
        <v>37004</v>
      </c>
      <c r="E949" s="8">
        <v>25</v>
      </c>
      <c r="F949" s="6" t="s">
        <v>49</v>
      </c>
      <c r="G949" s="8">
        <v>1</v>
      </c>
      <c r="H949" s="6" t="s">
        <v>35</v>
      </c>
      <c r="I949" s="7" t="s">
        <v>36</v>
      </c>
      <c r="J949" s="7" t="s">
        <v>37</v>
      </c>
      <c r="K949" s="6" t="s">
        <v>38</v>
      </c>
      <c r="L949" s="6" t="s">
        <v>39</v>
      </c>
      <c r="M949" s="7" t="s">
        <v>40</v>
      </c>
      <c r="N949" s="6" t="s">
        <v>41</v>
      </c>
      <c r="O949" s="14">
        <v>44954</v>
      </c>
      <c r="P949" s="6" t="s">
        <v>44</v>
      </c>
      <c r="Q949" s="7" t="s">
        <v>44</v>
      </c>
      <c r="R949" s="6" t="s">
        <v>44</v>
      </c>
      <c r="S949" s="6" t="s">
        <v>56</v>
      </c>
      <c r="T949" s="9">
        <v>28300</v>
      </c>
      <c r="U949" s="9">
        <v>0</v>
      </c>
      <c r="V949" s="8">
        <v>41</v>
      </c>
      <c r="W949" s="8">
        <v>30</v>
      </c>
      <c r="X949" s="6" t="s">
        <v>44</v>
      </c>
      <c r="Y949" s="8">
        <v>0</v>
      </c>
      <c r="Z949" s="8">
        <v>2</v>
      </c>
      <c r="AA949" s="8">
        <v>0</v>
      </c>
      <c r="AB949" s="8">
        <v>0</v>
      </c>
      <c r="AC949" s="8">
        <v>3</v>
      </c>
      <c r="AD949" s="8">
        <v>11</v>
      </c>
      <c r="AE949" s="7" t="s">
        <v>45</v>
      </c>
      <c r="AG949">
        <f t="shared" ca="1" si="42"/>
        <v>3</v>
      </c>
      <c r="AH949" s="23" t="str" cm="1">
        <f t="array" ref="AH949">_xlfn.IFS(E949&gt;49,"50+",E949&gt;39,"40-49",E949&gt;29,"30-39",E949&gt;19,"20-29")</f>
        <v>20-29</v>
      </c>
      <c r="AI949" s="24" t="str" cm="1">
        <f t="array" aca="1" ref="AI949" ca="1">_xlfn.IFS(AG949&gt;10,"10+",AG949&gt;4,"5-10 YIL",AG949&gt;2,"3-5 YIL",AG949&gt;0.9,"1-3 YIL",AG949&lt;1,"0-1 YIL")</f>
        <v>3-5 YIL</v>
      </c>
      <c r="AJ949">
        <f t="shared" si="43"/>
        <v>2023</v>
      </c>
      <c r="AK949" t="e">
        <f t="shared" si="44"/>
        <v>#VALUE!</v>
      </c>
    </row>
    <row r="950" spans="1:37" x14ac:dyDescent="0.3">
      <c r="A950" s="2" t="s">
        <v>1426</v>
      </c>
      <c r="B950" s="3" t="s">
        <v>610</v>
      </c>
      <c r="C950" s="2" t="s">
        <v>33</v>
      </c>
      <c r="D950" s="13">
        <v>36590</v>
      </c>
      <c r="E950" s="4">
        <v>26</v>
      </c>
      <c r="F950" s="2" t="s">
        <v>34</v>
      </c>
      <c r="G950" s="4">
        <v>0</v>
      </c>
      <c r="H950" s="2" t="s">
        <v>35</v>
      </c>
      <c r="I950" s="3" t="s">
        <v>36</v>
      </c>
      <c r="J950" s="3" t="s">
        <v>37</v>
      </c>
      <c r="K950" s="2" t="s">
        <v>38</v>
      </c>
      <c r="L950" s="2" t="s">
        <v>39</v>
      </c>
      <c r="M950" s="3" t="s">
        <v>40</v>
      </c>
      <c r="N950" s="2" t="s">
        <v>41</v>
      </c>
      <c r="O950" s="13">
        <v>44768</v>
      </c>
      <c r="P950" s="2" t="s">
        <v>44</v>
      </c>
      <c r="Q950" s="3" t="s">
        <v>44</v>
      </c>
      <c r="R950" s="2" t="s">
        <v>44</v>
      </c>
      <c r="S950" s="2" t="s">
        <v>56</v>
      </c>
      <c r="T950" s="5">
        <v>26700</v>
      </c>
      <c r="U950" s="5">
        <v>0</v>
      </c>
      <c r="V950" s="4">
        <v>18</v>
      </c>
      <c r="W950" s="4">
        <v>30</v>
      </c>
      <c r="X950" s="2" t="s">
        <v>44</v>
      </c>
      <c r="Y950" s="4">
        <v>0</v>
      </c>
      <c r="Z950" s="4">
        <v>14</v>
      </c>
      <c r="AA950" s="4">
        <v>0</v>
      </c>
      <c r="AB950" s="4">
        <v>0</v>
      </c>
      <c r="AC950" s="4">
        <v>3</v>
      </c>
      <c r="AD950" s="4">
        <v>9</v>
      </c>
      <c r="AE950" s="3" t="s">
        <v>45</v>
      </c>
      <c r="AG950">
        <f t="shared" ca="1" si="42"/>
        <v>3</v>
      </c>
      <c r="AH950" s="23" t="str" cm="1">
        <f t="array" ref="AH950">_xlfn.IFS(E950&gt;49,"50+",E950&gt;39,"40-49",E950&gt;29,"30-39",E950&gt;19,"20-29")</f>
        <v>20-29</v>
      </c>
      <c r="AI950" s="24" t="str" cm="1">
        <f t="array" aca="1" ref="AI950" ca="1">_xlfn.IFS(AG950&gt;10,"10+",AG950&gt;4,"5-10 YIL",AG950&gt;2,"3-5 YIL",AG950&gt;0.9,"1-3 YIL",AG950&lt;1,"0-1 YIL")</f>
        <v>3-5 YIL</v>
      </c>
      <c r="AJ950">
        <f t="shared" si="43"/>
        <v>2022</v>
      </c>
      <c r="AK950" t="e">
        <f t="shared" si="44"/>
        <v>#VALUE!</v>
      </c>
    </row>
    <row r="951" spans="1:37" x14ac:dyDescent="0.3">
      <c r="A951" s="6" t="s">
        <v>1427</v>
      </c>
      <c r="B951" s="7" t="s">
        <v>884</v>
      </c>
      <c r="C951" s="6" t="s">
        <v>33</v>
      </c>
      <c r="D951" s="14">
        <v>36305</v>
      </c>
      <c r="E951" s="8">
        <v>27</v>
      </c>
      <c r="F951" s="6" t="s">
        <v>34</v>
      </c>
      <c r="G951" s="8">
        <v>0</v>
      </c>
      <c r="H951" s="6" t="s">
        <v>88</v>
      </c>
      <c r="I951" s="7" t="s">
        <v>36</v>
      </c>
      <c r="J951" s="7" t="s">
        <v>37</v>
      </c>
      <c r="K951" s="6" t="s">
        <v>38</v>
      </c>
      <c r="L951" s="6" t="s">
        <v>39</v>
      </c>
      <c r="M951" s="7" t="s">
        <v>40</v>
      </c>
      <c r="N951" s="6" t="s">
        <v>52</v>
      </c>
      <c r="O951" s="14">
        <v>44806</v>
      </c>
      <c r="P951" s="6" t="s">
        <v>44</v>
      </c>
      <c r="Q951" s="7" t="s">
        <v>44</v>
      </c>
      <c r="R951" s="6" t="s">
        <v>44</v>
      </c>
      <c r="S951" s="6" t="s">
        <v>56</v>
      </c>
      <c r="T951" s="9">
        <v>26400</v>
      </c>
      <c r="U951" s="9">
        <v>0</v>
      </c>
      <c r="V951" s="8">
        <v>44</v>
      </c>
      <c r="W951" s="8">
        <v>29</v>
      </c>
      <c r="X951" s="6" t="s">
        <v>112</v>
      </c>
      <c r="Y951" s="8">
        <v>0</v>
      </c>
      <c r="Z951" s="8">
        <v>1</v>
      </c>
      <c r="AA951" s="8">
        <v>0</v>
      </c>
      <c r="AB951" s="8">
        <v>1</v>
      </c>
      <c r="AC951" s="8">
        <v>4</v>
      </c>
      <c r="AD951" s="8">
        <v>22</v>
      </c>
      <c r="AE951" s="7" t="s">
        <v>58</v>
      </c>
      <c r="AG951">
        <f t="shared" ca="1" si="42"/>
        <v>3</v>
      </c>
      <c r="AH951" s="23" t="str" cm="1">
        <f t="array" ref="AH951">_xlfn.IFS(E951&gt;49,"50+",E951&gt;39,"40-49",E951&gt;29,"30-39",E951&gt;19,"20-29")</f>
        <v>20-29</v>
      </c>
      <c r="AI951" s="24" t="str" cm="1">
        <f t="array" aca="1" ref="AI951" ca="1">_xlfn.IFS(AG951&gt;10,"10+",AG951&gt;4,"5-10 YIL",AG951&gt;2,"3-5 YIL",AG951&gt;0.9,"1-3 YIL",AG951&lt;1,"0-1 YIL")</f>
        <v>3-5 YIL</v>
      </c>
      <c r="AJ951">
        <f t="shared" si="43"/>
        <v>2022</v>
      </c>
      <c r="AK951" t="e">
        <f t="shared" si="44"/>
        <v>#VALUE!</v>
      </c>
    </row>
    <row r="952" spans="1:37" x14ac:dyDescent="0.3">
      <c r="A952" s="2" t="s">
        <v>1428</v>
      </c>
      <c r="B952" s="3" t="s">
        <v>708</v>
      </c>
      <c r="C952" s="2" t="s">
        <v>48</v>
      </c>
      <c r="D952" s="13">
        <v>36427</v>
      </c>
      <c r="E952" s="4">
        <v>27</v>
      </c>
      <c r="F952" s="2" t="s">
        <v>49</v>
      </c>
      <c r="G952" s="4">
        <v>0</v>
      </c>
      <c r="H952" s="2" t="s">
        <v>88</v>
      </c>
      <c r="I952" s="3" t="s">
        <v>36</v>
      </c>
      <c r="J952" s="3" t="s">
        <v>37</v>
      </c>
      <c r="K952" s="2" t="s">
        <v>38</v>
      </c>
      <c r="L952" s="2" t="s">
        <v>39</v>
      </c>
      <c r="M952" s="3" t="s">
        <v>40</v>
      </c>
      <c r="N952" s="2" t="s">
        <v>89</v>
      </c>
      <c r="O952" s="13">
        <v>46015</v>
      </c>
      <c r="P952" s="2" t="s">
        <v>44</v>
      </c>
      <c r="Q952" s="3" t="s">
        <v>44</v>
      </c>
      <c r="R952" s="2" t="s">
        <v>44</v>
      </c>
      <c r="S952" s="2" t="s">
        <v>56</v>
      </c>
      <c r="T952" s="5">
        <v>26300</v>
      </c>
      <c r="U952" s="5">
        <v>0</v>
      </c>
      <c r="V952" s="4">
        <v>38</v>
      </c>
      <c r="W952" s="4">
        <v>27</v>
      </c>
      <c r="X952" s="2" t="s">
        <v>57</v>
      </c>
      <c r="Y952" s="4">
        <v>3</v>
      </c>
      <c r="Z952" s="4">
        <v>0</v>
      </c>
      <c r="AA952" s="4">
        <v>0</v>
      </c>
      <c r="AB952" s="4">
        <v>0</v>
      </c>
      <c r="AC952" s="4">
        <v>3</v>
      </c>
      <c r="AD952" s="4">
        <v>15</v>
      </c>
      <c r="AE952" s="3" t="s">
        <v>58</v>
      </c>
      <c r="AG952">
        <f t="shared" ca="1" si="42"/>
        <v>0</v>
      </c>
      <c r="AH952" s="23" t="str" cm="1">
        <f t="array" ref="AH952">_xlfn.IFS(E952&gt;49,"50+",E952&gt;39,"40-49",E952&gt;29,"30-39",E952&gt;19,"20-29")</f>
        <v>20-29</v>
      </c>
      <c r="AI952" s="24" t="str" cm="1">
        <f t="array" aca="1" ref="AI952" ca="1">_xlfn.IFS(AG952&gt;10,"10+",AG952&gt;4,"5-10 YIL",AG952&gt;2,"3-5 YIL",AG952&gt;0.9,"1-3 YIL",AG952&lt;1,"0-1 YIL")</f>
        <v>0-1 YIL</v>
      </c>
      <c r="AJ952">
        <f t="shared" si="43"/>
        <v>2025</v>
      </c>
      <c r="AK952" t="e">
        <f t="shared" si="44"/>
        <v>#VALUE!</v>
      </c>
    </row>
    <row r="953" spans="1:37" x14ac:dyDescent="0.3">
      <c r="A953" s="6" t="s">
        <v>1429</v>
      </c>
      <c r="B953" s="7" t="s">
        <v>956</v>
      </c>
      <c r="C953" s="6" t="s">
        <v>33</v>
      </c>
      <c r="D953" s="14">
        <v>37058</v>
      </c>
      <c r="E953" s="8">
        <v>25</v>
      </c>
      <c r="F953" s="6" t="s">
        <v>34</v>
      </c>
      <c r="G953" s="8">
        <v>0</v>
      </c>
      <c r="H953" s="6" t="s">
        <v>85</v>
      </c>
      <c r="I953" s="7" t="s">
        <v>61</v>
      </c>
      <c r="J953" s="7" t="s">
        <v>62</v>
      </c>
      <c r="K953" s="6" t="s">
        <v>38</v>
      </c>
      <c r="L953" s="6" t="s">
        <v>63</v>
      </c>
      <c r="M953" s="7" t="s">
        <v>64</v>
      </c>
      <c r="N953" s="6" t="s">
        <v>41</v>
      </c>
      <c r="O953" s="14">
        <v>46091</v>
      </c>
      <c r="P953" s="6" t="s">
        <v>44</v>
      </c>
      <c r="Q953" s="7" t="s">
        <v>44</v>
      </c>
      <c r="R953" s="6" t="s">
        <v>44</v>
      </c>
      <c r="S953" s="6" t="s">
        <v>56</v>
      </c>
      <c r="T953" s="9">
        <v>32300</v>
      </c>
      <c r="U953" s="9">
        <v>0</v>
      </c>
      <c r="V953" s="8">
        <v>4</v>
      </c>
      <c r="W953" s="8">
        <v>27</v>
      </c>
      <c r="X953" s="6" t="s">
        <v>57</v>
      </c>
      <c r="Y953" s="8">
        <v>3</v>
      </c>
      <c r="Z953" s="8">
        <v>0</v>
      </c>
      <c r="AA953" s="8">
        <v>0</v>
      </c>
      <c r="AB953" s="8">
        <v>0</v>
      </c>
      <c r="AC953" s="8">
        <v>3</v>
      </c>
      <c r="AD953" s="8">
        <v>12</v>
      </c>
      <c r="AE953" s="7" t="s">
        <v>45</v>
      </c>
      <c r="AG953">
        <f t="shared" ca="1" si="42"/>
        <v>0</v>
      </c>
      <c r="AH953" s="23" t="str" cm="1">
        <f t="array" ref="AH953">_xlfn.IFS(E953&gt;49,"50+",E953&gt;39,"40-49",E953&gt;29,"30-39",E953&gt;19,"20-29")</f>
        <v>20-29</v>
      </c>
      <c r="AI953" s="24" t="str" cm="1">
        <f t="array" aca="1" ref="AI953" ca="1">_xlfn.IFS(AG953&gt;10,"10+",AG953&gt;4,"5-10 YIL",AG953&gt;2,"3-5 YIL",AG953&gt;0.9,"1-3 YIL",AG953&lt;1,"0-1 YIL")</f>
        <v>0-1 YIL</v>
      </c>
      <c r="AJ953">
        <f t="shared" si="43"/>
        <v>2026</v>
      </c>
      <c r="AK953" t="e">
        <f t="shared" si="44"/>
        <v>#VALUE!</v>
      </c>
    </row>
    <row r="954" spans="1:37" x14ac:dyDescent="0.3">
      <c r="A954" s="2" t="s">
        <v>1430</v>
      </c>
      <c r="B954" s="3" t="s">
        <v>441</v>
      </c>
      <c r="C954" s="2" t="s">
        <v>48</v>
      </c>
      <c r="D954" s="13">
        <v>36672</v>
      </c>
      <c r="E954" s="4">
        <v>26</v>
      </c>
      <c r="F954" s="2" t="s">
        <v>34</v>
      </c>
      <c r="G954" s="4">
        <v>0</v>
      </c>
      <c r="H954" s="2" t="s">
        <v>35</v>
      </c>
      <c r="I954" s="3" t="s">
        <v>70</v>
      </c>
      <c r="J954" s="3" t="s">
        <v>92</v>
      </c>
      <c r="K954" s="2" t="s">
        <v>38</v>
      </c>
      <c r="L954" s="2" t="s">
        <v>63</v>
      </c>
      <c r="M954" s="3" t="s">
        <v>72</v>
      </c>
      <c r="N954" s="2" t="s">
        <v>41</v>
      </c>
      <c r="O954" s="13">
        <v>45598</v>
      </c>
      <c r="P954" s="2" t="s">
        <v>44</v>
      </c>
      <c r="Q954" s="3" t="s">
        <v>44</v>
      </c>
      <c r="R954" s="2" t="s">
        <v>44</v>
      </c>
      <c r="S954" s="2" t="s">
        <v>56</v>
      </c>
      <c r="T954" s="5">
        <v>39300</v>
      </c>
      <c r="U954" s="5">
        <v>0</v>
      </c>
      <c r="V954" s="4">
        <v>4</v>
      </c>
      <c r="W954" s="4">
        <v>30</v>
      </c>
      <c r="X954" s="2" t="s">
        <v>44</v>
      </c>
      <c r="Y954" s="4">
        <v>0</v>
      </c>
      <c r="Z954" s="4">
        <v>11</v>
      </c>
      <c r="AA954" s="4">
        <v>0</v>
      </c>
      <c r="AB954" s="4">
        <v>0</v>
      </c>
      <c r="AC954" s="4">
        <v>4</v>
      </c>
      <c r="AD954" s="4">
        <v>32</v>
      </c>
      <c r="AE954" s="3" t="s">
        <v>58</v>
      </c>
      <c r="AG954">
        <f t="shared" ca="1" si="42"/>
        <v>1</v>
      </c>
      <c r="AH954" s="23" t="str" cm="1">
        <f t="array" ref="AH954">_xlfn.IFS(E954&gt;49,"50+",E954&gt;39,"40-49",E954&gt;29,"30-39",E954&gt;19,"20-29")</f>
        <v>20-29</v>
      </c>
      <c r="AI954" s="24" t="str" cm="1">
        <f t="array" aca="1" ref="AI954" ca="1">_xlfn.IFS(AG954&gt;10,"10+",AG954&gt;4,"5-10 YIL",AG954&gt;2,"3-5 YIL",AG954&gt;0.9,"1-3 YIL",AG954&lt;1,"0-1 YIL")</f>
        <v>1-3 YIL</v>
      </c>
      <c r="AJ954">
        <f t="shared" si="43"/>
        <v>2024</v>
      </c>
      <c r="AK954" t="e">
        <f t="shared" si="44"/>
        <v>#VALUE!</v>
      </c>
    </row>
    <row r="955" spans="1:37" x14ac:dyDescent="0.3">
      <c r="A955" s="6" t="s">
        <v>1431</v>
      </c>
      <c r="B955" s="7" t="s">
        <v>179</v>
      </c>
      <c r="C955" s="6" t="s">
        <v>48</v>
      </c>
      <c r="D955" s="14">
        <v>35564</v>
      </c>
      <c r="E955" s="8">
        <v>29</v>
      </c>
      <c r="F955" s="6" t="s">
        <v>49</v>
      </c>
      <c r="G955" s="8">
        <v>3</v>
      </c>
      <c r="H955" s="6" t="s">
        <v>35</v>
      </c>
      <c r="I955" s="7" t="s">
        <v>36</v>
      </c>
      <c r="J955" s="7" t="s">
        <v>37</v>
      </c>
      <c r="K955" s="6" t="s">
        <v>38</v>
      </c>
      <c r="L955" s="6" t="s">
        <v>39</v>
      </c>
      <c r="M955" s="7" t="s">
        <v>40</v>
      </c>
      <c r="N955" s="6" t="s">
        <v>89</v>
      </c>
      <c r="O955" s="14">
        <v>45297</v>
      </c>
      <c r="P955" s="6" t="s">
        <v>44</v>
      </c>
      <c r="Q955" s="7" t="s">
        <v>44</v>
      </c>
      <c r="R955" s="6" t="s">
        <v>44</v>
      </c>
      <c r="S955" s="6" t="s">
        <v>56</v>
      </c>
      <c r="T955" s="9">
        <v>25200</v>
      </c>
      <c r="U955" s="9">
        <v>0</v>
      </c>
      <c r="V955" s="8">
        <v>16</v>
      </c>
      <c r="W955" s="8">
        <v>25</v>
      </c>
      <c r="X955" s="6" t="s">
        <v>57</v>
      </c>
      <c r="Y955" s="8">
        <v>2</v>
      </c>
      <c r="Z955" s="8">
        <v>1</v>
      </c>
      <c r="AA955" s="8">
        <v>3</v>
      </c>
      <c r="AB955" s="8">
        <v>0</v>
      </c>
      <c r="AC955" s="8">
        <v>4</v>
      </c>
      <c r="AD955" s="8">
        <v>15</v>
      </c>
      <c r="AE955" s="7" t="s">
        <v>58</v>
      </c>
      <c r="AG955">
        <f t="shared" ca="1" si="42"/>
        <v>2</v>
      </c>
      <c r="AH955" s="23" t="str" cm="1">
        <f t="array" ref="AH955">_xlfn.IFS(E955&gt;49,"50+",E955&gt;39,"40-49",E955&gt;29,"30-39",E955&gt;19,"20-29")</f>
        <v>20-29</v>
      </c>
      <c r="AI955" s="24" t="str" cm="1">
        <f t="array" aca="1" ref="AI955" ca="1">_xlfn.IFS(AG955&gt;10,"10+",AG955&gt;4,"5-10 YIL",AG955&gt;2,"3-5 YIL",AG955&gt;0.9,"1-3 YIL",AG955&lt;1,"0-1 YIL")</f>
        <v>1-3 YIL</v>
      </c>
      <c r="AJ955">
        <f t="shared" si="43"/>
        <v>2024</v>
      </c>
      <c r="AK955" t="e">
        <f t="shared" si="44"/>
        <v>#VALUE!</v>
      </c>
    </row>
    <row r="956" spans="1:37" x14ac:dyDescent="0.3">
      <c r="A956" s="2" t="s">
        <v>1432</v>
      </c>
      <c r="B956" s="3" t="s">
        <v>905</v>
      </c>
      <c r="C956" s="2" t="s">
        <v>33</v>
      </c>
      <c r="D956" s="13">
        <v>35871</v>
      </c>
      <c r="E956" s="4">
        <v>28</v>
      </c>
      <c r="F956" s="2" t="s">
        <v>49</v>
      </c>
      <c r="G956" s="4">
        <v>0</v>
      </c>
      <c r="H956" s="2" t="s">
        <v>35</v>
      </c>
      <c r="I956" s="3" t="s">
        <v>36</v>
      </c>
      <c r="J956" s="3" t="s">
        <v>37</v>
      </c>
      <c r="K956" s="2" t="s">
        <v>38</v>
      </c>
      <c r="L956" s="2" t="s">
        <v>39</v>
      </c>
      <c r="M956" s="3" t="s">
        <v>40</v>
      </c>
      <c r="N956" s="2" t="s">
        <v>41</v>
      </c>
      <c r="O956" s="13">
        <v>45275</v>
      </c>
      <c r="P956" s="2" t="s">
        <v>44</v>
      </c>
      <c r="Q956" s="3" t="s">
        <v>44</v>
      </c>
      <c r="R956" s="2" t="s">
        <v>44</v>
      </c>
      <c r="S956" s="2" t="s">
        <v>56</v>
      </c>
      <c r="T956" s="5">
        <v>28000</v>
      </c>
      <c r="U956" s="5">
        <v>0</v>
      </c>
      <c r="V956" s="4">
        <v>21</v>
      </c>
      <c r="W956" s="4">
        <v>29</v>
      </c>
      <c r="X956" s="2" t="s">
        <v>57</v>
      </c>
      <c r="Y956" s="4">
        <v>1</v>
      </c>
      <c r="Z956" s="4">
        <v>9</v>
      </c>
      <c r="AA956" s="4">
        <v>0</v>
      </c>
      <c r="AB956" s="4">
        <v>0</v>
      </c>
      <c r="AC956" s="4">
        <v>4</v>
      </c>
      <c r="AD956" s="4">
        <v>16</v>
      </c>
      <c r="AE956" s="3" t="s">
        <v>82</v>
      </c>
      <c r="AG956">
        <f t="shared" ca="1" si="42"/>
        <v>2</v>
      </c>
      <c r="AH956" s="23" t="str" cm="1">
        <f t="array" ref="AH956">_xlfn.IFS(E956&gt;49,"50+",E956&gt;39,"40-49",E956&gt;29,"30-39",E956&gt;19,"20-29")</f>
        <v>20-29</v>
      </c>
      <c r="AI956" s="24" t="str" cm="1">
        <f t="array" aca="1" ref="AI956" ca="1">_xlfn.IFS(AG956&gt;10,"10+",AG956&gt;4,"5-10 YIL",AG956&gt;2,"3-5 YIL",AG956&gt;0.9,"1-3 YIL",AG956&lt;1,"0-1 YIL")</f>
        <v>1-3 YIL</v>
      </c>
      <c r="AJ956">
        <f t="shared" si="43"/>
        <v>2023</v>
      </c>
      <c r="AK956" t="e">
        <f t="shared" si="44"/>
        <v>#VALUE!</v>
      </c>
    </row>
    <row r="957" spans="1:37" x14ac:dyDescent="0.3">
      <c r="A957" s="6" t="s">
        <v>1433</v>
      </c>
      <c r="B957" s="7" t="s">
        <v>109</v>
      </c>
      <c r="C957" s="6" t="s">
        <v>48</v>
      </c>
      <c r="D957" s="14">
        <v>34183</v>
      </c>
      <c r="E957" s="8">
        <v>33</v>
      </c>
      <c r="F957" s="6" t="s">
        <v>49</v>
      </c>
      <c r="G957" s="8">
        <v>1</v>
      </c>
      <c r="H957" s="6" t="s">
        <v>35</v>
      </c>
      <c r="I957" s="7" t="s">
        <v>139</v>
      </c>
      <c r="J957" s="7" t="s">
        <v>161</v>
      </c>
      <c r="K957" s="6" t="s">
        <v>51</v>
      </c>
      <c r="L957" s="6" t="s">
        <v>63</v>
      </c>
      <c r="M957" s="7" t="s">
        <v>162</v>
      </c>
      <c r="N957" s="6" t="s">
        <v>95</v>
      </c>
      <c r="O957" s="14">
        <v>44740</v>
      </c>
      <c r="P957" s="6" t="s">
        <v>44</v>
      </c>
      <c r="Q957" s="7" t="s">
        <v>44</v>
      </c>
      <c r="R957" s="6" t="s">
        <v>44</v>
      </c>
      <c r="S957" s="6" t="s">
        <v>56</v>
      </c>
      <c r="T957" s="9">
        <v>85500</v>
      </c>
      <c r="U957" s="9">
        <v>0</v>
      </c>
      <c r="V957" s="8">
        <v>1</v>
      </c>
      <c r="W957" s="8">
        <v>29</v>
      </c>
      <c r="X957" s="6" t="s">
        <v>57</v>
      </c>
      <c r="Y957" s="8">
        <v>1</v>
      </c>
      <c r="Z957" s="8">
        <v>1</v>
      </c>
      <c r="AA957" s="8">
        <v>0</v>
      </c>
      <c r="AB957" s="8">
        <v>0</v>
      </c>
      <c r="AC957" s="8">
        <v>3</v>
      </c>
      <c r="AD957" s="8">
        <v>18</v>
      </c>
      <c r="AE957" s="7" t="s">
        <v>45</v>
      </c>
      <c r="AG957">
        <f t="shared" ca="1" si="42"/>
        <v>4</v>
      </c>
      <c r="AH957" s="23" t="str" cm="1">
        <f t="array" ref="AH957">_xlfn.IFS(E957&gt;49,"50+",E957&gt;39,"40-49",E957&gt;29,"30-39",E957&gt;19,"20-29")</f>
        <v>30-39</v>
      </c>
      <c r="AI957" s="24" t="str" cm="1">
        <f t="array" aca="1" ref="AI957" ca="1">_xlfn.IFS(AG957&gt;10,"10+",AG957&gt;4,"5-10 YIL",AG957&gt;2,"3-5 YIL",AG957&gt;0.9,"1-3 YIL",AG957&lt;1,"0-1 YIL")</f>
        <v>3-5 YIL</v>
      </c>
      <c r="AJ957">
        <f t="shared" si="43"/>
        <v>2022</v>
      </c>
      <c r="AK957" t="e">
        <f t="shared" si="44"/>
        <v>#VALUE!</v>
      </c>
    </row>
    <row r="958" spans="1:37" x14ac:dyDescent="0.3">
      <c r="A958" s="2" t="s">
        <v>1434</v>
      </c>
      <c r="B958" s="3" t="s">
        <v>1435</v>
      </c>
      <c r="C958" s="2" t="s">
        <v>33</v>
      </c>
      <c r="D958" s="13">
        <v>31280</v>
      </c>
      <c r="E958" s="4">
        <v>41</v>
      </c>
      <c r="F958" s="2" t="s">
        <v>49</v>
      </c>
      <c r="G958" s="4">
        <v>1</v>
      </c>
      <c r="H958" s="2" t="s">
        <v>88</v>
      </c>
      <c r="I958" s="3" t="s">
        <v>148</v>
      </c>
      <c r="J958" s="3" t="s">
        <v>197</v>
      </c>
      <c r="K958" s="2" t="s">
        <v>79</v>
      </c>
      <c r="L958" s="2" t="s">
        <v>63</v>
      </c>
      <c r="M958" s="3" t="s">
        <v>80</v>
      </c>
      <c r="N958" s="2" t="s">
        <v>95</v>
      </c>
      <c r="O958" s="13">
        <v>40021</v>
      </c>
      <c r="P958" s="2" t="s">
        <v>44</v>
      </c>
      <c r="Q958" s="3" t="s">
        <v>44</v>
      </c>
      <c r="R958" s="2" t="s">
        <v>44</v>
      </c>
      <c r="S958" s="2" t="s">
        <v>56</v>
      </c>
      <c r="T958" s="5">
        <v>99300</v>
      </c>
      <c r="U958" s="5">
        <v>0</v>
      </c>
      <c r="V958" s="4">
        <v>8</v>
      </c>
      <c r="W958" s="4">
        <v>27</v>
      </c>
      <c r="X958" s="2" t="s">
        <v>57</v>
      </c>
      <c r="Y958" s="4">
        <v>2</v>
      </c>
      <c r="Z958" s="4">
        <v>1</v>
      </c>
      <c r="AA958" s="4">
        <v>1</v>
      </c>
      <c r="AB958" s="4">
        <v>0</v>
      </c>
      <c r="AC958" s="4">
        <v>3</v>
      </c>
      <c r="AD958" s="4">
        <v>13</v>
      </c>
      <c r="AE958" s="3" t="s">
        <v>73</v>
      </c>
      <c r="AG958">
        <f t="shared" ca="1" si="42"/>
        <v>16</v>
      </c>
      <c r="AH958" s="23" t="str" cm="1">
        <f t="array" ref="AH958">_xlfn.IFS(E958&gt;49,"50+",E958&gt;39,"40-49",E958&gt;29,"30-39",E958&gt;19,"20-29")</f>
        <v>40-49</v>
      </c>
      <c r="AI958" s="24" t="str" cm="1">
        <f t="array" aca="1" ref="AI958" ca="1">_xlfn.IFS(AG958&gt;10,"10+",AG958&gt;4,"5-10 YIL",AG958&gt;2,"3-5 YIL",AG958&gt;0.9,"1-3 YIL",AG958&lt;1,"0-1 YIL")</f>
        <v>10+</v>
      </c>
      <c r="AJ958">
        <f t="shared" si="43"/>
        <v>2009</v>
      </c>
      <c r="AK958" t="e">
        <f t="shared" si="44"/>
        <v>#VALUE!</v>
      </c>
    </row>
    <row r="959" spans="1:37" x14ac:dyDescent="0.3">
      <c r="A959" s="6" t="s">
        <v>1436</v>
      </c>
      <c r="B959" s="7" t="s">
        <v>1437</v>
      </c>
      <c r="C959" s="6" t="s">
        <v>48</v>
      </c>
      <c r="D959" s="14">
        <v>36832</v>
      </c>
      <c r="E959" s="8">
        <v>26</v>
      </c>
      <c r="F959" s="6" t="s">
        <v>49</v>
      </c>
      <c r="G959" s="8">
        <v>2</v>
      </c>
      <c r="H959" s="6" t="s">
        <v>35</v>
      </c>
      <c r="I959" s="7" t="s">
        <v>148</v>
      </c>
      <c r="J959" s="7" t="s">
        <v>252</v>
      </c>
      <c r="K959" s="6" t="s">
        <v>38</v>
      </c>
      <c r="L959" s="6" t="s">
        <v>63</v>
      </c>
      <c r="M959" s="7" t="s">
        <v>150</v>
      </c>
      <c r="N959" s="6" t="s">
        <v>41</v>
      </c>
      <c r="O959" s="14">
        <v>44883</v>
      </c>
      <c r="P959" s="6" t="s">
        <v>44</v>
      </c>
      <c r="Q959" s="7" t="s">
        <v>44</v>
      </c>
      <c r="R959" s="6" t="s">
        <v>44</v>
      </c>
      <c r="S959" s="6" t="s">
        <v>56</v>
      </c>
      <c r="T959" s="9">
        <v>35500</v>
      </c>
      <c r="U959" s="9">
        <v>0</v>
      </c>
      <c r="V959" s="8">
        <v>1</v>
      </c>
      <c r="W959" s="8">
        <v>30</v>
      </c>
      <c r="X959" s="6" t="s">
        <v>44</v>
      </c>
      <c r="Y959" s="8">
        <v>0</v>
      </c>
      <c r="Z959" s="8">
        <v>3</v>
      </c>
      <c r="AA959" s="8">
        <v>0</v>
      </c>
      <c r="AB959" s="8">
        <v>0</v>
      </c>
      <c r="AC959" s="8">
        <v>4</v>
      </c>
      <c r="AD959" s="8">
        <v>27</v>
      </c>
      <c r="AE959" s="7" t="s">
        <v>73</v>
      </c>
      <c r="AG959">
        <f t="shared" ca="1" si="42"/>
        <v>3</v>
      </c>
      <c r="AH959" s="23" t="str" cm="1">
        <f t="array" ref="AH959">_xlfn.IFS(E959&gt;49,"50+",E959&gt;39,"40-49",E959&gt;29,"30-39",E959&gt;19,"20-29")</f>
        <v>20-29</v>
      </c>
      <c r="AI959" s="24" t="str" cm="1">
        <f t="array" aca="1" ref="AI959" ca="1">_xlfn.IFS(AG959&gt;10,"10+",AG959&gt;4,"5-10 YIL",AG959&gt;2,"3-5 YIL",AG959&gt;0.9,"1-3 YIL",AG959&lt;1,"0-1 YIL")</f>
        <v>3-5 YIL</v>
      </c>
      <c r="AJ959">
        <f t="shared" si="43"/>
        <v>2022</v>
      </c>
      <c r="AK959" t="e">
        <f t="shared" si="44"/>
        <v>#VALUE!</v>
      </c>
    </row>
    <row r="960" spans="1:37" x14ac:dyDescent="0.3">
      <c r="A960" s="2" t="s">
        <v>1438</v>
      </c>
      <c r="B960" s="3" t="s">
        <v>394</v>
      </c>
      <c r="C960" s="2" t="s">
        <v>48</v>
      </c>
      <c r="D960" s="13">
        <v>36174</v>
      </c>
      <c r="E960" s="4">
        <v>27</v>
      </c>
      <c r="F960" s="2" t="s">
        <v>34</v>
      </c>
      <c r="G960" s="4">
        <v>0</v>
      </c>
      <c r="H960" s="2" t="s">
        <v>35</v>
      </c>
      <c r="I960" s="3" t="s">
        <v>61</v>
      </c>
      <c r="J960" s="3" t="s">
        <v>62</v>
      </c>
      <c r="K960" s="2" t="s">
        <v>38</v>
      </c>
      <c r="L960" s="2" t="s">
        <v>63</v>
      </c>
      <c r="M960" s="3" t="s">
        <v>64</v>
      </c>
      <c r="N960" s="2" t="s">
        <v>95</v>
      </c>
      <c r="O960" s="13">
        <v>45707</v>
      </c>
      <c r="P960" s="2" t="s">
        <v>44</v>
      </c>
      <c r="Q960" s="3" t="s">
        <v>44</v>
      </c>
      <c r="R960" s="2" t="s">
        <v>44</v>
      </c>
      <c r="S960" s="2" t="s">
        <v>56</v>
      </c>
      <c r="T960" s="5">
        <v>31000</v>
      </c>
      <c r="U960" s="5">
        <v>7600</v>
      </c>
      <c r="V960" s="4">
        <v>3</v>
      </c>
      <c r="W960" s="4">
        <v>30</v>
      </c>
      <c r="X960" s="2" t="s">
        <v>44</v>
      </c>
      <c r="Y960" s="4">
        <v>0</v>
      </c>
      <c r="Z960" s="4">
        <v>8</v>
      </c>
      <c r="AA960" s="4">
        <v>0</v>
      </c>
      <c r="AB960" s="4">
        <v>0</v>
      </c>
      <c r="AC960" s="4">
        <v>3</v>
      </c>
      <c r="AD960" s="4">
        <v>5</v>
      </c>
      <c r="AE960" s="3" t="s">
        <v>45</v>
      </c>
      <c r="AG960">
        <f t="shared" ca="1" si="42"/>
        <v>1</v>
      </c>
      <c r="AH960" s="23" t="str" cm="1">
        <f t="array" ref="AH960">_xlfn.IFS(E960&gt;49,"50+",E960&gt;39,"40-49",E960&gt;29,"30-39",E960&gt;19,"20-29")</f>
        <v>20-29</v>
      </c>
      <c r="AI960" s="24" t="str" cm="1">
        <f t="array" aca="1" ref="AI960" ca="1">_xlfn.IFS(AG960&gt;10,"10+",AG960&gt;4,"5-10 YIL",AG960&gt;2,"3-5 YIL",AG960&gt;0.9,"1-3 YIL",AG960&lt;1,"0-1 YIL")</f>
        <v>1-3 YIL</v>
      </c>
      <c r="AJ960">
        <f t="shared" si="43"/>
        <v>2025</v>
      </c>
      <c r="AK960" t="e">
        <f t="shared" si="44"/>
        <v>#VALUE!</v>
      </c>
    </row>
    <row r="961" spans="1:37" x14ac:dyDescent="0.3">
      <c r="A961" s="6" t="s">
        <v>1439</v>
      </c>
      <c r="B961" s="7" t="s">
        <v>1088</v>
      </c>
      <c r="C961" s="6" t="s">
        <v>48</v>
      </c>
      <c r="D961" s="14">
        <v>29444</v>
      </c>
      <c r="E961" s="8">
        <v>46</v>
      </c>
      <c r="F961" s="6" t="s">
        <v>34</v>
      </c>
      <c r="G961" s="8">
        <v>0</v>
      </c>
      <c r="H961" s="6" t="s">
        <v>35</v>
      </c>
      <c r="I961" s="7" t="s">
        <v>36</v>
      </c>
      <c r="J961" s="7" t="s">
        <v>78</v>
      </c>
      <c r="K961" s="6" t="s">
        <v>79</v>
      </c>
      <c r="L961" s="6" t="s">
        <v>63</v>
      </c>
      <c r="M961" s="7" t="s">
        <v>80</v>
      </c>
      <c r="N961" s="6" t="s">
        <v>67</v>
      </c>
      <c r="O961" s="14">
        <v>41267</v>
      </c>
      <c r="P961" s="6" t="s">
        <v>44</v>
      </c>
      <c r="Q961" s="7" t="s">
        <v>44</v>
      </c>
      <c r="R961" s="6" t="s">
        <v>44</v>
      </c>
      <c r="S961" s="6" t="s">
        <v>56</v>
      </c>
      <c r="T961" s="9">
        <v>93900</v>
      </c>
      <c r="U961" s="9">
        <v>0</v>
      </c>
      <c r="V961" s="8">
        <v>5</v>
      </c>
      <c r="W961" s="8">
        <v>27</v>
      </c>
      <c r="X961" s="6" t="s">
        <v>57</v>
      </c>
      <c r="Y961" s="8">
        <v>3</v>
      </c>
      <c r="Z961" s="8">
        <v>2</v>
      </c>
      <c r="AA961" s="8">
        <v>0</v>
      </c>
      <c r="AB961" s="8">
        <v>0</v>
      </c>
      <c r="AC961" s="8">
        <v>3</v>
      </c>
      <c r="AD961" s="8">
        <v>8</v>
      </c>
      <c r="AE961" s="7" t="s">
        <v>45</v>
      </c>
      <c r="AG961">
        <f t="shared" ca="1" si="42"/>
        <v>13</v>
      </c>
      <c r="AH961" s="23" t="str" cm="1">
        <f t="array" ref="AH961">_xlfn.IFS(E961&gt;49,"50+",E961&gt;39,"40-49",E961&gt;29,"30-39",E961&gt;19,"20-29")</f>
        <v>40-49</v>
      </c>
      <c r="AI961" s="24" t="str" cm="1">
        <f t="array" aca="1" ref="AI961" ca="1">_xlfn.IFS(AG961&gt;10,"10+",AG961&gt;4,"5-10 YIL",AG961&gt;2,"3-5 YIL",AG961&gt;0.9,"1-3 YIL",AG961&lt;1,"0-1 YIL")</f>
        <v>10+</v>
      </c>
      <c r="AJ961">
        <f t="shared" si="43"/>
        <v>2012</v>
      </c>
      <c r="AK961" t="e">
        <f t="shared" si="44"/>
        <v>#VALUE!</v>
      </c>
    </row>
    <row r="962" spans="1:37" x14ac:dyDescent="0.3">
      <c r="A962" s="2" t="s">
        <v>1440</v>
      </c>
      <c r="B962" s="3" t="s">
        <v>69</v>
      </c>
      <c r="C962" s="2" t="s">
        <v>48</v>
      </c>
      <c r="D962" s="13">
        <v>28098</v>
      </c>
      <c r="E962" s="4">
        <v>50</v>
      </c>
      <c r="F962" s="2" t="s">
        <v>49</v>
      </c>
      <c r="G962" s="4">
        <v>2</v>
      </c>
      <c r="H962" s="2" t="s">
        <v>35</v>
      </c>
      <c r="I962" s="3" t="s">
        <v>61</v>
      </c>
      <c r="J962" s="3" t="s">
        <v>124</v>
      </c>
      <c r="K962" s="2" t="s">
        <v>79</v>
      </c>
      <c r="L962" s="2" t="s">
        <v>63</v>
      </c>
      <c r="M962" s="3" t="s">
        <v>80</v>
      </c>
      <c r="N962" s="2" t="s">
        <v>89</v>
      </c>
      <c r="O962" s="13">
        <v>40985</v>
      </c>
      <c r="P962" s="2" t="s">
        <v>44</v>
      </c>
      <c r="Q962" s="3" t="s">
        <v>44</v>
      </c>
      <c r="R962" s="2" t="s">
        <v>44</v>
      </c>
      <c r="S962" s="2" t="s">
        <v>56</v>
      </c>
      <c r="T962" s="5">
        <v>111000</v>
      </c>
      <c r="U962" s="5">
        <v>31900</v>
      </c>
      <c r="V962" s="4">
        <v>1</v>
      </c>
      <c r="W962" s="4">
        <v>30</v>
      </c>
      <c r="X962" s="2" t="s">
        <v>44</v>
      </c>
      <c r="Y962" s="4">
        <v>0</v>
      </c>
      <c r="Z962" s="4">
        <v>3</v>
      </c>
      <c r="AA962" s="4">
        <v>0</v>
      </c>
      <c r="AB962" s="4">
        <v>0</v>
      </c>
      <c r="AC962" s="4">
        <v>4</v>
      </c>
      <c r="AD962" s="4">
        <v>17</v>
      </c>
      <c r="AE962" s="3" t="s">
        <v>45</v>
      </c>
      <c r="AG962">
        <f t="shared" ca="1" si="42"/>
        <v>14</v>
      </c>
      <c r="AH962" s="23" t="str" cm="1">
        <f t="array" ref="AH962">_xlfn.IFS(E962&gt;49,"50+",E962&gt;39,"40-49",E962&gt;29,"30-39",E962&gt;19,"20-29")</f>
        <v>50+</v>
      </c>
      <c r="AI962" s="24" t="str" cm="1">
        <f t="array" aca="1" ref="AI962" ca="1">_xlfn.IFS(AG962&gt;10,"10+",AG962&gt;4,"5-10 YIL",AG962&gt;2,"3-5 YIL",AG962&gt;0.9,"1-3 YIL",AG962&lt;1,"0-1 YIL")</f>
        <v>10+</v>
      </c>
      <c r="AJ962">
        <f t="shared" si="43"/>
        <v>2012</v>
      </c>
      <c r="AK962" t="e">
        <f t="shared" si="44"/>
        <v>#VALUE!</v>
      </c>
    </row>
    <row r="963" spans="1:37" x14ac:dyDescent="0.3">
      <c r="A963" s="6" t="s">
        <v>1441</v>
      </c>
      <c r="B963" s="7" t="s">
        <v>849</v>
      </c>
      <c r="C963" s="6" t="s">
        <v>48</v>
      </c>
      <c r="D963" s="14">
        <v>32826</v>
      </c>
      <c r="E963" s="8">
        <v>37</v>
      </c>
      <c r="F963" s="6" t="s">
        <v>34</v>
      </c>
      <c r="G963" s="8">
        <v>0</v>
      </c>
      <c r="H963" s="6" t="s">
        <v>88</v>
      </c>
      <c r="I963" s="7" t="s">
        <v>70</v>
      </c>
      <c r="J963" s="7" t="s">
        <v>129</v>
      </c>
      <c r="K963" s="6" t="s">
        <v>79</v>
      </c>
      <c r="L963" s="6" t="s">
        <v>63</v>
      </c>
      <c r="M963" s="7" t="s">
        <v>80</v>
      </c>
      <c r="N963" s="6" t="s">
        <v>41</v>
      </c>
      <c r="O963" s="14">
        <v>40354</v>
      </c>
      <c r="P963" s="6" t="s">
        <v>44</v>
      </c>
      <c r="Q963" s="7" t="s">
        <v>44</v>
      </c>
      <c r="R963" s="6" t="s">
        <v>44</v>
      </c>
      <c r="S963" s="6" t="s">
        <v>56</v>
      </c>
      <c r="T963" s="9">
        <v>122900</v>
      </c>
      <c r="U963" s="9">
        <v>0</v>
      </c>
      <c r="V963" s="8">
        <v>8</v>
      </c>
      <c r="W963" s="8">
        <v>28</v>
      </c>
      <c r="X963" s="6" t="s">
        <v>57</v>
      </c>
      <c r="Y963" s="8">
        <v>1</v>
      </c>
      <c r="Z963" s="8">
        <v>10</v>
      </c>
      <c r="AA963" s="8">
        <v>1</v>
      </c>
      <c r="AB963" s="8">
        <v>0</v>
      </c>
      <c r="AC963" s="8">
        <v>3</v>
      </c>
      <c r="AD963" s="8">
        <v>9</v>
      </c>
      <c r="AE963" s="7" t="s">
        <v>45</v>
      </c>
      <c r="AG963">
        <f t="shared" ref="AG963:AG1001" ca="1" si="45">DATEDIF(O963,TODAY(),"Y")</f>
        <v>16</v>
      </c>
      <c r="AH963" s="23" t="str" cm="1">
        <f t="array" ref="AH963">_xlfn.IFS(E963&gt;49,"50+",E963&gt;39,"40-49",E963&gt;29,"30-39",E963&gt;19,"20-29")</f>
        <v>30-39</v>
      </c>
      <c r="AI963" s="24" t="str" cm="1">
        <f t="array" aca="1" ref="AI963" ca="1">_xlfn.IFS(AG963&gt;10,"10+",AG963&gt;4,"5-10 YIL",AG963&gt;2,"3-5 YIL",AG963&gt;0.9,"1-3 YIL",AG963&lt;1,"0-1 YIL")</f>
        <v>10+</v>
      </c>
      <c r="AJ963">
        <f t="shared" ref="AJ963:AJ1001" si="46">YEAR(O963)</f>
        <v>2010</v>
      </c>
      <c r="AK963" t="e">
        <f t="shared" ref="AK963:AK1001" si="47">YEAR(P963)</f>
        <v>#VALUE!</v>
      </c>
    </row>
    <row r="964" spans="1:37" x14ac:dyDescent="0.3">
      <c r="A964" s="2" t="s">
        <v>1442</v>
      </c>
      <c r="B964" s="3" t="s">
        <v>1092</v>
      </c>
      <c r="C964" s="2" t="s">
        <v>33</v>
      </c>
      <c r="D964" s="13">
        <v>38253</v>
      </c>
      <c r="E964" s="4">
        <v>22</v>
      </c>
      <c r="F964" s="2" t="s">
        <v>49</v>
      </c>
      <c r="G964" s="4">
        <v>0</v>
      </c>
      <c r="H964" s="2" t="s">
        <v>35</v>
      </c>
      <c r="I964" s="3" t="s">
        <v>36</v>
      </c>
      <c r="J964" s="3" t="s">
        <v>37</v>
      </c>
      <c r="K964" s="2" t="s">
        <v>38</v>
      </c>
      <c r="L964" s="2" t="s">
        <v>39</v>
      </c>
      <c r="M964" s="3" t="s">
        <v>40</v>
      </c>
      <c r="N964" s="2" t="s">
        <v>89</v>
      </c>
      <c r="O964" s="13">
        <v>45234</v>
      </c>
      <c r="P964" s="2" t="s">
        <v>44</v>
      </c>
      <c r="Q964" s="3" t="s">
        <v>44</v>
      </c>
      <c r="R964" s="2" t="s">
        <v>44</v>
      </c>
      <c r="S964" s="2" t="s">
        <v>56</v>
      </c>
      <c r="T964" s="5">
        <v>27100</v>
      </c>
      <c r="U964" s="5">
        <v>0</v>
      </c>
      <c r="V964" s="4">
        <v>28</v>
      </c>
      <c r="W964" s="4">
        <v>30</v>
      </c>
      <c r="X964" s="2" t="s">
        <v>44</v>
      </c>
      <c r="Y964" s="4">
        <v>0</v>
      </c>
      <c r="Z964" s="4">
        <v>8</v>
      </c>
      <c r="AA964" s="4">
        <v>0</v>
      </c>
      <c r="AB964" s="4">
        <v>0</v>
      </c>
      <c r="AC964" s="4">
        <v>3</v>
      </c>
      <c r="AD964" s="4">
        <v>9</v>
      </c>
      <c r="AE964" s="3" t="s">
        <v>82</v>
      </c>
      <c r="AG964">
        <f t="shared" ca="1" si="45"/>
        <v>2</v>
      </c>
      <c r="AH964" s="23" t="str" cm="1">
        <f t="array" ref="AH964">_xlfn.IFS(E964&gt;49,"50+",E964&gt;39,"40-49",E964&gt;29,"30-39",E964&gt;19,"20-29")</f>
        <v>20-29</v>
      </c>
      <c r="AI964" s="24" t="str" cm="1">
        <f t="array" aca="1" ref="AI964" ca="1">_xlfn.IFS(AG964&gt;10,"10+",AG964&gt;4,"5-10 YIL",AG964&gt;2,"3-5 YIL",AG964&gt;0.9,"1-3 YIL",AG964&lt;1,"0-1 YIL")</f>
        <v>1-3 YIL</v>
      </c>
      <c r="AJ964">
        <f t="shared" si="46"/>
        <v>2023</v>
      </c>
      <c r="AK964" t="e">
        <f t="shared" si="47"/>
        <v>#VALUE!</v>
      </c>
    </row>
    <row r="965" spans="1:37" x14ac:dyDescent="0.3">
      <c r="A965" s="6" t="s">
        <v>1443</v>
      </c>
      <c r="B965" s="7" t="s">
        <v>225</v>
      </c>
      <c r="C965" s="6" t="s">
        <v>33</v>
      </c>
      <c r="D965" s="14">
        <v>31260</v>
      </c>
      <c r="E965" s="8">
        <v>41</v>
      </c>
      <c r="F965" s="6" t="s">
        <v>49</v>
      </c>
      <c r="G965" s="8">
        <v>0</v>
      </c>
      <c r="H965" s="6" t="s">
        <v>85</v>
      </c>
      <c r="I965" s="7" t="s">
        <v>36</v>
      </c>
      <c r="J965" s="7" t="s">
        <v>50</v>
      </c>
      <c r="K965" s="6" t="s">
        <v>51</v>
      </c>
      <c r="L965" s="6" t="s">
        <v>39</v>
      </c>
      <c r="M965" s="7" t="s">
        <v>40</v>
      </c>
      <c r="N965" s="6" t="s">
        <v>67</v>
      </c>
      <c r="O965" s="14">
        <v>43673</v>
      </c>
      <c r="P965" s="6" t="s">
        <v>44</v>
      </c>
      <c r="Q965" s="7" t="s">
        <v>44</v>
      </c>
      <c r="R965" s="6" t="s">
        <v>44</v>
      </c>
      <c r="S965" s="6" t="s">
        <v>56</v>
      </c>
      <c r="T965" s="9">
        <v>40300</v>
      </c>
      <c r="U965" s="9">
        <v>0</v>
      </c>
      <c r="V965" s="8">
        <v>42</v>
      </c>
      <c r="W965" s="8">
        <v>28</v>
      </c>
      <c r="X965" s="6" t="s">
        <v>57</v>
      </c>
      <c r="Y965" s="8">
        <v>2</v>
      </c>
      <c r="Z965" s="8">
        <v>7</v>
      </c>
      <c r="AA965" s="8">
        <v>0</v>
      </c>
      <c r="AB965" s="8">
        <v>0</v>
      </c>
      <c r="AC965" s="8">
        <v>3</v>
      </c>
      <c r="AD965" s="8">
        <v>5</v>
      </c>
      <c r="AE965" s="7" t="s">
        <v>58</v>
      </c>
      <c r="AG965">
        <f t="shared" ca="1" si="45"/>
        <v>6</v>
      </c>
      <c r="AH965" s="23" t="str" cm="1">
        <f t="array" ref="AH965">_xlfn.IFS(E965&gt;49,"50+",E965&gt;39,"40-49",E965&gt;29,"30-39",E965&gt;19,"20-29")</f>
        <v>40-49</v>
      </c>
      <c r="AI965" s="24" t="str" cm="1">
        <f t="array" aca="1" ref="AI965" ca="1">_xlfn.IFS(AG965&gt;10,"10+",AG965&gt;4,"5-10 YIL",AG965&gt;2,"3-5 YIL",AG965&gt;0.9,"1-3 YIL",AG965&lt;1,"0-1 YIL")</f>
        <v>5-10 YIL</v>
      </c>
      <c r="AJ965">
        <f t="shared" si="46"/>
        <v>2019</v>
      </c>
      <c r="AK965" t="e">
        <f t="shared" si="47"/>
        <v>#VALUE!</v>
      </c>
    </row>
    <row r="966" spans="1:37" x14ac:dyDescent="0.3">
      <c r="A966" s="2" t="s">
        <v>1444</v>
      </c>
      <c r="B966" s="3" t="s">
        <v>413</v>
      </c>
      <c r="C966" s="2" t="s">
        <v>48</v>
      </c>
      <c r="D966" s="13">
        <v>32010</v>
      </c>
      <c r="E966" s="4">
        <v>39</v>
      </c>
      <c r="F966" s="2" t="s">
        <v>34</v>
      </c>
      <c r="G966" s="4">
        <v>0</v>
      </c>
      <c r="H966" s="2" t="s">
        <v>85</v>
      </c>
      <c r="I966" s="3" t="s">
        <v>70</v>
      </c>
      <c r="J966" s="3" t="s">
        <v>129</v>
      </c>
      <c r="K966" s="2" t="s">
        <v>79</v>
      </c>
      <c r="L966" s="2" t="s">
        <v>63</v>
      </c>
      <c r="M966" s="3" t="s">
        <v>80</v>
      </c>
      <c r="N966" s="2" t="s">
        <v>67</v>
      </c>
      <c r="O966" s="13">
        <v>43236</v>
      </c>
      <c r="P966" s="2" t="s">
        <v>44</v>
      </c>
      <c r="Q966" s="3" t="s">
        <v>44</v>
      </c>
      <c r="R966" s="2" t="s">
        <v>44</v>
      </c>
      <c r="S966" s="2" t="s">
        <v>56</v>
      </c>
      <c r="T966" s="5">
        <v>120900</v>
      </c>
      <c r="U966" s="5">
        <v>15400</v>
      </c>
      <c r="V966" s="4">
        <v>7</v>
      </c>
      <c r="W966" s="4">
        <v>30</v>
      </c>
      <c r="X966" s="2" t="s">
        <v>44</v>
      </c>
      <c r="Y966" s="4">
        <v>0</v>
      </c>
      <c r="Z966" s="4">
        <v>4</v>
      </c>
      <c r="AA966" s="4">
        <v>0</v>
      </c>
      <c r="AB966" s="4">
        <v>0</v>
      </c>
      <c r="AC966" s="4">
        <v>3</v>
      </c>
      <c r="AD966" s="4">
        <v>12</v>
      </c>
      <c r="AE966" s="3" t="s">
        <v>58</v>
      </c>
      <c r="AG966">
        <f t="shared" ca="1" si="45"/>
        <v>8</v>
      </c>
      <c r="AH966" s="23" t="str" cm="1">
        <f t="array" ref="AH966">_xlfn.IFS(E966&gt;49,"50+",E966&gt;39,"40-49",E966&gt;29,"30-39",E966&gt;19,"20-29")</f>
        <v>30-39</v>
      </c>
      <c r="AI966" s="24" t="str" cm="1">
        <f t="array" aca="1" ref="AI966" ca="1">_xlfn.IFS(AG966&gt;10,"10+",AG966&gt;4,"5-10 YIL",AG966&gt;2,"3-5 YIL",AG966&gt;0.9,"1-3 YIL",AG966&lt;1,"0-1 YIL")</f>
        <v>5-10 YIL</v>
      </c>
      <c r="AJ966">
        <f t="shared" si="46"/>
        <v>2018</v>
      </c>
      <c r="AK966" t="e">
        <f t="shared" si="47"/>
        <v>#VALUE!</v>
      </c>
    </row>
    <row r="967" spans="1:37" x14ac:dyDescent="0.3">
      <c r="A967" s="6" t="s">
        <v>1445</v>
      </c>
      <c r="B967" s="7" t="s">
        <v>923</v>
      </c>
      <c r="C967" s="6" t="s">
        <v>33</v>
      </c>
      <c r="D967" s="14">
        <v>37991</v>
      </c>
      <c r="E967" s="8">
        <v>22</v>
      </c>
      <c r="F967" s="6" t="s">
        <v>49</v>
      </c>
      <c r="G967" s="8">
        <v>1</v>
      </c>
      <c r="H967" s="6" t="s">
        <v>88</v>
      </c>
      <c r="I967" s="7" t="s">
        <v>36</v>
      </c>
      <c r="J967" s="7" t="s">
        <v>37</v>
      </c>
      <c r="K967" s="6" t="s">
        <v>38</v>
      </c>
      <c r="L967" s="6" t="s">
        <v>39</v>
      </c>
      <c r="M967" s="7" t="s">
        <v>40</v>
      </c>
      <c r="N967" s="6" t="s">
        <v>41</v>
      </c>
      <c r="O967" s="14">
        <v>45692</v>
      </c>
      <c r="P967" s="6" t="s">
        <v>44</v>
      </c>
      <c r="Q967" s="7" t="s">
        <v>44</v>
      </c>
      <c r="R967" s="6" t="s">
        <v>44</v>
      </c>
      <c r="S967" s="6" t="s">
        <v>56</v>
      </c>
      <c r="T967" s="9">
        <v>25400</v>
      </c>
      <c r="U967" s="9">
        <v>0</v>
      </c>
      <c r="V967" s="8">
        <v>24</v>
      </c>
      <c r="W967" s="8">
        <v>30</v>
      </c>
      <c r="X967" s="6" t="s">
        <v>44</v>
      </c>
      <c r="Y967" s="8">
        <v>0</v>
      </c>
      <c r="Z967" s="8">
        <v>12</v>
      </c>
      <c r="AA967" s="8">
        <v>0</v>
      </c>
      <c r="AB967" s="8">
        <v>0</v>
      </c>
      <c r="AC967" s="8">
        <v>3</v>
      </c>
      <c r="AD967" s="8">
        <v>5</v>
      </c>
      <c r="AE967" s="7" t="s">
        <v>73</v>
      </c>
      <c r="AG967">
        <f t="shared" ca="1" si="45"/>
        <v>1</v>
      </c>
      <c r="AH967" s="23" t="str" cm="1">
        <f t="array" ref="AH967">_xlfn.IFS(E967&gt;49,"50+",E967&gt;39,"40-49",E967&gt;29,"30-39",E967&gt;19,"20-29")</f>
        <v>20-29</v>
      </c>
      <c r="AI967" s="24" t="str" cm="1">
        <f t="array" aca="1" ref="AI967" ca="1">_xlfn.IFS(AG967&gt;10,"10+",AG967&gt;4,"5-10 YIL",AG967&gt;2,"3-5 YIL",AG967&gt;0.9,"1-3 YIL",AG967&lt;1,"0-1 YIL")</f>
        <v>1-3 YIL</v>
      </c>
      <c r="AJ967">
        <f t="shared" si="46"/>
        <v>2025</v>
      </c>
      <c r="AK967" t="e">
        <f t="shared" si="47"/>
        <v>#VALUE!</v>
      </c>
    </row>
    <row r="968" spans="1:37" x14ac:dyDescent="0.3">
      <c r="A968" s="2" t="s">
        <v>1446</v>
      </c>
      <c r="B968" s="3" t="s">
        <v>571</v>
      </c>
      <c r="C968" s="2" t="s">
        <v>48</v>
      </c>
      <c r="D968" s="13">
        <v>33468</v>
      </c>
      <c r="E968" s="4">
        <v>35</v>
      </c>
      <c r="F968" s="2" t="s">
        <v>34</v>
      </c>
      <c r="G968" s="4">
        <v>0</v>
      </c>
      <c r="H968" s="2" t="s">
        <v>88</v>
      </c>
      <c r="I968" s="3" t="s">
        <v>139</v>
      </c>
      <c r="J968" s="3" t="s">
        <v>140</v>
      </c>
      <c r="K968" s="2" t="s">
        <v>79</v>
      </c>
      <c r="L968" s="2" t="s">
        <v>63</v>
      </c>
      <c r="M968" s="3" t="s">
        <v>80</v>
      </c>
      <c r="N968" s="2" t="s">
        <v>67</v>
      </c>
      <c r="O968" s="13">
        <v>39719</v>
      </c>
      <c r="P968" s="2" t="s">
        <v>44</v>
      </c>
      <c r="Q968" s="3" t="s">
        <v>44</v>
      </c>
      <c r="R968" s="2" t="s">
        <v>44</v>
      </c>
      <c r="S968" s="2" t="s">
        <v>56</v>
      </c>
      <c r="T968" s="5">
        <v>121400</v>
      </c>
      <c r="U968" s="5">
        <v>0</v>
      </c>
      <c r="V968" s="4">
        <v>1</v>
      </c>
      <c r="W968" s="4">
        <v>28</v>
      </c>
      <c r="X968" s="2" t="s">
        <v>57</v>
      </c>
      <c r="Y968" s="4">
        <v>2</v>
      </c>
      <c r="Z968" s="4">
        <v>3</v>
      </c>
      <c r="AA968" s="4">
        <v>0</v>
      </c>
      <c r="AB968" s="4">
        <v>0</v>
      </c>
      <c r="AC968" s="4">
        <v>3</v>
      </c>
      <c r="AD968" s="4">
        <v>19</v>
      </c>
      <c r="AE968" s="3" t="s">
        <v>96</v>
      </c>
      <c r="AG968">
        <f t="shared" ca="1" si="45"/>
        <v>17</v>
      </c>
      <c r="AH968" s="23" t="str" cm="1">
        <f t="array" ref="AH968">_xlfn.IFS(E968&gt;49,"50+",E968&gt;39,"40-49",E968&gt;29,"30-39",E968&gt;19,"20-29")</f>
        <v>30-39</v>
      </c>
      <c r="AI968" s="24" t="str" cm="1">
        <f t="array" aca="1" ref="AI968" ca="1">_xlfn.IFS(AG968&gt;10,"10+",AG968&gt;4,"5-10 YIL",AG968&gt;2,"3-5 YIL",AG968&gt;0.9,"1-3 YIL",AG968&lt;1,"0-1 YIL")</f>
        <v>10+</v>
      </c>
      <c r="AJ968">
        <f t="shared" si="46"/>
        <v>2008</v>
      </c>
      <c r="AK968" t="e">
        <f t="shared" si="47"/>
        <v>#VALUE!</v>
      </c>
    </row>
    <row r="969" spans="1:37" x14ac:dyDescent="0.3">
      <c r="A969" s="6" t="s">
        <v>1447</v>
      </c>
      <c r="B969" s="7" t="s">
        <v>386</v>
      </c>
      <c r="C969" s="6" t="s">
        <v>33</v>
      </c>
      <c r="D969" s="14">
        <v>36018</v>
      </c>
      <c r="E969" s="8">
        <v>28</v>
      </c>
      <c r="F969" s="6" t="s">
        <v>34</v>
      </c>
      <c r="G969" s="8">
        <v>0</v>
      </c>
      <c r="H969" s="6" t="s">
        <v>184</v>
      </c>
      <c r="I969" s="7" t="s">
        <v>36</v>
      </c>
      <c r="J969" s="7" t="s">
        <v>37</v>
      </c>
      <c r="K969" s="6" t="s">
        <v>38</v>
      </c>
      <c r="L969" s="6" t="s">
        <v>39</v>
      </c>
      <c r="M969" s="7" t="s">
        <v>40</v>
      </c>
      <c r="N969" s="6" t="s">
        <v>41</v>
      </c>
      <c r="O969" s="14">
        <v>44909</v>
      </c>
      <c r="P969" s="6" t="s">
        <v>44</v>
      </c>
      <c r="Q969" s="7" t="s">
        <v>44</v>
      </c>
      <c r="R969" s="6" t="s">
        <v>44</v>
      </c>
      <c r="S969" s="6" t="s">
        <v>56</v>
      </c>
      <c r="T969" s="9">
        <v>28500</v>
      </c>
      <c r="U969" s="9">
        <v>0</v>
      </c>
      <c r="V969" s="8">
        <v>33</v>
      </c>
      <c r="W969" s="8">
        <v>30</v>
      </c>
      <c r="X969" s="6" t="s">
        <v>44</v>
      </c>
      <c r="Y969" s="8">
        <v>0</v>
      </c>
      <c r="Z969" s="8">
        <v>4</v>
      </c>
      <c r="AA969" s="8">
        <v>0</v>
      </c>
      <c r="AB969" s="8">
        <v>0</v>
      </c>
      <c r="AC969" s="8">
        <v>3</v>
      </c>
      <c r="AD969" s="8">
        <v>18</v>
      </c>
      <c r="AE969" s="7" t="s">
        <v>45</v>
      </c>
      <c r="AG969">
        <f t="shared" ca="1" si="45"/>
        <v>3</v>
      </c>
      <c r="AH969" s="23" t="str" cm="1">
        <f t="array" ref="AH969">_xlfn.IFS(E969&gt;49,"50+",E969&gt;39,"40-49",E969&gt;29,"30-39",E969&gt;19,"20-29")</f>
        <v>20-29</v>
      </c>
      <c r="AI969" s="24" t="str" cm="1">
        <f t="array" aca="1" ref="AI969" ca="1">_xlfn.IFS(AG969&gt;10,"10+",AG969&gt;4,"5-10 YIL",AG969&gt;2,"3-5 YIL",AG969&gt;0.9,"1-3 YIL",AG969&lt;1,"0-1 YIL")</f>
        <v>3-5 YIL</v>
      </c>
      <c r="AJ969">
        <f t="shared" si="46"/>
        <v>2022</v>
      </c>
      <c r="AK969" t="e">
        <f t="shared" si="47"/>
        <v>#VALUE!</v>
      </c>
    </row>
    <row r="970" spans="1:37" x14ac:dyDescent="0.3">
      <c r="A970" s="2" t="s">
        <v>1448</v>
      </c>
      <c r="B970" s="3" t="s">
        <v>518</v>
      </c>
      <c r="C970" s="2" t="s">
        <v>48</v>
      </c>
      <c r="D970" s="13">
        <v>36714</v>
      </c>
      <c r="E970" s="4">
        <v>26</v>
      </c>
      <c r="F970" s="2" t="s">
        <v>49</v>
      </c>
      <c r="G970" s="4">
        <v>2</v>
      </c>
      <c r="H970" s="2" t="s">
        <v>35</v>
      </c>
      <c r="I970" s="3" t="s">
        <v>139</v>
      </c>
      <c r="J970" s="3" t="s">
        <v>235</v>
      </c>
      <c r="K970" s="2" t="s">
        <v>38</v>
      </c>
      <c r="L970" s="2" t="s">
        <v>63</v>
      </c>
      <c r="M970" s="3" t="s">
        <v>162</v>
      </c>
      <c r="N970" s="2" t="s">
        <v>41</v>
      </c>
      <c r="O970" s="13">
        <v>45991</v>
      </c>
      <c r="P970" s="2" t="s">
        <v>44</v>
      </c>
      <c r="Q970" s="3" t="s">
        <v>44</v>
      </c>
      <c r="R970" s="2" t="s">
        <v>44</v>
      </c>
      <c r="S970" s="2" t="s">
        <v>56</v>
      </c>
      <c r="T970" s="5">
        <v>50400</v>
      </c>
      <c r="U970" s="5">
        <v>5800</v>
      </c>
      <c r="V970" s="4">
        <v>1</v>
      </c>
      <c r="W970" s="4">
        <v>27</v>
      </c>
      <c r="X970" s="2" t="s">
        <v>57</v>
      </c>
      <c r="Y970" s="4">
        <v>3</v>
      </c>
      <c r="Z970" s="4">
        <v>0</v>
      </c>
      <c r="AA970" s="4">
        <v>0</v>
      </c>
      <c r="AB970" s="4">
        <v>0</v>
      </c>
      <c r="AC970" s="4">
        <v>3</v>
      </c>
      <c r="AD970" s="4">
        <v>3</v>
      </c>
      <c r="AE970" s="3" t="s">
        <v>58</v>
      </c>
      <c r="AG970">
        <f t="shared" ca="1" si="45"/>
        <v>0</v>
      </c>
      <c r="AH970" s="23" t="str" cm="1">
        <f t="array" ref="AH970">_xlfn.IFS(E970&gt;49,"50+",E970&gt;39,"40-49",E970&gt;29,"30-39",E970&gt;19,"20-29")</f>
        <v>20-29</v>
      </c>
      <c r="AI970" s="24" t="str" cm="1">
        <f t="array" aca="1" ref="AI970" ca="1">_xlfn.IFS(AG970&gt;10,"10+",AG970&gt;4,"5-10 YIL",AG970&gt;2,"3-5 YIL",AG970&gt;0.9,"1-3 YIL",AG970&lt;1,"0-1 YIL")</f>
        <v>0-1 YIL</v>
      </c>
      <c r="AJ970">
        <f t="shared" si="46"/>
        <v>2025</v>
      </c>
      <c r="AK970" t="e">
        <f t="shared" si="47"/>
        <v>#VALUE!</v>
      </c>
    </row>
    <row r="971" spans="1:37" x14ac:dyDescent="0.3">
      <c r="A971" s="6" t="s">
        <v>1449</v>
      </c>
      <c r="B971" s="7" t="s">
        <v>247</v>
      </c>
      <c r="C971" s="6" t="s">
        <v>33</v>
      </c>
      <c r="D971" s="14">
        <v>29756</v>
      </c>
      <c r="E971" s="8">
        <v>45</v>
      </c>
      <c r="F971" s="6" t="s">
        <v>34</v>
      </c>
      <c r="G971" s="8">
        <v>0</v>
      </c>
      <c r="H971" s="6" t="s">
        <v>85</v>
      </c>
      <c r="I971" s="7" t="s">
        <v>70</v>
      </c>
      <c r="J971" s="7" t="s">
        <v>71</v>
      </c>
      <c r="K971" s="6" t="s">
        <v>51</v>
      </c>
      <c r="L971" s="6" t="s">
        <v>63</v>
      </c>
      <c r="M971" s="7" t="s">
        <v>72</v>
      </c>
      <c r="N971" s="6" t="s">
        <v>41</v>
      </c>
      <c r="O971" s="14">
        <v>42285</v>
      </c>
      <c r="P971" s="6" t="s">
        <v>44</v>
      </c>
      <c r="Q971" s="7" t="s">
        <v>44</v>
      </c>
      <c r="R971" s="6" t="s">
        <v>44</v>
      </c>
      <c r="S971" s="6" t="s">
        <v>56</v>
      </c>
      <c r="T971" s="9">
        <v>58300</v>
      </c>
      <c r="U971" s="9">
        <v>5600</v>
      </c>
      <c r="V971" s="8">
        <v>9</v>
      </c>
      <c r="W971" s="8">
        <v>20</v>
      </c>
      <c r="X971" s="6" t="s">
        <v>57</v>
      </c>
      <c r="Y971" s="8">
        <v>10</v>
      </c>
      <c r="Z971" s="8">
        <v>0</v>
      </c>
      <c r="AA971" s="8">
        <v>0</v>
      </c>
      <c r="AB971" s="8">
        <v>0</v>
      </c>
      <c r="AC971" s="8">
        <v>5</v>
      </c>
      <c r="AD971" s="8">
        <v>21</v>
      </c>
      <c r="AE971" s="7" t="s">
        <v>58</v>
      </c>
      <c r="AG971">
        <f t="shared" ca="1" si="45"/>
        <v>10</v>
      </c>
      <c r="AH971" s="23" t="str" cm="1">
        <f t="array" ref="AH971">_xlfn.IFS(E971&gt;49,"50+",E971&gt;39,"40-49",E971&gt;29,"30-39",E971&gt;19,"20-29")</f>
        <v>40-49</v>
      </c>
      <c r="AI971" s="24" t="str" cm="1">
        <f t="array" aca="1" ref="AI971" ca="1">_xlfn.IFS(AG971&gt;10,"10+",AG971&gt;4,"5-10 YIL",AG971&gt;2,"3-5 YIL",AG971&gt;0.9,"1-3 YIL",AG971&lt;1,"0-1 YIL")</f>
        <v>5-10 YIL</v>
      </c>
      <c r="AJ971">
        <f t="shared" si="46"/>
        <v>2015</v>
      </c>
      <c r="AK971" t="e">
        <f t="shared" si="47"/>
        <v>#VALUE!</v>
      </c>
    </row>
    <row r="972" spans="1:37" x14ac:dyDescent="0.3">
      <c r="A972" s="2" t="s">
        <v>1450</v>
      </c>
      <c r="B972" s="3" t="s">
        <v>477</v>
      </c>
      <c r="C972" s="2" t="s">
        <v>33</v>
      </c>
      <c r="D972" s="13">
        <v>29131</v>
      </c>
      <c r="E972" s="4">
        <v>47</v>
      </c>
      <c r="F972" s="2" t="s">
        <v>49</v>
      </c>
      <c r="G972" s="4">
        <v>1</v>
      </c>
      <c r="H972" s="2" t="s">
        <v>35</v>
      </c>
      <c r="I972" s="3" t="s">
        <v>61</v>
      </c>
      <c r="J972" s="3" t="s">
        <v>124</v>
      </c>
      <c r="K972" s="2" t="s">
        <v>79</v>
      </c>
      <c r="L972" s="2" t="s">
        <v>63</v>
      </c>
      <c r="M972" s="3" t="s">
        <v>80</v>
      </c>
      <c r="N972" s="2" t="s">
        <v>52</v>
      </c>
      <c r="O972" s="13">
        <v>43685</v>
      </c>
      <c r="P972" s="2" t="s">
        <v>44</v>
      </c>
      <c r="Q972" s="3" t="s">
        <v>44</v>
      </c>
      <c r="R972" s="2" t="s">
        <v>44</v>
      </c>
      <c r="S972" s="2" t="s">
        <v>56</v>
      </c>
      <c r="T972" s="5">
        <v>114600</v>
      </c>
      <c r="U972" s="5">
        <v>0</v>
      </c>
      <c r="V972" s="4">
        <v>0</v>
      </c>
      <c r="W972" s="4">
        <v>30</v>
      </c>
      <c r="X972" s="2" t="s">
        <v>44</v>
      </c>
      <c r="Y972" s="4">
        <v>0</v>
      </c>
      <c r="Z972" s="4">
        <v>4</v>
      </c>
      <c r="AA972" s="4">
        <v>0</v>
      </c>
      <c r="AB972" s="4">
        <v>0</v>
      </c>
      <c r="AC972" s="4">
        <v>3</v>
      </c>
      <c r="AD972" s="4">
        <v>3</v>
      </c>
      <c r="AE972" s="3" t="s">
        <v>58</v>
      </c>
      <c r="AG972">
        <f t="shared" ca="1" si="45"/>
        <v>6</v>
      </c>
      <c r="AH972" s="23" t="str" cm="1">
        <f t="array" ref="AH972">_xlfn.IFS(E972&gt;49,"50+",E972&gt;39,"40-49",E972&gt;29,"30-39",E972&gt;19,"20-29")</f>
        <v>40-49</v>
      </c>
      <c r="AI972" s="24" t="str" cm="1">
        <f t="array" aca="1" ref="AI972" ca="1">_xlfn.IFS(AG972&gt;10,"10+",AG972&gt;4,"5-10 YIL",AG972&gt;2,"3-5 YIL",AG972&gt;0.9,"1-3 YIL",AG972&lt;1,"0-1 YIL")</f>
        <v>5-10 YIL</v>
      </c>
      <c r="AJ972">
        <f t="shared" si="46"/>
        <v>2019</v>
      </c>
      <c r="AK972" t="e">
        <f t="shared" si="47"/>
        <v>#VALUE!</v>
      </c>
    </row>
    <row r="973" spans="1:37" x14ac:dyDescent="0.3">
      <c r="A973" s="6" t="s">
        <v>1451</v>
      </c>
      <c r="B973" s="7" t="s">
        <v>409</v>
      </c>
      <c r="C973" s="6" t="s">
        <v>33</v>
      </c>
      <c r="D973" s="14">
        <v>35514</v>
      </c>
      <c r="E973" s="8">
        <v>29</v>
      </c>
      <c r="F973" s="6" t="s">
        <v>34</v>
      </c>
      <c r="G973" s="8">
        <v>0</v>
      </c>
      <c r="H973" s="6" t="s">
        <v>88</v>
      </c>
      <c r="I973" s="7" t="s">
        <v>36</v>
      </c>
      <c r="J973" s="7" t="s">
        <v>37</v>
      </c>
      <c r="K973" s="6" t="s">
        <v>38</v>
      </c>
      <c r="L973" s="6" t="s">
        <v>39</v>
      </c>
      <c r="M973" s="7" t="s">
        <v>40</v>
      </c>
      <c r="N973" s="6" t="s">
        <v>41</v>
      </c>
      <c r="O973" s="14">
        <v>44808</v>
      </c>
      <c r="P973" s="6" t="s">
        <v>44</v>
      </c>
      <c r="Q973" s="7" t="s">
        <v>44</v>
      </c>
      <c r="R973" s="6" t="s">
        <v>44</v>
      </c>
      <c r="S973" s="6" t="s">
        <v>56</v>
      </c>
      <c r="T973" s="9">
        <v>26700</v>
      </c>
      <c r="U973" s="9">
        <v>0</v>
      </c>
      <c r="V973" s="8">
        <v>32</v>
      </c>
      <c r="W973" s="8">
        <v>30</v>
      </c>
      <c r="X973" s="6" t="s">
        <v>44</v>
      </c>
      <c r="Y973" s="8">
        <v>0</v>
      </c>
      <c r="Z973" s="8">
        <v>1</v>
      </c>
      <c r="AA973" s="8">
        <v>0</v>
      </c>
      <c r="AB973" s="8">
        <v>0</v>
      </c>
      <c r="AC973" s="8">
        <v>3</v>
      </c>
      <c r="AD973" s="8">
        <v>13</v>
      </c>
      <c r="AE973" s="7" t="s">
        <v>82</v>
      </c>
      <c r="AG973">
        <f t="shared" ca="1" si="45"/>
        <v>3</v>
      </c>
      <c r="AH973" s="23" t="str" cm="1">
        <f t="array" ref="AH973">_xlfn.IFS(E973&gt;49,"50+",E973&gt;39,"40-49",E973&gt;29,"30-39",E973&gt;19,"20-29")</f>
        <v>20-29</v>
      </c>
      <c r="AI973" s="24" t="str" cm="1">
        <f t="array" aca="1" ref="AI973" ca="1">_xlfn.IFS(AG973&gt;10,"10+",AG973&gt;4,"5-10 YIL",AG973&gt;2,"3-5 YIL",AG973&gt;0.9,"1-3 YIL",AG973&lt;1,"0-1 YIL")</f>
        <v>3-5 YIL</v>
      </c>
      <c r="AJ973">
        <f t="shared" si="46"/>
        <v>2022</v>
      </c>
      <c r="AK973" t="e">
        <f t="shared" si="47"/>
        <v>#VALUE!</v>
      </c>
    </row>
    <row r="974" spans="1:37" x14ac:dyDescent="0.3">
      <c r="A974" s="2" t="s">
        <v>1452</v>
      </c>
      <c r="B974" s="3" t="s">
        <v>1435</v>
      </c>
      <c r="C974" s="2" t="s">
        <v>33</v>
      </c>
      <c r="D974" s="13">
        <v>35897</v>
      </c>
      <c r="E974" s="4">
        <v>28</v>
      </c>
      <c r="F974" s="2" t="s">
        <v>49</v>
      </c>
      <c r="G974" s="4">
        <v>1</v>
      </c>
      <c r="H974" s="2" t="s">
        <v>88</v>
      </c>
      <c r="I974" s="3" t="s">
        <v>70</v>
      </c>
      <c r="J974" s="3" t="s">
        <v>92</v>
      </c>
      <c r="K974" s="2" t="s">
        <v>38</v>
      </c>
      <c r="L974" s="2" t="s">
        <v>63</v>
      </c>
      <c r="M974" s="3" t="s">
        <v>72</v>
      </c>
      <c r="N974" s="2" t="s">
        <v>41</v>
      </c>
      <c r="O974" s="13">
        <v>45055</v>
      </c>
      <c r="P974" s="2" t="s">
        <v>44</v>
      </c>
      <c r="Q974" s="3" t="s">
        <v>44</v>
      </c>
      <c r="R974" s="2" t="s">
        <v>44</v>
      </c>
      <c r="S974" s="2" t="s">
        <v>56</v>
      </c>
      <c r="T974" s="5">
        <v>33700</v>
      </c>
      <c r="U974" s="5">
        <v>3500</v>
      </c>
      <c r="V974" s="4">
        <v>4</v>
      </c>
      <c r="W974" s="4">
        <v>30</v>
      </c>
      <c r="X974" s="2" t="s">
        <v>44</v>
      </c>
      <c r="Y974" s="4">
        <v>0</v>
      </c>
      <c r="Z974" s="4">
        <v>14</v>
      </c>
      <c r="AA974" s="4">
        <v>0</v>
      </c>
      <c r="AB974" s="4">
        <v>0</v>
      </c>
      <c r="AC974" s="4">
        <v>3</v>
      </c>
      <c r="AD974" s="4">
        <v>12</v>
      </c>
      <c r="AE974" s="3" t="s">
        <v>73</v>
      </c>
      <c r="AG974">
        <f t="shared" ca="1" si="45"/>
        <v>3</v>
      </c>
      <c r="AH974" s="23" t="str" cm="1">
        <f t="array" ref="AH974">_xlfn.IFS(E974&gt;49,"50+",E974&gt;39,"40-49",E974&gt;29,"30-39",E974&gt;19,"20-29")</f>
        <v>20-29</v>
      </c>
      <c r="AI974" s="24" t="str" cm="1">
        <f t="array" aca="1" ref="AI974" ca="1">_xlfn.IFS(AG974&gt;10,"10+",AG974&gt;4,"5-10 YIL",AG974&gt;2,"3-5 YIL",AG974&gt;0.9,"1-3 YIL",AG974&lt;1,"0-1 YIL")</f>
        <v>3-5 YIL</v>
      </c>
      <c r="AJ974">
        <f t="shared" si="46"/>
        <v>2023</v>
      </c>
      <c r="AK974" t="e">
        <f t="shared" si="47"/>
        <v>#VALUE!</v>
      </c>
    </row>
    <row r="975" spans="1:37" x14ac:dyDescent="0.3">
      <c r="A975" s="6" t="s">
        <v>1453</v>
      </c>
      <c r="B975" s="7" t="s">
        <v>1247</v>
      </c>
      <c r="C975" s="6" t="s">
        <v>48</v>
      </c>
      <c r="D975" s="14">
        <v>35934</v>
      </c>
      <c r="E975" s="8">
        <v>28</v>
      </c>
      <c r="F975" s="6" t="s">
        <v>49</v>
      </c>
      <c r="G975" s="8">
        <v>0</v>
      </c>
      <c r="H975" s="6" t="s">
        <v>35</v>
      </c>
      <c r="I975" s="7" t="s">
        <v>36</v>
      </c>
      <c r="J975" s="7" t="s">
        <v>37</v>
      </c>
      <c r="K975" s="6" t="s">
        <v>38</v>
      </c>
      <c r="L975" s="6" t="s">
        <v>39</v>
      </c>
      <c r="M975" s="7" t="s">
        <v>40</v>
      </c>
      <c r="N975" s="6" t="s">
        <v>67</v>
      </c>
      <c r="O975" s="14">
        <v>45041</v>
      </c>
      <c r="P975" s="6" t="s">
        <v>44</v>
      </c>
      <c r="Q975" s="7" t="s">
        <v>44</v>
      </c>
      <c r="R975" s="6" t="s">
        <v>44</v>
      </c>
      <c r="S975" s="6" t="s">
        <v>56</v>
      </c>
      <c r="T975" s="9">
        <v>28300</v>
      </c>
      <c r="U975" s="9">
        <v>0</v>
      </c>
      <c r="V975" s="8">
        <v>37</v>
      </c>
      <c r="W975" s="8">
        <v>30</v>
      </c>
      <c r="X975" s="6" t="s">
        <v>44</v>
      </c>
      <c r="Y975" s="8">
        <v>0</v>
      </c>
      <c r="Z975" s="8">
        <v>3</v>
      </c>
      <c r="AA975" s="8">
        <v>0</v>
      </c>
      <c r="AB975" s="8">
        <v>0</v>
      </c>
      <c r="AC975" s="8">
        <v>3</v>
      </c>
      <c r="AD975" s="8">
        <v>6</v>
      </c>
      <c r="AE975" s="7" t="s">
        <v>45</v>
      </c>
      <c r="AG975">
        <f t="shared" ca="1" si="45"/>
        <v>3</v>
      </c>
      <c r="AH975" s="23" t="str" cm="1">
        <f t="array" ref="AH975">_xlfn.IFS(E975&gt;49,"50+",E975&gt;39,"40-49",E975&gt;29,"30-39",E975&gt;19,"20-29")</f>
        <v>20-29</v>
      </c>
      <c r="AI975" s="24" t="str" cm="1">
        <f t="array" aca="1" ref="AI975" ca="1">_xlfn.IFS(AG975&gt;10,"10+",AG975&gt;4,"5-10 YIL",AG975&gt;2,"3-5 YIL",AG975&gt;0.9,"1-3 YIL",AG975&lt;1,"0-1 YIL")</f>
        <v>3-5 YIL</v>
      </c>
      <c r="AJ975">
        <f t="shared" si="46"/>
        <v>2023</v>
      </c>
      <c r="AK975" t="e">
        <f t="shared" si="47"/>
        <v>#VALUE!</v>
      </c>
    </row>
    <row r="976" spans="1:37" x14ac:dyDescent="0.3">
      <c r="A976" s="2" t="s">
        <v>1454</v>
      </c>
      <c r="B976" s="3" t="s">
        <v>116</v>
      </c>
      <c r="C976" s="2" t="s">
        <v>48</v>
      </c>
      <c r="D976" s="13">
        <v>37883</v>
      </c>
      <c r="E976" s="4">
        <v>23</v>
      </c>
      <c r="F976" s="2" t="s">
        <v>49</v>
      </c>
      <c r="G976" s="4">
        <v>2</v>
      </c>
      <c r="H976" s="2" t="s">
        <v>85</v>
      </c>
      <c r="I976" s="3" t="s">
        <v>70</v>
      </c>
      <c r="J976" s="3" t="s">
        <v>92</v>
      </c>
      <c r="K976" s="2" t="s">
        <v>38</v>
      </c>
      <c r="L976" s="2" t="s">
        <v>63</v>
      </c>
      <c r="M976" s="3" t="s">
        <v>72</v>
      </c>
      <c r="N976" s="2" t="s">
        <v>41</v>
      </c>
      <c r="O976" s="13">
        <v>45119</v>
      </c>
      <c r="P976" s="2" t="s">
        <v>44</v>
      </c>
      <c r="Q976" s="3" t="s">
        <v>44</v>
      </c>
      <c r="R976" s="2" t="s">
        <v>44</v>
      </c>
      <c r="S976" s="2" t="s">
        <v>56</v>
      </c>
      <c r="T976" s="5">
        <v>36100</v>
      </c>
      <c r="U976" s="5">
        <v>0</v>
      </c>
      <c r="V976" s="4">
        <v>9</v>
      </c>
      <c r="W976" s="4">
        <v>30</v>
      </c>
      <c r="X976" s="2" t="s">
        <v>44</v>
      </c>
      <c r="Y976" s="4">
        <v>0</v>
      </c>
      <c r="Z976" s="4">
        <v>14</v>
      </c>
      <c r="AA976" s="4">
        <v>0</v>
      </c>
      <c r="AB976" s="4">
        <v>0</v>
      </c>
      <c r="AC976" s="4">
        <v>3</v>
      </c>
      <c r="AD976" s="4">
        <v>4</v>
      </c>
      <c r="AE976" s="3" t="s">
        <v>45</v>
      </c>
      <c r="AG976">
        <f t="shared" ca="1" si="45"/>
        <v>2</v>
      </c>
      <c r="AH976" s="23" t="str" cm="1">
        <f t="array" ref="AH976">_xlfn.IFS(E976&gt;49,"50+",E976&gt;39,"40-49",E976&gt;29,"30-39",E976&gt;19,"20-29")</f>
        <v>20-29</v>
      </c>
      <c r="AI976" s="24" t="str" cm="1">
        <f t="array" aca="1" ref="AI976" ca="1">_xlfn.IFS(AG976&gt;10,"10+",AG976&gt;4,"5-10 YIL",AG976&gt;2,"3-5 YIL",AG976&gt;0.9,"1-3 YIL",AG976&lt;1,"0-1 YIL")</f>
        <v>1-3 YIL</v>
      </c>
      <c r="AJ976">
        <f t="shared" si="46"/>
        <v>2023</v>
      </c>
      <c r="AK976" t="e">
        <f t="shared" si="47"/>
        <v>#VALUE!</v>
      </c>
    </row>
    <row r="977" spans="1:37" x14ac:dyDescent="0.3">
      <c r="A977" s="6" t="s">
        <v>1455</v>
      </c>
      <c r="B977" s="7" t="s">
        <v>459</v>
      </c>
      <c r="C977" s="6" t="s">
        <v>33</v>
      </c>
      <c r="D977" s="14">
        <v>30427</v>
      </c>
      <c r="E977" s="8">
        <v>43</v>
      </c>
      <c r="F977" s="6" t="s">
        <v>34</v>
      </c>
      <c r="G977" s="8">
        <v>0</v>
      </c>
      <c r="H977" s="6" t="s">
        <v>35</v>
      </c>
      <c r="I977" s="7" t="s">
        <v>148</v>
      </c>
      <c r="J977" s="7" t="s">
        <v>197</v>
      </c>
      <c r="K977" s="6" t="s">
        <v>79</v>
      </c>
      <c r="L977" s="6" t="s">
        <v>63</v>
      </c>
      <c r="M977" s="7" t="s">
        <v>80</v>
      </c>
      <c r="N977" s="6" t="s">
        <v>41</v>
      </c>
      <c r="O977" s="14">
        <v>42739</v>
      </c>
      <c r="P977" s="6" t="s">
        <v>44</v>
      </c>
      <c r="Q977" s="7" t="s">
        <v>44</v>
      </c>
      <c r="R977" s="6" t="s">
        <v>44</v>
      </c>
      <c r="S977" s="6" t="s">
        <v>56</v>
      </c>
      <c r="T977" s="9">
        <v>111300</v>
      </c>
      <c r="U977" s="9">
        <v>11300</v>
      </c>
      <c r="V977" s="8">
        <v>6</v>
      </c>
      <c r="W977" s="8">
        <v>29</v>
      </c>
      <c r="X977" s="6" t="s">
        <v>57</v>
      </c>
      <c r="Y977" s="8">
        <v>1</v>
      </c>
      <c r="Z977" s="8">
        <v>10</v>
      </c>
      <c r="AA977" s="8">
        <v>0</v>
      </c>
      <c r="AB977" s="8">
        <v>0</v>
      </c>
      <c r="AC977" s="8">
        <v>3</v>
      </c>
      <c r="AD977" s="8">
        <v>13</v>
      </c>
      <c r="AE977" s="7" t="s">
        <v>45</v>
      </c>
      <c r="AG977">
        <f t="shared" ca="1" si="45"/>
        <v>9</v>
      </c>
      <c r="AH977" s="23" t="str" cm="1">
        <f t="array" ref="AH977">_xlfn.IFS(E977&gt;49,"50+",E977&gt;39,"40-49",E977&gt;29,"30-39",E977&gt;19,"20-29")</f>
        <v>40-49</v>
      </c>
      <c r="AI977" s="24" t="str" cm="1">
        <f t="array" aca="1" ref="AI977" ca="1">_xlfn.IFS(AG977&gt;10,"10+",AG977&gt;4,"5-10 YIL",AG977&gt;2,"3-5 YIL",AG977&gt;0.9,"1-3 YIL",AG977&lt;1,"0-1 YIL")</f>
        <v>5-10 YIL</v>
      </c>
      <c r="AJ977">
        <f t="shared" si="46"/>
        <v>2017</v>
      </c>
      <c r="AK977" t="e">
        <f t="shared" si="47"/>
        <v>#VALUE!</v>
      </c>
    </row>
    <row r="978" spans="1:37" x14ac:dyDescent="0.3">
      <c r="A978" s="2" t="s">
        <v>1456</v>
      </c>
      <c r="B978" s="3" t="s">
        <v>1457</v>
      </c>
      <c r="C978" s="2" t="s">
        <v>33</v>
      </c>
      <c r="D978" s="13">
        <v>33958</v>
      </c>
      <c r="E978" s="4">
        <v>34</v>
      </c>
      <c r="F978" s="2" t="s">
        <v>34</v>
      </c>
      <c r="G978" s="4">
        <v>0</v>
      </c>
      <c r="H978" s="2" t="s">
        <v>85</v>
      </c>
      <c r="I978" s="3" t="s">
        <v>61</v>
      </c>
      <c r="J978" s="3" t="s">
        <v>107</v>
      </c>
      <c r="K978" s="2" t="s">
        <v>51</v>
      </c>
      <c r="L978" s="2" t="s">
        <v>63</v>
      </c>
      <c r="M978" s="3" t="s">
        <v>64</v>
      </c>
      <c r="N978" s="2" t="s">
        <v>89</v>
      </c>
      <c r="O978" s="13">
        <v>44933</v>
      </c>
      <c r="P978" s="2" t="s">
        <v>44</v>
      </c>
      <c r="Q978" s="3" t="s">
        <v>44</v>
      </c>
      <c r="R978" s="2" t="s">
        <v>44</v>
      </c>
      <c r="S978" s="2" t="s">
        <v>56</v>
      </c>
      <c r="T978" s="5">
        <v>55300</v>
      </c>
      <c r="U978" s="5">
        <v>18700</v>
      </c>
      <c r="V978" s="4">
        <v>5</v>
      </c>
      <c r="W978" s="4">
        <v>29</v>
      </c>
      <c r="X978" s="2" t="s">
        <v>57</v>
      </c>
      <c r="Y978" s="4">
        <v>1</v>
      </c>
      <c r="Z978" s="4">
        <v>14</v>
      </c>
      <c r="AA978" s="4">
        <v>0</v>
      </c>
      <c r="AB978" s="4">
        <v>0</v>
      </c>
      <c r="AC978" s="4">
        <v>3</v>
      </c>
      <c r="AD978" s="4">
        <v>7</v>
      </c>
      <c r="AE978" s="3" t="s">
        <v>58</v>
      </c>
      <c r="AG978">
        <f t="shared" ca="1" si="45"/>
        <v>3</v>
      </c>
      <c r="AH978" s="23" t="str" cm="1">
        <f t="array" ref="AH978">_xlfn.IFS(E978&gt;49,"50+",E978&gt;39,"40-49",E978&gt;29,"30-39",E978&gt;19,"20-29")</f>
        <v>30-39</v>
      </c>
      <c r="AI978" s="24" t="str" cm="1">
        <f t="array" aca="1" ref="AI978" ca="1">_xlfn.IFS(AG978&gt;10,"10+",AG978&gt;4,"5-10 YIL",AG978&gt;2,"3-5 YIL",AG978&gt;0.9,"1-3 YIL",AG978&lt;1,"0-1 YIL")</f>
        <v>3-5 YIL</v>
      </c>
      <c r="AJ978">
        <f t="shared" si="46"/>
        <v>2023</v>
      </c>
      <c r="AK978" t="e">
        <f t="shared" si="47"/>
        <v>#VALUE!</v>
      </c>
    </row>
    <row r="979" spans="1:37" x14ac:dyDescent="0.3">
      <c r="A979" s="6" t="s">
        <v>1458</v>
      </c>
      <c r="B979" s="7" t="s">
        <v>1100</v>
      </c>
      <c r="C979" s="6" t="s">
        <v>48</v>
      </c>
      <c r="D979" s="14">
        <v>31194</v>
      </c>
      <c r="E979" s="8">
        <v>41</v>
      </c>
      <c r="F979" s="6" t="s">
        <v>34</v>
      </c>
      <c r="G979" s="8">
        <v>0</v>
      </c>
      <c r="H979" s="6" t="s">
        <v>35</v>
      </c>
      <c r="I979" s="7" t="s">
        <v>36</v>
      </c>
      <c r="J979" s="7" t="s">
        <v>50</v>
      </c>
      <c r="K979" s="6" t="s">
        <v>51</v>
      </c>
      <c r="L979" s="6" t="s">
        <v>39</v>
      </c>
      <c r="M979" s="7" t="s">
        <v>40</v>
      </c>
      <c r="N979" s="6" t="s">
        <v>41</v>
      </c>
      <c r="O979" s="14">
        <v>44896</v>
      </c>
      <c r="P979" s="6" t="s">
        <v>44</v>
      </c>
      <c r="Q979" s="7" t="s">
        <v>44</v>
      </c>
      <c r="R979" s="6" t="s">
        <v>44</v>
      </c>
      <c r="S979" s="6" t="s">
        <v>56</v>
      </c>
      <c r="T979" s="9">
        <v>43300</v>
      </c>
      <c r="U979" s="9">
        <v>0</v>
      </c>
      <c r="V979" s="8">
        <v>41</v>
      </c>
      <c r="W979" s="8">
        <v>28</v>
      </c>
      <c r="X979" s="6" t="s">
        <v>57</v>
      </c>
      <c r="Y979" s="8">
        <v>2</v>
      </c>
      <c r="Z979" s="8">
        <v>12</v>
      </c>
      <c r="AA979" s="8">
        <v>0</v>
      </c>
      <c r="AB979" s="8">
        <v>0</v>
      </c>
      <c r="AC979" s="8">
        <v>3</v>
      </c>
      <c r="AD979" s="8">
        <v>2</v>
      </c>
      <c r="AE979" s="7" t="s">
        <v>96</v>
      </c>
      <c r="AG979">
        <f t="shared" ca="1" si="45"/>
        <v>3</v>
      </c>
      <c r="AH979" s="23" t="str" cm="1">
        <f t="array" ref="AH979">_xlfn.IFS(E979&gt;49,"50+",E979&gt;39,"40-49",E979&gt;29,"30-39",E979&gt;19,"20-29")</f>
        <v>40-49</v>
      </c>
      <c r="AI979" s="24" t="str" cm="1">
        <f t="array" aca="1" ref="AI979" ca="1">_xlfn.IFS(AG979&gt;10,"10+",AG979&gt;4,"5-10 YIL",AG979&gt;2,"3-5 YIL",AG979&gt;0.9,"1-3 YIL",AG979&lt;1,"0-1 YIL")</f>
        <v>3-5 YIL</v>
      </c>
      <c r="AJ979">
        <f t="shared" si="46"/>
        <v>2022</v>
      </c>
      <c r="AK979" t="e">
        <f t="shared" si="47"/>
        <v>#VALUE!</v>
      </c>
    </row>
    <row r="980" spans="1:37" x14ac:dyDescent="0.3">
      <c r="A980" s="2" t="s">
        <v>1459</v>
      </c>
      <c r="B980" s="3" t="s">
        <v>154</v>
      </c>
      <c r="C980" s="2" t="s">
        <v>48</v>
      </c>
      <c r="D980" s="13">
        <v>37690</v>
      </c>
      <c r="E980" s="4">
        <v>23</v>
      </c>
      <c r="F980" s="2" t="s">
        <v>49</v>
      </c>
      <c r="G980" s="4">
        <v>0</v>
      </c>
      <c r="H980" s="2" t="s">
        <v>85</v>
      </c>
      <c r="I980" s="3" t="s">
        <v>36</v>
      </c>
      <c r="J980" s="3" t="s">
        <v>37</v>
      </c>
      <c r="K980" s="2" t="s">
        <v>38</v>
      </c>
      <c r="L980" s="2" t="s">
        <v>39</v>
      </c>
      <c r="M980" s="3" t="s">
        <v>40</v>
      </c>
      <c r="N980" s="2" t="s">
        <v>67</v>
      </c>
      <c r="O980" s="13">
        <v>45380</v>
      </c>
      <c r="P980" s="2" t="s">
        <v>44</v>
      </c>
      <c r="Q980" s="3" t="s">
        <v>44</v>
      </c>
      <c r="R980" s="2" t="s">
        <v>44</v>
      </c>
      <c r="S980" s="2" t="s">
        <v>56</v>
      </c>
      <c r="T980" s="5">
        <v>25100</v>
      </c>
      <c r="U980" s="5">
        <v>0</v>
      </c>
      <c r="V980" s="4">
        <v>17</v>
      </c>
      <c r="W980" s="4">
        <v>30</v>
      </c>
      <c r="X980" s="2" t="s">
        <v>44</v>
      </c>
      <c r="Y980" s="4">
        <v>0</v>
      </c>
      <c r="Z980" s="4">
        <v>6</v>
      </c>
      <c r="AA980" s="4">
        <v>0</v>
      </c>
      <c r="AB980" s="4">
        <v>0</v>
      </c>
      <c r="AC980" s="4">
        <v>3</v>
      </c>
      <c r="AD980" s="4">
        <v>14</v>
      </c>
      <c r="AE980" s="3" t="s">
        <v>45</v>
      </c>
      <c r="AG980">
        <f t="shared" ca="1" si="45"/>
        <v>2</v>
      </c>
      <c r="AH980" s="23" t="str" cm="1">
        <f t="array" ref="AH980">_xlfn.IFS(E980&gt;49,"50+",E980&gt;39,"40-49",E980&gt;29,"30-39",E980&gt;19,"20-29")</f>
        <v>20-29</v>
      </c>
      <c r="AI980" s="24" t="str" cm="1">
        <f t="array" aca="1" ref="AI980" ca="1">_xlfn.IFS(AG980&gt;10,"10+",AG980&gt;4,"5-10 YIL",AG980&gt;2,"3-5 YIL",AG980&gt;0.9,"1-3 YIL",AG980&lt;1,"0-1 YIL")</f>
        <v>1-3 YIL</v>
      </c>
      <c r="AJ980">
        <f t="shared" si="46"/>
        <v>2024</v>
      </c>
      <c r="AK980" t="e">
        <f t="shared" si="47"/>
        <v>#VALUE!</v>
      </c>
    </row>
    <row r="981" spans="1:37" x14ac:dyDescent="0.3">
      <c r="A981" s="6" t="s">
        <v>1460</v>
      </c>
      <c r="B981" s="7" t="s">
        <v>526</v>
      </c>
      <c r="C981" s="6" t="s">
        <v>48</v>
      </c>
      <c r="D981" s="14">
        <v>36314</v>
      </c>
      <c r="E981" s="8">
        <v>27</v>
      </c>
      <c r="F981" s="6" t="s">
        <v>34</v>
      </c>
      <c r="G981" s="8">
        <v>0</v>
      </c>
      <c r="H981" s="6" t="s">
        <v>88</v>
      </c>
      <c r="I981" s="7" t="s">
        <v>70</v>
      </c>
      <c r="J981" s="7" t="s">
        <v>92</v>
      </c>
      <c r="K981" s="6" t="s">
        <v>38</v>
      </c>
      <c r="L981" s="6" t="s">
        <v>63</v>
      </c>
      <c r="M981" s="7" t="s">
        <v>72</v>
      </c>
      <c r="N981" s="6" t="s">
        <v>89</v>
      </c>
      <c r="O981" s="14">
        <v>44896</v>
      </c>
      <c r="P981" s="6" t="s">
        <v>44</v>
      </c>
      <c r="Q981" s="7" t="s">
        <v>44</v>
      </c>
      <c r="R981" s="6" t="s">
        <v>44</v>
      </c>
      <c r="S981" s="6" t="s">
        <v>56</v>
      </c>
      <c r="T981" s="9">
        <v>36200</v>
      </c>
      <c r="U981" s="9">
        <v>0</v>
      </c>
      <c r="V981" s="8">
        <v>1</v>
      </c>
      <c r="W981" s="8">
        <v>30</v>
      </c>
      <c r="X981" s="6" t="s">
        <v>44</v>
      </c>
      <c r="Y981" s="8">
        <v>0</v>
      </c>
      <c r="Z981" s="8">
        <v>3</v>
      </c>
      <c r="AA981" s="8">
        <v>0</v>
      </c>
      <c r="AB981" s="8">
        <v>0</v>
      </c>
      <c r="AC981" s="8">
        <v>2</v>
      </c>
      <c r="AD981" s="8">
        <v>19</v>
      </c>
      <c r="AE981" s="7" t="s">
        <v>82</v>
      </c>
      <c r="AG981">
        <f t="shared" ca="1" si="45"/>
        <v>3</v>
      </c>
      <c r="AH981" s="23" t="str" cm="1">
        <f t="array" ref="AH981">_xlfn.IFS(E981&gt;49,"50+",E981&gt;39,"40-49",E981&gt;29,"30-39",E981&gt;19,"20-29")</f>
        <v>20-29</v>
      </c>
      <c r="AI981" s="24" t="str" cm="1">
        <f t="array" aca="1" ref="AI981" ca="1">_xlfn.IFS(AG981&gt;10,"10+",AG981&gt;4,"5-10 YIL",AG981&gt;2,"3-5 YIL",AG981&gt;0.9,"1-3 YIL",AG981&lt;1,"0-1 YIL")</f>
        <v>3-5 YIL</v>
      </c>
      <c r="AJ981">
        <f t="shared" si="46"/>
        <v>2022</v>
      </c>
      <c r="AK981" t="e">
        <f t="shared" si="47"/>
        <v>#VALUE!</v>
      </c>
    </row>
    <row r="982" spans="1:37" x14ac:dyDescent="0.3">
      <c r="A982" s="2" t="s">
        <v>1461</v>
      </c>
      <c r="B982" s="3" t="s">
        <v>1462</v>
      </c>
      <c r="C982" s="2" t="s">
        <v>48</v>
      </c>
      <c r="D982" s="13">
        <v>30029</v>
      </c>
      <c r="E982" s="4">
        <v>44</v>
      </c>
      <c r="F982" s="2" t="s">
        <v>49</v>
      </c>
      <c r="G982" s="4">
        <v>1</v>
      </c>
      <c r="H982" s="2" t="s">
        <v>35</v>
      </c>
      <c r="I982" s="3" t="s">
        <v>70</v>
      </c>
      <c r="J982" s="3" t="s">
        <v>71</v>
      </c>
      <c r="K982" s="2" t="s">
        <v>51</v>
      </c>
      <c r="L982" s="2" t="s">
        <v>63</v>
      </c>
      <c r="M982" s="3" t="s">
        <v>72</v>
      </c>
      <c r="N982" s="2" t="s">
        <v>41</v>
      </c>
      <c r="O982" s="13">
        <v>43340</v>
      </c>
      <c r="P982" s="2" t="s">
        <v>44</v>
      </c>
      <c r="Q982" s="3" t="s">
        <v>44</v>
      </c>
      <c r="R982" s="2" t="s">
        <v>44</v>
      </c>
      <c r="S982" s="2" t="s">
        <v>56</v>
      </c>
      <c r="T982" s="5">
        <v>55900</v>
      </c>
      <c r="U982" s="5">
        <v>4100</v>
      </c>
      <c r="V982" s="4">
        <v>3</v>
      </c>
      <c r="W982" s="4">
        <v>29</v>
      </c>
      <c r="X982" s="2" t="s">
        <v>57</v>
      </c>
      <c r="Y982" s="4">
        <v>1</v>
      </c>
      <c r="Z982" s="4">
        <v>4</v>
      </c>
      <c r="AA982" s="4">
        <v>0</v>
      </c>
      <c r="AB982" s="4">
        <v>0</v>
      </c>
      <c r="AC982" s="4">
        <v>3</v>
      </c>
      <c r="AD982" s="4">
        <v>18</v>
      </c>
      <c r="AE982" s="3" t="s">
        <v>96</v>
      </c>
      <c r="AG982">
        <f t="shared" ca="1" si="45"/>
        <v>7</v>
      </c>
      <c r="AH982" s="23" t="str" cm="1">
        <f t="array" ref="AH982">_xlfn.IFS(E982&gt;49,"50+",E982&gt;39,"40-49",E982&gt;29,"30-39",E982&gt;19,"20-29")</f>
        <v>40-49</v>
      </c>
      <c r="AI982" s="24" t="str" cm="1">
        <f t="array" aca="1" ref="AI982" ca="1">_xlfn.IFS(AG982&gt;10,"10+",AG982&gt;4,"5-10 YIL",AG982&gt;2,"3-5 YIL",AG982&gt;0.9,"1-3 YIL",AG982&lt;1,"0-1 YIL")</f>
        <v>5-10 YIL</v>
      </c>
      <c r="AJ982">
        <f t="shared" si="46"/>
        <v>2018</v>
      </c>
      <c r="AK982" t="e">
        <f t="shared" si="47"/>
        <v>#VALUE!</v>
      </c>
    </row>
    <row r="983" spans="1:37" x14ac:dyDescent="0.3">
      <c r="A983" s="6" t="s">
        <v>1463</v>
      </c>
      <c r="B983" s="7" t="s">
        <v>1100</v>
      </c>
      <c r="C983" s="6" t="s">
        <v>48</v>
      </c>
      <c r="D983" s="14">
        <v>36254</v>
      </c>
      <c r="E983" s="8">
        <v>27</v>
      </c>
      <c r="F983" s="6" t="s">
        <v>49</v>
      </c>
      <c r="G983" s="8">
        <v>0</v>
      </c>
      <c r="H983" s="6" t="s">
        <v>35</v>
      </c>
      <c r="I983" s="7" t="s">
        <v>36</v>
      </c>
      <c r="J983" s="7" t="s">
        <v>37</v>
      </c>
      <c r="K983" s="6" t="s">
        <v>38</v>
      </c>
      <c r="L983" s="6" t="s">
        <v>39</v>
      </c>
      <c r="M983" s="7" t="s">
        <v>40</v>
      </c>
      <c r="N983" s="6" t="s">
        <v>67</v>
      </c>
      <c r="O983" s="14">
        <v>46150</v>
      </c>
      <c r="P983" s="14">
        <v>46169</v>
      </c>
      <c r="Q983" s="7" t="s">
        <v>53</v>
      </c>
      <c r="R983" s="6">
        <v>4</v>
      </c>
      <c r="S983" s="6" t="s">
        <v>43</v>
      </c>
      <c r="T983" s="9">
        <v>26100</v>
      </c>
      <c r="U983" s="9">
        <v>0</v>
      </c>
      <c r="V983" s="8">
        <v>27</v>
      </c>
      <c r="W983" s="8">
        <v>30</v>
      </c>
      <c r="X983" s="6" t="s">
        <v>44</v>
      </c>
      <c r="Y983" s="8">
        <v>0</v>
      </c>
      <c r="Z983" s="8">
        <v>0</v>
      </c>
      <c r="AA983" s="8">
        <v>0</v>
      </c>
      <c r="AB983" s="8">
        <v>0</v>
      </c>
      <c r="AC983" s="8">
        <v>3</v>
      </c>
      <c r="AD983" s="8">
        <v>9</v>
      </c>
      <c r="AE983" s="7" t="s">
        <v>58</v>
      </c>
      <c r="AG983">
        <f t="shared" ca="1" si="45"/>
        <v>0</v>
      </c>
      <c r="AH983" s="23" t="str" cm="1">
        <f t="array" ref="AH983">_xlfn.IFS(E983&gt;49,"50+",E983&gt;39,"40-49",E983&gt;29,"30-39",E983&gt;19,"20-29")</f>
        <v>20-29</v>
      </c>
      <c r="AI983" s="24" t="str" cm="1">
        <f t="array" aca="1" ref="AI983" ca="1">_xlfn.IFS(AG983&gt;10,"10+",AG983&gt;4,"5-10 YIL",AG983&gt;2,"3-5 YIL",AG983&gt;0.9,"1-3 YIL",AG983&lt;1,"0-1 YIL")</f>
        <v>0-1 YIL</v>
      </c>
      <c r="AJ983">
        <f t="shared" si="46"/>
        <v>2026</v>
      </c>
      <c r="AK983">
        <f t="shared" si="47"/>
        <v>2026</v>
      </c>
    </row>
    <row r="984" spans="1:37" x14ac:dyDescent="0.3">
      <c r="A984" s="2" t="s">
        <v>1464</v>
      </c>
      <c r="B984" s="3" t="s">
        <v>1005</v>
      </c>
      <c r="C984" s="2" t="s">
        <v>33</v>
      </c>
      <c r="D984" s="13">
        <v>33322</v>
      </c>
      <c r="E984" s="4">
        <v>35</v>
      </c>
      <c r="F984" s="2" t="s">
        <v>34</v>
      </c>
      <c r="G984" s="4">
        <v>0</v>
      </c>
      <c r="H984" s="2" t="s">
        <v>35</v>
      </c>
      <c r="I984" s="3" t="s">
        <v>139</v>
      </c>
      <c r="J984" s="3" t="s">
        <v>161</v>
      </c>
      <c r="K984" s="2" t="s">
        <v>51</v>
      </c>
      <c r="L984" s="2" t="s">
        <v>63</v>
      </c>
      <c r="M984" s="3" t="s">
        <v>162</v>
      </c>
      <c r="N984" s="2" t="s">
        <v>89</v>
      </c>
      <c r="O984" s="13">
        <v>43194</v>
      </c>
      <c r="P984" s="2" t="s">
        <v>44</v>
      </c>
      <c r="Q984" s="3" t="s">
        <v>44</v>
      </c>
      <c r="R984" s="2" t="s">
        <v>44</v>
      </c>
      <c r="S984" s="2" t="s">
        <v>56</v>
      </c>
      <c r="T984" s="5">
        <v>75900</v>
      </c>
      <c r="U984" s="5">
        <v>0</v>
      </c>
      <c r="V984" s="4">
        <v>2</v>
      </c>
      <c r="W984" s="4">
        <v>30</v>
      </c>
      <c r="X984" s="2" t="s">
        <v>44</v>
      </c>
      <c r="Y984" s="4">
        <v>0</v>
      </c>
      <c r="Z984" s="4">
        <v>10</v>
      </c>
      <c r="AA984" s="4">
        <v>0</v>
      </c>
      <c r="AB984" s="4">
        <v>0</v>
      </c>
      <c r="AC984" s="4">
        <v>4</v>
      </c>
      <c r="AD984" s="4">
        <v>35</v>
      </c>
      <c r="AE984" s="3" t="s">
        <v>58</v>
      </c>
      <c r="AG984">
        <f t="shared" ca="1" si="45"/>
        <v>8</v>
      </c>
      <c r="AH984" s="23" t="str" cm="1">
        <f t="array" ref="AH984">_xlfn.IFS(E984&gt;49,"50+",E984&gt;39,"40-49",E984&gt;29,"30-39",E984&gt;19,"20-29")</f>
        <v>30-39</v>
      </c>
      <c r="AI984" s="24" t="str" cm="1">
        <f t="array" aca="1" ref="AI984" ca="1">_xlfn.IFS(AG984&gt;10,"10+",AG984&gt;4,"5-10 YIL",AG984&gt;2,"3-5 YIL",AG984&gt;0.9,"1-3 YIL",AG984&lt;1,"0-1 YIL")</f>
        <v>5-10 YIL</v>
      </c>
      <c r="AJ984">
        <f t="shared" si="46"/>
        <v>2018</v>
      </c>
      <c r="AK984" t="e">
        <f t="shared" si="47"/>
        <v>#VALUE!</v>
      </c>
    </row>
    <row r="985" spans="1:37" x14ac:dyDescent="0.3">
      <c r="A985" s="6" t="s">
        <v>1465</v>
      </c>
      <c r="B985" s="7" t="s">
        <v>370</v>
      </c>
      <c r="C985" s="6" t="s">
        <v>33</v>
      </c>
      <c r="D985" s="14">
        <v>33135</v>
      </c>
      <c r="E985" s="8">
        <v>36</v>
      </c>
      <c r="F985" s="6" t="s">
        <v>49</v>
      </c>
      <c r="G985" s="8">
        <v>3</v>
      </c>
      <c r="H985" s="6" t="s">
        <v>85</v>
      </c>
      <c r="I985" s="7" t="s">
        <v>61</v>
      </c>
      <c r="J985" s="7" t="s">
        <v>107</v>
      </c>
      <c r="K985" s="6" t="s">
        <v>51</v>
      </c>
      <c r="L985" s="6" t="s">
        <v>63</v>
      </c>
      <c r="M985" s="7" t="s">
        <v>64</v>
      </c>
      <c r="N985" s="6" t="s">
        <v>52</v>
      </c>
      <c r="O985" s="14">
        <v>43348</v>
      </c>
      <c r="P985" s="14">
        <v>43863</v>
      </c>
      <c r="Q985" s="7" t="s">
        <v>53</v>
      </c>
      <c r="R985" s="6">
        <v>4</v>
      </c>
      <c r="S985" s="6" t="s">
        <v>43</v>
      </c>
      <c r="T985" s="9">
        <v>53700</v>
      </c>
      <c r="U985" s="9">
        <v>0</v>
      </c>
      <c r="V985" s="8">
        <v>3</v>
      </c>
      <c r="W985" s="8">
        <v>29</v>
      </c>
      <c r="X985" s="6" t="s">
        <v>57</v>
      </c>
      <c r="Y985" s="8">
        <v>1</v>
      </c>
      <c r="Z985" s="8">
        <v>0</v>
      </c>
      <c r="AA985" s="8">
        <v>0</v>
      </c>
      <c r="AB985" s="8">
        <v>0</v>
      </c>
      <c r="AC985" s="8">
        <v>4</v>
      </c>
      <c r="AD985" s="8">
        <v>16</v>
      </c>
      <c r="AE985" s="7" t="s">
        <v>45</v>
      </c>
      <c r="AG985">
        <f t="shared" ca="1" si="45"/>
        <v>7</v>
      </c>
      <c r="AH985" s="23" t="str" cm="1">
        <f t="array" ref="AH985">_xlfn.IFS(E985&gt;49,"50+",E985&gt;39,"40-49",E985&gt;29,"30-39",E985&gt;19,"20-29")</f>
        <v>30-39</v>
      </c>
      <c r="AI985" s="24" t="str" cm="1">
        <f t="array" aca="1" ref="AI985" ca="1">_xlfn.IFS(AG985&gt;10,"10+",AG985&gt;4,"5-10 YIL",AG985&gt;2,"3-5 YIL",AG985&gt;0.9,"1-3 YIL",AG985&lt;1,"0-1 YIL")</f>
        <v>5-10 YIL</v>
      </c>
      <c r="AJ985">
        <f t="shared" si="46"/>
        <v>2018</v>
      </c>
      <c r="AK985">
        <f t="shared" si="47"/>
        <v>2020</v>
      </c>
    </row>
    <row r="986" spans="1:37" x14ac:dyDescent="0.3">
      <c r="A986" s="2" t="s">
        <v>1466</v>
      </c>
      <c r="B986" s="3" t="s">
        <v>239</v>
      </c>
      <c r="C986" s="2" t="s">
        <v>33</v>
      </c>
      <c r="D986" s="13">
        <v>37902</v>
      </c>
      <c r="E986" s="4">
        <v>23</v>
      </c>
      <c r="F986" s="2" t="s">
        <v>49</v>
      </c>
      <c r="G986" s="4">
        <v>0</v>
      </c>
      <c r="H986" s="2" t="s">
        <v>35</v>
      </c>
      <c r="I986" s="3" t="s">
        <v>36</v>
      </c>
      <c r="J986" s="3" t="s">
        <v>37</v>
      </c>
      <c r="K986" s="2" t="s">
        <v>38</v>
      </c>
      <c r="L986" s="2" t="s">
        <v>39</v>
      </c>
      <c r="M986" s="3" t="s">
        <v>40</v>
      </c>
      <c r="N986" s="2" t="s">
        <v>95</v>
      </c>
      <c r="O986" s="13">
        <v>45119</v>
      </c>
      <c r="P986" s="2" t="s">
        <v>44</v>
      </c>
      <c r="Q986" s="3" t="s">
        <v>44</v>
      </c>
      <c r="R986" s="2" t="s">
        <v>44</v>
      </c>
      <c r="S986" s="2" t="s">
        <v>56</v>
      </c>
      <c r="T986" s="5">
        <v>26000</v>
      </c>
      <c r="U986" s="5">
        <v>0</v>
      </c>
      <c r="V986" s="4">
        <v>41</v>
      </c>
      <c r="W986" s="4">
        <v>30</v>
      </c>
      <c r="X986" s="2" t="s">
        <v>44</v>
      </c>
      <c r="Y986" s="4">
        <v>0</v>
      </c>
      <c r="Z986" s="4">
        <v>11</v>
      </c>
      <c r="AA986" s="4">
        <v>0</v>
      </c>
      <c r="AB986" s="4">
        <v>0</v>
      </c>
      <c r="AC986" s="4">
        <v>4</v>
      </c>
      <c r="AD986" s="4">
        <v>23</v>
      </c>
      <c r="AE986" s="3" t="s">
        <v>73</v>
      </c>
      <c r="AG986">
        <f t="shared" ca="1" si="45"/>
        <v>2</v>
      </c>
      <c r="AH986" s="23" t="str" cm="1">
        <f t="array" ref="AH986">_xlfn.IFS(E986&gt;49,"50+",E986&gt;39,"40-49",E986&gt;29,"30-39",E986&gt;19,"20-29")</f>
        <v>20-29</v>
      </c>
      <c r="AI986" s="24" t="str" cm="1">
        <f t="array" aca="1" ref="AI986" ca="1">_xlfn.IFS(AG986&gt;10,"10+",AG986&gt;4,"5-10 YIL",AG986&gt;2,"3-5 YIL",AG986&gt;0.9,"1-3 YIL",AG986&lt;1,"0-1 YIL")</f>
        <v>1-3 YIL</v>
      </c>
      <c r="AJ986">
        <f t="shared" si="46"/>
        <v>2023</v>
      </c>
      <c r="AK986" t="e">
        <f t="shared" si="47"/>
        <v>#VALUE!</v>
      </c>
    </row>
    <row r="987" spans="1:37" x14ac:dyDescent="0.3">
      <c r="A987" s="6" t="s">
        <v>1467</v>
      </c>
      <c r="B987" s="7" t="s">
        <v>292</v>
      </c>
      <c r="C987" s="6" t="s">
        <v>48</v>
      </c>
      <c r="D987" s="14">
        <v>36900</v>
      </c>
      <c r="E987" s="8">
        <v>25</v>
      </c>
      <c r="F987" s="6" t="s">
        <v>34</v>
      </c>
      <c r="G987" s="8">
        <v>0</v>
      </c>
      <c r="H987" s="6" t="s">
        <v>88</v>
      </c>
      <c r="I987" s="7" t="s">
        <v>61</v>
      </c>
      <c r="J987" s="7" t="s">
        <v>62</v>
      </c>
      <c r="K987" s="6" t="s">
        <v>38</v>
      </c>
      <c r="L987" s="6" t="s">
        <v>63</v>
      </c>
      <c r="M987" s="7" t="s">
        <v>64</v>
      </c>
      <c r="N987" s="6" t="s">
        <v>95</v>
      </c>
      <c r="O987" s="14">
        <v>45848</v>
      </c>
      <c r="P987" s="6" t="s">
        <v>44</v>
      </c>
      <c r="Q987" s="7" t="s">
        <v>44</v>
      </c>
      <c r="R987" s="6" t="s">
        <v>44</v>
      </c>
      <c r="S987" s="6" t="s">
        <v>56</v>
      </c>
      <c r="T987" s="9">
        <v>33500</v>
      </c>
      <c r="U987" s="9">
        <v>3900</v>
      </c>
      <c r="V987" s="8">
        <v>1</v>
      </c>
      <c r="W987" s="8">
        <v>30</v>
      </c>
      <c r="X987" s="6" t="s">
        <v>44</v>
      </c>
      <c r="Y987" s="8">
        <v>0</v>
      </c>
      <c r="Z987" s="8">
        <v>0</v>
      </c>
      <c r="AA987" s="8">
        <v>0</v>
      </c>
      <c r="AB987" s="8">
        <v>0</v>
      </c>
      <c r="AC987" s="8">
        <v>3</v>
      </c>
      <c r="AD987" s="8">
        <v>10</v>
      </c>
      <c r="AE987" s="7" t="s">
        <v>45</v>
      </c>
      <c r="AG987">
        <f t="shared" ca="1" si="45"/>
        <v>0</v>
      </c>
      <c r="AH987" s="23" t="str" cm="1">
        <f t="array" ref="AH987">_xlfn.IFS(E987&gt;49,"50+",E987&gt;39,"40-49",E987&gt;29,"30-39",E987&gt;19,"20-29")</f>
        <v>20-29</v>
      </c>
      <c r="AI987" s="24" t="str" cm="1">
        <f t="array" aca="1" ref="AI987" ca="1">_xlfn.IFS(AG987&gt;10,"10+",AG987&gt;4,"5-10 YIL",AG987&gt;2,"3-5 YIL",AG987&gt;0.9,"1-3 YIL",AG987&lt;1,"0-1 YIL")</f>
        <v>0-1 YIL</v>
      </c>
      <c r="AJ987">
        <f t="shared" si="46"/>
        <v>2025</v>
      </c>
      <c r="AK987" t="e">
        <f t="shared" si="47"/>
        <v>#VALUE!</v>
      </c>
    </row>
    <row r="988" spans="1:37" x14ac:dyDescent="0.3">
      <c r="A988" s="2" t="s">
        <v>1468</v>
      </c>
      <c r="B988" s="3" t="s">
        <v>435</v>
      </c>
      <c r="C988" s="2" t="s">
        <v>48</v>
      </c>
      <c r="D988" s="13">
        <v>29566</v>
      </c>
      <c r="E988" s="4">
        <v>46</v>
      </c>
      <c r="F988" s="2" t="s">
        <v>34</v>
      </c>
      <c r="G988" s="4">
        <v>0</v>
      </c>
      <c r="H988" s="2" t="s">
        <v>35</v>
      </c>
      <c r="I988" s="3" t="s">
        <v>36</v>
      </c>
      <c r="J988" s="3" t="s">
        <v>50</v>
      </c>
      <c r="K988" s="2" t="s">
        <v>51</v>
      </c>
      <c r="L988" s="2" t="s">
        <v>39</v>
      </c>
      <c r="M988" s="3" t="s">
        <v>40</v>
      </c>
      <c r="N988" s="2" t="s">
        <v>41</v>
      </c>
      <c r="O988" s="13">
        <v>44142</v>
      </c>
      <c r="P988" s="2" t="s">
        <v>44</v>
      </c>
      <c r="Q988" s="3" t="s">
        <v>44</v>
      </c>
      <c r="R988" s="2" t="s">
        <v>44</v>
      </c>
      <c r="S988" s="2" t="s">
        <v>56</v>
      </c>
      <c r="T988" s="5">
        <v>44100</v>
      </c>
      <c r="U988" s="5">
        <v>0</v>
      </c>
      <c r="V988" s="4">
        <v>24</v>
      </c>
      <c r="W988" s="4">
        <v>29</v>
      </c>
      <c r="X988" s="2" t="s">
        <v>112</v>
      </c>
      <c r="Y988" s="4">
        <v>0</v>
      </c>
      <c r="Z988" s="4">
        <v>6</v>
      </c>
      <c r="AA988" s="4">
        <v>0</v>
      </c>
      <c r="AB988" s="4">
        <v>1</v>
      </c>
      <c r="AC988" s="4">
        <v>4</v>
      </c>
      <c r="AD988" s="4">
        <v>29</v>
      </c>
      <c r="AE988" s="3" t="s">
        <v>45</v>
      </c>
      <c r="AG988">
        <f t="shared" ca="1" si="45"/>
        <v>5</v>
      </c>
      <c r="AH988" s="23" t="str" cm="1">
        <f t="array" ref="AH988">_xlfn.IFS(E988&gt;49,"50+",E988&gt;39,"40-49",E988&gt;29,"30-39",E988&gt;19,"20-29")</f>
        <v>40-49</v>
      </c>
      <c r="AI988" s="24" t="str" cm="1">
        <f t="array" aca="1" ref="AI988" ca="1">_xlfn.IFS(AG988&gt;10,"10+",AG988&gt;4,"5-10 YIL",AG988&gt;2,"3-5 YIL",AG988&gt;0.9,"1-3 YIL",AG988&lt;1,"0-1 YIL")</f>
        <v>5-10 YIL</v>
      </c>
      <c r="AJ988">
        <f t="shared" si="46"/>
        <v>2020</v>
      </c>
      <c r="AK988" t="e">
        <f t="shared" si="47"/>
        <v>#VALUE!</v>
      </c>
    </row>
    <row r="989" spans="1:37" x14ac:dyDescent="0.3">
      <c r="A989" s="6" t="s">
        <v>1469</v>
      </c>
      <c r="B989" s="7" t="s">
        <v>736</v>
      </c>
      <c r="C989" s="6" t="s">
        <v>33</v>
      </c>
      <c r="D989" s="14">
        <v>35758</v>
      </c>
      <c r="E989" s="8">
        <v>29</v>
      </c>
      <c r="F989" s="6" t="s">
        <v>49</v>
      </c>
      <c r="G989" s="8">
        <v>1</v>
      </c>
      <c r="H989" s="6" t="s">
        <v>35</v>
      </c>
      <c r="I989" s="7" t="s">
        <v>36</v>
      </c>
      <c r="J989" s="7" t="s">
        <v>37</v>
      </c>
      <c r="K989" s="6" t="s">
        <v>38</v>
      </c>
      <c r="L989" s="6" t="s">
        <v>39</v>
      </c>
      <c r="M989" s="7" t="s">
        <v>40</v>
      </c>
      <c r="N989" s="6" t="s">
        <v>41</v>
      </c>
      <c r="O989" s="14">
        <v>46056</v>
      </c>
      <c r="P989" s="14">
        <v>46165</v>
      </c>
      <c r="Q989" s="7" t="s">
        <v>177</v>
      </c>
      <c r="R989" s="6">
        <v>3</v>
      </c>
      <c r="S989" s="6" t="s">
        <v>43</v>
      </c>
      <c r="T989" s="9">
        <v>27700</v>
      </c>
      <c r="U989" s="9">
        <v>0</v>
      </c>
      <c r="V989" s="8">
        <v>24</v>
      </c>
      <c r="W989" s="8">
        <v>27</v>
      </c>
      <c r="X989" s="6" t="s">
        <v>57</v>
      </c>
      <c r="Y989" s="8">
        <v>3</v>
      </c>
      <c r="Z989" s="8">
        <v>0</v>
      </c>
      <c r="AA989" s="8">
        <v>0</v>
      </c>
      <c r="AB989" s="8">
        <v>0</v>
      </c>
      <c r="AC989" s="8">
        <v>1</v>
      </c>
      <c r="AD989" s="8">
        <v>3</v>
      </c>
      <c r="AE989" s="7" t="s">
        <v>45</v>
      </c>
      <c r="AG989">
        <f t="shared" ca="1" si="45"/>
        <v>0</v>
      </c>
      <c r="AH989" s="23" t="str" cm="1">
        <f t="array" ref="AH989">_xlfn.IFS(E989&gt;49,"50+",E989&gt;39,"40-49",E989&gt;29,"30-39",E989&gt;19,"20-29")</f>
        <v>20-29</v>
      </c>
      <c r="AI989" s="24" t="str" cm="1">
        <f t="array" aca="1" ref="AI989" ca="1">_xlfn.IFS(AG989&gt;10,"10+",AG989&gt;4,"5-10 YIL",AG989&gt;2,"3-5 YIL",AG989&gt;0.9,"1-3 YIL",AG989&lt;1,"0-1 YIL")</f>
        <v>0-1 YIL</v>
      </c>
      <c r="AJ989">
        <f t="shared" si="46"/>
        <v>2026</v>
      </c>
      <c r="AK989">
        <f t="shared" si="47"/>
        <v>2026</v>
      </c>
    </row>
    <row r="990" spans="1:37" x14ac:dyDescent="0.3">
      <c r="A990" s="2" t="s">
        <v>1470</v>
      </c>
      <c r="B990" s="3" t="s">
        <v>1471</v>
      </c>
      <c r="C990" s="2" t="s">
        <v>33</v>
      </c>
      <c r="D990" s="13">
        <v>36017</v>
      </c>
      <c r="E990" s="4">
        <v>28</v>
      </c>
      <c r="F990" s="2" t="s">
        <v>34</v>
      </c>
      <c r="G990" s="4">
        <v>0</v>
      </c>
      <c r="H990" s="2" t="s">
        <v>35</v>
      </c>
      <c r="I990" s="3" t="s">
        <v>61</v>
      </c>
      <c r="J990" s="3" t="s">
        <v>62</v>
      </c>
      <c r="K990" s="2" t="s">
        <v>38</v>
      </c>
      <c r="L990" s="2" t="s">
        <v>63</v>
      </c>
      <c r="M990" s="3" t="s">
        <v>64</v>
      </c>
      <c r="N990" s="2" t="s">
        <v>52</v>
      </c>
      <c r="O990" s="13">
        <v>44932</v>
      </c>
      <c r="P990" s="13">
        <v>45214</v>
      </c>
      <c r="Q990" s="3" t="s">
        <v>177</v>
      </c>
      <c r="R990" s="2">
        <v>3</v>
      </c>
      <c r="S990" s="2" t="s">
        <v>43</v>
      </c>
      <c r="T990" s="5">
        <v>32600</v>
      </c>
      <c r="U990" s="5">
        <v>6200</v>
      </c>
      <c r="V990" s="4">
        <v>0</v>
      </c>
      <c r="W990" s="4">
        <v>30</v>
      </c>
      <c r="X990" s="2" t="s">
        <v>44</v>
      </c>
      <c r="Y990" s="4">
        <v>0</v>
      </c>
      <c r="Z990" s="4">
        <v>2</v>
      </c>
      <c r="AA990" s="4">
        <v>0</v>
      </c>
      <c r="AB990" s="4">
        <v>0</v>
      </c>
      <c r="AC990" s="4">
        <v>3</v>
      </c>
      <c r="AD990" s="4">
        <v>10</v>
      </c>
      <c r="AE990" s="3" t="s">
        <v>82</v>
      </c>
      <c r="AG990">
        <f t="shared" ca="1" si="45"/>
        <v>3</v>
      </c>
      <c r="AH990" s="23" t="str" cm="1">
        <f t="array" ref="AH990">_xlfn.IFS(E990&gt;49,"50+",E990&gt;39,"40-49",E990&gt;29,"30-39",E990&gt;19,"20-29")</f>
        <v>20-29</v>
      </c>
      <c r="AI990" s="24" t="str" cm="1">
        <f t="array" aca="1" ref="AI990" ca="1">_xlfn.IFS(AG990&gt;10,"10+",AG990&gt;4,"5-10 YIL",AG990&gt;2,"3-5 YIL",AG990&gt;0.9,"1-3 YIL",AG990&lt;1,"0-1 YIL")</f>
        <v>3-5 YIL</v>
      </c>
      <c r="AJ990">
        <f t="shared" si="46"/>
        <v>2023</v>
      </c>
      <c r="AK990">
        <f t="shared" si="47"/>
        <v>2023</v>
      </c>
    </row>
    <row r="991" spans="1:37" x14ac:dyDescent="0.3">
      <c r="A991" s="6" t="s">
        <v>1472</v>
      </c>
      <c r="B991" s="7" t="s">
        <v>680</v>
      </c>
      <c r="C991" s="6" t="s">
        <v>48</v>
      </c>
      <c r="D991" s="14">
        <v>35669</v>
      </c>
      <c r="E991" s="8">
        <v>29</v>
      </c>
      <c r="F991" s="6" t="s">
        <v>34</v>
      </c>
      <c r="G991" s="8">
        <v>0</v>
      </c>
      <c r="H991" s="6" t="s">
        <v>85</v>
      </c>
      <c r="I991" s="7" t="s">
        <v>36</v>
      </c>
      <c r="J991" s="7" t="s">
        <v>37</v>
      </c>
      <c r="K991" s="6" t="s">
        <v>38</v>
      </c>
      <c r="L991" s="6" t="s">
        <v>39</v>
      </c>
      <c r="M991" s="7" t="s">
        <v>40</v>
      </c>
      <c r="N991" s="6" t="s">
        <v>41</v>
      </c>
      <c r="O991" s="14">
        <v>45434</v>
      </c>
      <c r="P991" s="6" t="s">
        <v>44</v>
      </c>
      <c r="Q991" s="7" t="s">
        <v>44</v>
      </c>
      <c r="R991" s="6" t="s">
        <v>44</v>
      </c>
      <c r="S991" s="6" t="s">
        <v>56</v>
      </c>
      <c r="T991" s="9">
        <v>24100</v>
      </c>
      <c r="U991" s="9">
        <v>0</v>
      </c>
      <c r="V991" s="8">
        <v>20</v>
      </c>
      <c r="W991" s="8">
        <v>30</v>
      </c>
      <c r="X991" s="6" t="s">
        <v>44</v>
      </c>
      <c r="Y991" s="8">
        <v>0</v>
      </c>
      <c r="Z991" s="8">
        <v>1</v>
      </c>
      <c r="AA991" s="8">
        <v>0</v>
      </c>
      <c r="AB991" s="8">
        <v>0</v>
      </c>
      <c r="AC991" s="8">
        <v>2</v>
      </c>
      <c r="AD991" s="8">
        <v>6</v>
      </c>
      <c r="AE991" s="7" t="s">
        <v>58</v>
      </c>
      <c r="AG991">
        <f t="shared" ca="1" si="45"/>
        <v>2</v>
      </c>
      <c r="AH991" s="23" t="str" cm="1">
        <f t="array" ref="AH991">_xlfn.IFS(E991&gt;49,"50+",E991&gt;39,"40-49",E991&gt;29,"30-39",E991&gt;19,"20-29")</f>
        <v>20-29</v>
      </c>
      <c r="AI991" s="24" t="str" cm="1">
        <f t="array" aca="1" ref="AI991" ca="1">_xlfn.IFS(AG991&gt;10,"10+",AG991&gt;4,"5-10 YIL",AG991&gt;2,"3-5 YIL",AG991&gt;0.9,"1-3 YIL",AG991&lt;1,"0-1 YIL")</f>
        <v>1-3 YIL</v>
      </c>
      <c r="AJ991">
        <f t="shared" si="46"/>
        <v>2024</v>
      </c>
      <c r="AK991" t="e">
        <f t="shared" si="47"/>
        <v>#VALUE!</v>
      </c>
    </row>
    <row r="992" spans="1:37" x14ac:dyDescent="0.3">
      <c r="A992" s="2" t="s">
        <v>1473</v>
      </c>
      <c r="B992" s="3" t="s">
        <v>520</v>
      </c>
      <c r="C992" s="2" t="s">
        <v>48</v>
      </c>
      <c r="D992" s="13">
        <v>32956</v>
      </c>
      <c r="E992" s="4">
        <v>36</v>
      </c>
      <c r="F992" s="2" t="s">
        <v>49</v>
      </c>
      <c r="G992" s="4">
        <v>0</v>
      </c>
      <c r="H992" s="2" t="s">
        <v>85</v>
      </c>
      <c r="I992" s="3" t="s">
        <v>61</v>
      </c>
      <c r="J992" s="3" t="s">
        <v>124</v>
      </c>
      <c r="K992" s="2" t="s">
        <v>79</v>
      </c>
      <c r="L992" s="2" t="s">
        <v>63</v>
      </c>
      <c r="M992" s="3" t="s">
        <v>80</v>
      </c>
      <c r="N992" s="2" t="s">
        <v>41</v>
      </c>
      <c r="O992" s="13">
        <v>40579</v>
      </c>
      <c r="P992" s="2" t="s">
        <v>44</v>
      </c>
      <c r="Q992" s="3" t="s">
        <v>44</v>
      </c>
      <c r="R992" s="2" t="s">
        <v>44</v>
      </c>
      <c r="S992" s="2" t="s">
        <v>56</v>
      </c>
      <c r="T992" s="5">
        <v>117200</v>
      </c>
      <c r="U992" s="5">
        <v>30600</v>
      </c>
      <c r="V992" s="4">
        <v>1</v>
      </c>
      <c r="W992" s="4">
        <v>27</v>
      </c>
      <c r="X992" s="2" t="s">
        <v>57</v>
      </c>
      <c r="Y992" s="4">
        <v>3</v>
      </c>
      <c r="Z992" s="4">
        <v>0</v>
      </c>
      <c r="AA992" s="4">
        <v>0</v>
      </c>
      <c r="AB992" s="4">
        <v>0</v>
      </c>
      <c r="AC992" s="4">
        <v>3</v>
      </c>
      <c r="AD992" s="4">
        <v>10</v>
      </c>
      <c r="AE992" s="3" t="s">
        <v>45</v>
      </c>
      <c r="AG992">
        <f t="shared" ca="1" si="45"/>
        <v>15</v>
      </c>
      <c r="AH992" s="23" t="str" cm="1">
        <f t="array" ref="AH992">_xlfn.IFS(E992&gt;49,"50+",E992&gt;39,"40-49",E992&gt;29,"30-39",E992&gt;19,"20-29")</f>
        <v>30-39</v>
      </c>
      <c r="AI992" s="24" t="str" cm="1">
        <f t="array" aca="1" ref="AI992" ca="1">_xlfn.IFS(AG992&gt;10,"10+",AG992&gt;4,"5-10 YIL",AG992&gt;2,"3-5 YIL",AG992&gt;0.9,"1-3 YIL",AG992&lt;1,"0-1 YIL")</f>
        <v>10+</v>
      </c>
      <c r="AJ992">
        <f t="shared" si="46"/>
        <v>2011</v>
      </c>
      <c r="AK992" t="e">
        <f t="shared" si="47"/>
        <v>#VALUE!</v>
      </c>
    </row>
    <row r="993" spans="1:37" x14ac:dyDescent="0.3">
      <c r="A993" s="6" t="s">
        <v>1474</v>
      </c>
      <c r="B993" s="7" t="s">
        <v>899</v>
      </c>
      <c r="C993" s="6" t="s">
        <v>48</v>
      </c>
      <c r="D993" s="14">
        <v>36742</v>
      </c>
      <c r="E993" s="8">
        <v>26</v>
      </c>
      <c r="F993" s="6" t="s">
        <v>49</v>
      </c>
      <c r="G993" s="8">
        <v>1</v>
      </c>
      <c r="H993" s="6" t="s">
        <v>85</v>
      </c>
      <c r="I993" s="7" t="s">
        <v>61</v>
      </c>
      <c r="J993" s="7" t="s">
        <v>62</v>
      </c>
      <c r="K993" s="6" t="s">
        <v>38</v>
      </c>
      <c r="L993" s="6" t="s">
        <v>63</v>
      </c>
      <c r="M993" s="7" t="s">
        <v>64</v>
      </c>
      <c r="N993" s="6" t="s">
        <v>67</v>
      </c>
      <c r="O993" s="14">
        <v>46151</v>
      </c>
      <c r="P993" s="14">
        <v>46169</v>
      </c>
      <c r="Q993" s="7" t="s">
        <v>177</v>
      </c>
      <c r="R993" s="6">
        <v>3</v>
      </c>
      <c r="S993" s="6" t="s">
        <v>43</v>
      </c>
      <c r="T993" s="9">
        <v>31000</v>
      </c>
      <c r="U993" s="9">
        <v>6500</v>
      </c>
      <c r="V993" s="8">
        <v>1</v>
      </c>
      <c r="W993" s="8">
        <v>30</v>
      </c>
      <c r="X993" s="6" t="s">
        <v>44</v>
      </c>
      <c r="Y993" s="8">
        <v>0</v>
      </c>
      <c r="Z993" s="8">
        <v>0</v>
      </c>
      <c r="AA993" s="8">
        <v>0</v>
      </c>
      <c r="AB993" s="8">
        <v>0</v>
      </c>
      <c r="AC993" s="8">
        <v>5</v>
      </c>
      <c r="AD993" s="8">
        <v>21</v>
      </c>
      <c r="AE993" s="7" t="s">
        <v>58</v>
      </c>
      <c r="AG993">
        <f t="shared" ca="1" si="45"/>
        <v>0</v>
      </c>
      <c r="AH993" s="23" t="str" cm="1">
        <f t="array" ref="AH993">_xlfn.IFS(E993&gt;49,"50+",E993&gt;39,"40-49",E993&gt;29,"30-39",E993&gt;19,"20-29")</f>
        <v>20-29</v>
      </c>
      <c r="AI993" s="24" t="str" cm="1">
        <f t="array" aca="1" ref="AI993" ca="1">_xlfn.IFS(AG993&gt;10,"10+",AG993&gt;4,"5-10 YIL",AG993&gt;2,"3-5 YIL",AG993&gt;0.9,"1-3 YIL",AG993&lt;1,"0-1 YIL")</f>
        <v>0-1 YIL</v>
      </c>
      <c r="AJ993">
        <f t="shared" si="46"/>
        <v>2026</v>
      </c>
      <c r="AK993">
        <f t="shared" si="47"/>
        <v>2026</v>
      </c>
    </row>
    <row r="994" spans="1:37" x14ac:dyDescent="0.3">
      <c r="A994" s="2" t="s">
        <v>1475</v>
      </c>
      <c r="B994" s="3" t="s">
        <v>449</v>
      </c>
      <c r="C994" s="2" t="s">
        <v>48</v>
      </c>
      <c r="D994" s="13">
        <v>35965</v>
      </c>
      <c r="E994" s="4">
        <v>28</v>
      </c>
      <c r="F994" s="2" t="s">
        <v>49</v>
      </c>
      <c r="G994" s="4">
        <v>2</v>
      </c>
      <c r="H994" s="2" t="s">
        <v>88</v>
      </c>
      <c r="I994" s="3" t="s">
        <v>61</v>
      </c>
      <c r="J994" s="3" t="s">
        <v>62</v>
      </c>
      <c r="K994" s="2" t="s">
        <v>38</v>
      </c>
      <c r="L994" s="2" t="s">
        <v>63</v>
      </c>
      <c r="M994" s="3" t="s">
        <v>64</v>
      </c>
      <c r="N994" s="2" t="s">
        <v>41</v>
      </c>
      <c r="O994" s="13">
        <v>45334</v>
      </c>
      <c r="P994" s="2" t="s">
        <v>44</v>
      </c>
      <c r="Q994" s="3" t="s">
        <v>44</v>
      </c>
      <c r="R994" s="2" t="s">
        <v>44</v>
      </c>
      <c r="S994" s="2" t="s">
        <v>56</v>
      </c>
      <c r="T994" s="5">
        <v>34500</v>
      </c>
      <c r="U994" s="5">
        <v>6700</v>
      </c>
      <c r="V994" s="4">
        <v>0</v>
      </c>
      <c r="W994" s="4">
        <v>30</v>
      </c>
      <c r="X994" s="2" t="s">
        <v>44</v>
      </c>
      <c r="Y994" s="4">
        <v>0</v>
      </c>
      <c r="Z994" s="4">
        <v>12</v>
      </c>
      <c r="AA994" s="4">
        <v>0</v>
      </c>
      <c r="AB994" s="4">
        <v>0</v>
      </c>
      <c r="AC994" s="4">
        <v>3</v>
      </c>
      <c r="AD994" s="4">
        <v>18</v>
      </c>
      <c r="AE994" s="3" t="s">
        <v>82</v>
      </c>
      <c r="AG994">
        <f t="shared" ca="1" si="45"/>
        <v>2</v>
      </c>
      <c r="AH994" s="23" t="str" cm="1">
        <f t="array" ref="AH994">_xlfn.IFS(E994&gt;49,"50+",E994&gt;39,"40-49",E994&gt;29,"30-39",E994&gt;19,"20-29")</f>
        <v>20-29</v>
      </c>
      <c r="AI994" s="24" t="str" cm="1">
        <f t="array" aca="1" ref="AI994" ca="1">_xlfn.IFS(AG994&gt;10,"10+",AG994&gt;4,"5-10 YIL",AG994&gt;2,"3-5 YIL",AG994&gt;0.9,"1-3 YIL",AG994&lt;1,"0-1 YIL")</f>
        <v>1-3 YIL</v>
      </c>
      <c r="AJ994">
        <f t="shared" si="46"/>
        <v>2024</v>
      </c>
      <c r="AK994" t="e">
        <f t="shared" si="47"/>
        <v>#VALUE!</v>
      </c>
    </row>
    <row r="995" spans="1:37" x14ac:dyDescent="0.3">
      <c r="A995" s="6" t="s">
        <v>1476</v>
      </c>
      <c r="B995" s="7" t="s">
        <v>379</v>
      </c>
      <c r="C995" s="6" t="s">
        <v>48</v>
      </c>
      <c r="D995" s="14">
        <v>34799</v>
      </c>
      <c r="E995" s="8">
        <v>31</v>
      </c>
      <c r="F995" s="6" t="s">
        <v>49</v>
      </c>
      <c r="G995" s="8">
        <v>0</v>
      </c>
      <c r="H995" s="6" t="s">
        <v>35</v>
      </c>
      <c r="I995" s="7" t="s">
        <v>70</v>
      </c>
      <c r="J995" s="7" t="s">
        <v>71</v>
      </c>
      <c r="K995" s="6" t="s">
        <v>51</v>
      </c>
      <c r="L995" s="6" t="s">
        <v>63</v>
      </c>
      <c r="M995" s="7" t="s">
        <v>72</v>
      </c>
      <c r="N995" s="6" t="s">
        <v>41</v>
      </c>
      <c r="O995" s="14">
        <v>44876</v>
      </c>
      <c r="P995" s="6" t="s">
        <v>44</v>
      </c>
      <c r="Q995" s="7" t="s">
        <v>44</v>
      </c>
      <c r="R995" s="6" t="s">
        <v>44</v>
      </c>
      <c r="S995" s="6" t="s">
        <v>56</v>
      </c>
      <c r="T995" s="9">
        <v>56900</v>
      </c>
      <c r="U995" s="9">
        <v>0</v>
      </c>
      <c r="V995" s="8">
        <v>9</v>
      </c>
      <c r="W995" s="8">
        <v>30</v>
      </c>
      <c r="X995" s="6" t="s">
        <v>44</v>
      </c>
      <c r="Y995" s="8">
        <v>0</v>
      </c>
      <c r="Z995" s="8">
        <v>7</v>
      </c>
      <c r="AA995" s="8">
        <v>0</v>
      </c>
      <c r="AB995" s="8">
        <v>0</v>
      </c>
      <c r="AC995" s="8">
        <v>3</v>
      </c>
      <c r="AD995" s="8">
        <v>5</v>
      </c>
      <c r="AE995" s="7" t="s">
        <v>58</v>
      </c>
      <c r="AG995">
        <f t="shared" ca="1" si="45"/>
        <v>3</v>
      </c>
      <c r="AH995" s="23" t="str" cm="1">
        <f t="array" ref="AH995">_xlfn.IFS(E995&gt;49,"50+",E995&gt;39,"40-49",E995&gt;29,"30-39",E995&gt;19,"20-29")</f>
        <v>30-39</v>
      </c>
      <c r="AI995" s="24" t="str" cm="1">
        <f t="array" aca="1" ref="AI995" ca="1">_xlfn.IFS(AG995&gt;10,"10+",AG995&gt;4,"5-10 YIL",AG995&gt;2,"3-5 YIL",AG995&gt;0.9,"1-3 YIL",AG995&lt;1,"0-1 YIL")</f>
        <v>3-5 YIL</v>
      </c>
      <c r="AJ995">
        <f t="shared" si="46"/>
        <v>2022</v>
      </c>
      <c r="AK995" t="e">
        <f t="shared" si="47"/>
        <v>#VALUE!</v>
      </c>
    </row>
    <row r="996" spans="1:37" x14ac:dyDescent="0.3">
      <c r="A996" s="2" t="s">
        <v>1477</v>
      </c>
      <c r="B996" s="3" t="s">
        <v>1361</v>
      </c>
      <c r="C996" s="2" t="s">
        <v>48</v>
      </c>
      <c r="D996" s="13">
        <v>28949</v>
      </c>
      <c r="E996" s="4">
        <v>47</v>
      </c>
      <c r="F996" s="2" t="s">
        <v>49</v>
      </c>
      <c r="G996" s="4">
        <v>2</v>
      </c>
      <c r="H996" s="2" t="s">
        <v>35</v>
      </c>
      <c r="I996" s="3" t="s">
        <v>36</v>
      </c>
      <c r="J996" s="3" t="s">
        <v>50</v>
      </c>
      <c r="K996" s="2" t="s">
        <v>51</v>
      </c>
      <c r="L996" s="2" t="s">
        <v>39</v>
      </c>
      <c r="M996" s="3" t="s">
        <v>40</v>
      </c>
      <c r="N996" s="2" t="s">
        <v>41</v>
      </c>
      <c r="O996" s="13">
        <v>43000</v>
      </c>
      <c r="P996" s="2" t="s">
        <v>44</v>
      </c>
      <c r="Q996" s="3" t="s">
        <v>44</v>
      </c>
      <c r="R996" s="2" t="s">
        <v>44</v>
      </c>
      <c r="S996" s="2" t="s">
        <v>56</v>
      </c>
      <c r="T996" s="5">
        <v>41000</v>
      </c>
      <c r="U996" s="5">
        <v>0</v>
      </c>
      <c r="V996" s="4">
        <v>13</v>
      </c>
      <c r="W996" s="4">
        <v>30</v>
      </c>
      <c r="X996" s="2" t="s">
        <v>44</v>
      </c>
      <c r="Y996" s="4">
        <v>0</v>
      </c>
      <c r="Z996" s="4">
        <v>8</v>
      </c>
      <c r="AA996" s="4">
        <v>0</v>
      </c>
      <c r="AB996" s="4">
        <v>0</v>
      </c>
      <c r="AC996" s="4">
        <v>4</v>
      </c>
      <c r="AD996" s="4">
        <v>12</v>
      </c>
      <c r="AE996" s="3" t="s">
        <v>82</v>
      </c>
      <c r="AG996">
        <f t="shared" ca="1" si="45"/>
        <v>8</v>
      </c>
      <c r="AH996" s="23" t="str" cm="1">
        <f t="array" ref="AH996">_xlfn.IFS(E996&gt;49,"50+",E996&gt;39,"40-49",E996&gt;29,"30-39",E996&gt;19,"20-29")</f>
        <v>40-49</v>
      </c>
      <c r="AI996" s="24" t="str" cm="1">
        <f t="array" aca="1" ref="AI996" ca="1">_xlfn.IFS(AG996&gt;10,"10+",AG996&gt;4,"5-10 YIL",AG996&gt;2,"3-5 YIL",AG996&gt;0.9,"1-3 YIL",AG996&lt;1,"0-1 YIL")</f>
        <v>5-10 YIL</v>
      </c>
      <c r="AJ996">
        <f t="shared" si="46"/>
        <v>2017</v>
      </c>
      <c r="AK996" t="e">
        <f t="shared" si="47"/>
        <v>#VALUE!</v>
      </c>
    </row>
    <row r="997" spans="1:37" x14ac:dyDescent="0.3">
      <c r="A997" s="6" t="s">
        <v>1478</v>
      </c>
      <c r="B997" s="7" t="s">
        <v>1104</v>
      </c>
      <c r="C997" s="6" t="s">
        <v>33</v>
      </c>
      <c r="D997" s="14">
        <v>31598</v>
      </c>
      <c r="E997" s="8">
        <v>40</v>
      </c>
      <c r="F997" s="6" t="s">
        <v>49</v>
      </c>
      <c r="G997" s="8">
        <v>1</v>
      </c>
      <c r="H997" s="6" t="s">
        <v>85</v>
      </c>
      <c r="I997" s="7" t="s">
        <v>139</v>
      </c>
      <c r="J997" s="7" t="s">
        <v>161</v>
      </c>
      <c r="K997" s="6" t="s">
        <v>51</v>
      </c>
      <c r="L997" s="6" t="s">
        <v>63</v>
      </c>
      <c r="M997" s="7" t="s">
        <v>162</v>
      </c>
      <c r="N997" s="6" t="s">
        <v>41</v>
      </c>
      <c r="O997" s="14">
        <v>43130</v>
      </c>
      <c r="P997" s="6" t="s">
        <v>44</v>
      </c>
      <c r="Q997" s="7" t="s">
        <v>44</v>
      </c>
      <c r="R997" s="6" t="s">
        <v>44</v>
      </c>
      <c r="S997" s="6" t="s">
        <v>56</v>
      </c>
      <c r="T997" s="9">
        <v>82400</v>
      </c>
      <c r="U997" s="9">
        <v>0</v>
      </c>
      <c r="V997" s="8">
        <v>6</v>
      </c>
      <c r="W997" s="8">
        <v>30</v>
      </c>
      <c r="X997" s="6" t="s">
        <v>44</v>
      </c>
      <c r="Y997" s="8">
        <v>0</v>
      </c>
      <c r="Z997" s="8">
        <v>12</v>
      </c>
      <c r="AA997" s="8">
        <v>0</v>
      </c>
      <c r="AB997" s="8">
        <v>0</v>
      </c>
      <c r="AC997" s="8">
        <v>3</v>
      </c>
      <c r="AD997" s="8">
        <v>11</v>
      </c>
      <c r="AE997" s="7" t="s">
        <v>45</v>
      </c>
      <c r="AG997">
        <f t="shared" ca="1" si="45"/>
        <v>8</v>
      </c>
      <c r="AH997" s="23" t="str" cm="1">
        <f t="array" ref="AH997">_xlfn.IFS(E997&gt;49,"50+",E997&gt;39,"40-49",E997&gt;29,"30-39",E997&gt;19,"20-29")</f>
        <v>40-49</v>
      </c>
      <c r="AI997" s="24" t="str" cm="1">
        <f t="array" aca="1" ref="AI997" ca="1">_xlfn.IFS(AG997&gt;10,"10+",AG997&gt;4,"5-10 YIL",AG997&gt;2,"3-5 YIL",AG997&gt;0.9,"1-3 YIL",AG997&lt;1,"0-1 YIL")</f>
        <v>5-10 YIL</v>
      </c>
      <c r="AJ997">
        <f t="shared" si="46"/>
        <v>2018</v>
      </c>
      <c r="AK997" t="e">
        <f t="shared" si="47"/>
        <v>#VALUE!</v>
      </c>
    </row>
    <row r="998" spans="1:37" x14ac:dyDescent="0.3">
      <c r="A998" s="2" t="s">
        <v>1479</v>
      </c>
      <c r="B998" s="3" t="s">
        <v>227</v>
      </c>
      <c r="C998" s="2" t="s">
        <v>33</v>
      </c>
      <c r="D998" s="13">
        <v>30068</v>
      </c>
      <c r="E998" s="4">
        <v>44</v>
      </c>
      <c r="F998" s="2" t="s">
        <v>34</v>
      </c>
      <c r="G998" s="4">
        <v>0</v>
      </c>
      <c r="H998" s="2" t="s">
        <v>35</v>
      </c>
      <c r="I998" s="3" t="s">
        <v>36</v>
      </c>
      <c r="J998" s="3" t="s">
        <v>78</v>
      </c>
      <c r="K998" s="2" t="s">
        <v>79</v>
      </c>
      <c r="L998" s="2" t="s">
        <v>63</v>
      </c>
      <c r="M998" s="3" t="s">
        <v>80</v>
      </c>
      <c r="N998" s="2" t="s">
        <v>52</v>
      </c>
      <c r="O998" s="13">
        <v>40234</v>
      </c>
      <c r="P998" s="2" t="s">
        <v>44</v>
      </c>
      <c r="Q998" s="3" t="s">
        <v>44</v>
      </c>
      <c r="R998" s="2" t="s">
        <v>44</v>
      </c>
      <c r="S998" s="2" t="s">
        <v>56</v>
      </c>
      <c r="T998" s="5">
        <v>104000</v>
      </c>
      <c r="U998" s="5">
        <v>0</v>
      </c>
      <c r="V998" s="4">
        <v>5</v>
      </c>
      <c r="W998" s="4">
        <v>30</v>
      </c>
      <c r="X998" s="2" t="s">
        <v>44</v>
      </c>
      <c r="Y998" s="4">
        <v>0</v>
      </c>
      <c r="Z998" s="4">
        <v>6</v>
      </c>
      <c r="AA998" s="4">
        <v>0</v>
      </c>
      <c r="AB998" s="4">
        <v>0</v>
      </c>
      <c r="AC998" s="4">
        <v>3</v>
      </c>
      <c r="AD998" s="4">
        <v>6</v>
      </c>
      <c r="AE998" s="3" t="s">
        <v>58</v>
      </c>
      <c r="AG998">
        <f t="shared" ca="1" si="45"/>
        <v>16</v>
      </c>
      <c r="AH998" s="23" t="str" cm="1">
        <f t="array" ref="AH998">_xlfn.IFS(E998&gt;49,"50+",E998&gt;39,"40-49",E998&gt;29,"30-39",E998&gt;19,"20-29")</f>
        <v>40-49</v>
      </c>
      <c r="AI998" s="24" t="str" cm="1">
        <f t="array" aca="1" ref="AI998" ca="1">_xlfn.IFS(AG998&gt;10,"10+",AG998&gt;4,"5-10 YIL",AG998&gt;2,"3-5 YIL",AG998&gt;0.9,"1-3 YIL",AG998&lt;1,"0-1 YIL")</f>
        <v>10+</v>
      </c>
      <c r="AJ998">
        <f t="shared" si="46"/>
        <v>2010</v>
      </c>
      <c r="AK998" t="e">
        <f t="shared" si="47"/>
        <v>#VALUE!</v>
      </c>
    </row>
    <row r="999" spans="1:37" x14ac:dyDescent="0.3">
      <c r="A999" s="6" t="s">
        <v>1480</v>
      </c>
      <c r="B999" s="7" t="s">
        <v>505</v>
      </c>
      <c r="C999" s="6" t="s">
        <v>48</v>
      </c>
      <c r="D999" s="14">
        <v>38005</v>
      </c>
      <c r="E999" s="8">
        <v>22</v>
      </c>
      <c r="F999" s="6" t="s">
        <v>34</v>
      </c>
      <c r="G999" s="8">
        <v>0</v>
      </c>
      <c r="H999" s="6" t="s">
        <v>184</v>
      </c>
      <c r="I999" s="7" t="s">
        <v>36</v>
      </c>
      <c r="J999" s="7" t="s">
        <v>37</v>
      </c>
      <c r="K999" s="6" t="s">
        <v>38</v>
      </c>
      <c r="L999" s="6" t="s">
        <v>39</v>
      </c>
      <c r="M999" s="7" t="s">
        <v>40</v>
      </c>
      <c r="N999" s="6" t="s">
        <v>41</v>
      </c>
      <c r="O999" s="14">
        <v>46109</v>
      </c>
      <c r="P999" s="6" t="s">
        <v>44</v>
      </c>
      <c r="Q999" s="7" t="s">
        <v>44</v>
      </c>
      <c r="R999" s="6" t="s">
        <v>44</v>
      </c>
      <c r="S999" s="6" t="s">
        <v>56</v>
      </c>
      <c r="T999" s="9">
        <v>24600</v>
      </c>
      <c r="U999" s="9">
        <v>0</v>
      </c>
      <c r="V999" s="8">
        <v>10</v>
      </c>
      <c r="W999" s="8">
        <v>30</v>
      </c>
      <c r="X999" s="6" t="s">
        <v>44</v>
      </c>
      <c r="Y999" s="8">
        <v>0</v>
      </c>
      <c r="Z999" s="8">
        <v>0</v>
      </c>
      <c r="AA999" s="8">
        <v>0</v>
      </c>
      <c r="AB999" s="8">
        <v>0</v>
      </c>
      <c r="AC999" s="8">
        <v>4</v>
      </c>
      <c r="AD999" s="8">
        <v>37</v>
      </c>
      <c r="AE999" s="7" t="s">
        <v>58</v>
      </c>
      <c r="AG999">
        <f t="shared" ca="1" si="45"/>
        <v>0</v>
      </c>
      <c r="AH999" s="23" t="str" cm="1">
        <f t="array" ref="AH999">_xlfn.IFS(E999&gt;49,"50+",E999&gt;39,"40-49",E999&gt;29,"30-39",E999&gt;19,"20-29")</f>
        <v>20-29</v>
      </c>
      <c r="AI999" s="24" t="str" cm="1">
        <f t="array" aca="1" ref="AI999" ca="1">_xlfn.IFS(AG999&gt;10,"10+",AG999&gt;4,"5-10 YIL",AG999&gt;2,"3-5 YIL",AG999&gt;0.9,"1-3 YIL",AG999&lt;1,"0-1 YIL")</f>
        <v>0-1 YIL</v>
      </c>
      <c r="AJ999">
        <f t="shared" si="46"/>
        <v>2026</v>
      </c>
      <c r="AK999" t="e">
        <f t="shared" si="47"/>
        <v>#VALUE!</v>
      </c>
    </row>
    <row r="1000" spans="1:37" x14ac:dyDescent="0.3">
      <c r="A1000" s="2" t="s">
        <v>1481</v>
      </c>
      <c r="B1000" s="3" t="s">
        <v>166</v>
      </c>
      <c r="C1000" s="2" t="s">
        <v>48</v>
      </c>
      <c r="D1000" s="13">
        <v>35784</v>
      </c>
      <c r="E1000" s="4">
        <v>29</v>
      </c>
      <c r="F1000" s="2" t="s">
        <v>49</v>
      </c>
      <c r="G1000" s="4">
        <v>3</v>
      </c>
      <c r="H1000" s="2" t="s">
        <v>85</v>
      </c>
      <c r="I1000" s="3" t="s">
        <v>36</v>
      </c>
      <c r="J1000" s="3" t="s">
        <v>37</v>
      </c>
      <c r="K1000" s="2" t="s">
        <v>38</v>
      </c>
      <c r="L1000" s="2" t="s">
        <v>39</v>
      </c>
      <c r="M1000" s="3" t="s">
        <v>40</v>
      </c>
      <c r="N1000" s="2" t="s">
        <v>67</v>
      </c>
      <c r="O1000" s="13">
        <v>45719</v>
      </c>
      <c r="P1000" s="2" t="s">
        <v>44</v>
      </c>
      <c r="Q1000" s="3" t="s">
        <v>44</v>
      </c>
      <c r="R1000" s="2" t="s">
        <v>44</v>
      </c>
      <c r="S1000" s="2" t="s">
        <v>56</v>
      </c>
      <c r="T1000" s="5">
        <v>28700</v>
      </c>
      <c r="U1000" s="5">
        <v>0</v>
      </c>
      <c r="V1000" s="4">
        <v>37</v>
      </c>
      <c r="W1000" s="4">
        <v>30</v>
      </c>
      <c r="X1000" s="2" t="s">
        <v>44</v>
      </c>
      <c r="Y1000" s="4">
        <v>0</v>
      </c>
      <c r="Z1000" s="4">
        <v>8</v>
      </c>
      <c r="AA1000" s="4">
        <v>0</v>
      </c>
      <c r="AB1000" s="4">
        <v>0</v>
      </c>
      <c r="AC1000" s="4">
        <v>4</v>
      </c>
      <c r="AD1000" s="4">
        <v>34</v>
      </c>
      <c r="AE1000" s="3" t="s">
        <v>45</v>
      </c>
      <c r="AG1000">
        <f t="shared" ca="1" si="45"/>
        <v>1</v>
      </c>
      <c r="AH1000" s="23" t="str" cm="1">
        <f t="array" ref="AH1000">_xlfn.IFS(E1000&gt;49,"50+",E1000&gt;39,"40-49",E1000&gt;29,"30-39",E1000&gt;19,"20-29")</f>
        <v>20-29</v>
      </c>
      <c r="AI1000" s="24" t="str" cm="1">
        <f t="array" aca="1" ref="AI1000" ca="1">_xlfn.IFS(AG1000&gt;10,"10+",AG1000&gt;4,"5-10 YIL",AG1000&gt;2,"3-5 YIL",AG1000&gt;0.9,"1-3 YIL",AG1000&lt;1,"0-1 YIL")</f>
        <v>1-3 YIL</v>
      </c>
      <c r="AJ1000">
        <f t="shared" si="46"/>
        <v>2025</v>
      </c>
      <c r="AK1000" t="e">
        <f t="shared" si="47"/>
        <v>#VALUE!</v>
      </c>
    </row>
    <row r="1001" spans="1:37" x14ac:dyDescent="0.3">
      <c r="A1001" s="6" t="s">
        <v>1482</v>
      </c>
      <c r="B1001" s="7" t="s">
        <v>91</v>
      </c>
      <c r="C1001" s="6" t="s">
        <v>48</v>
      </c>
      <c r="D1001" s="14">
        <v>37150</v>
      </c>
      <c r="E1001" s="8">
        <v>25</v>
      </c>
      <c r="F1001" s="6" t="s">
        <v>49</v>
      </c>
      <c r="G1001" s="8">
        <v>1</v>
      </c>
      <c r="H1001" s="6" t="s">
        <v>35</v>
      </c>
      <c r="I1001" s="7" t="s">
        <v>148</v>
      </c>
      <c r="J1001" s="7" t="s">
        <v>252</v>
      </c>
      <c r="K1001" s="6" t="s">
        <v>38</v>
      </c>
      <c r="L1001" s="6" t="s">
        <v>63</v>
      </c>
      <c r="M1001" s="7" t="s">
        <v>150</v>
      </c>
      <c r="N1001" s="6" t="s">
        <v>41</v>
      </c>
      <c r="O1001" s="14">
        <v>45827</v>
      </c>
      <c r="P1001" s="6" t="s">
        <v>44</v>
      </c>
      <c r="Q1001" s="7" t="s">
        <v>44</v>
      </c>
      <c r="R1001" s="6" t="s">
        <v>44</v>
      </c>
      <c r="S1001" s="6" t="s">
        <v>56</v>
      </c>
      <c r="T1001" s="9">
        <v>37500</v>
      </c>
      <c r="U1001" s="9">
        <v>0</v>
      </c>
      <c r="V1001" s="8">
        <v>4</v>
      </c>
      <c r="W1001" s="8">
        <v>30</v>
      </c>
      <c r="X1001" s="6" t="s">
        <v>44</v>
      </c>
      <c r="Y1001" s="8">
        <v>0</v>
      </c>
      <c r="Z1001" s="8">
        <v>0</v>
      </c>
      <c r="AA1001" s="8">
        <v>0</v>
      </c>
      <c r="AB1001" s="8">
        <v>0</v>
      </c>
      <c r="AC1001" s="8">
        <v>1</v>
      </c>
      <c r="AD1001" s="8">
        <v>19</v>
      </c>
      <c r="AE1001" s="7" t="s">
        <v>82</v>
      </c>
      <c r="AG1001">
        <f t="shared" ca="1" si="45"/>
        <v>1</v>
      </c>
      <c r="AH1001" s="23" t="str" cm="1">
        <f t="array" ref="AH1001">_xlfn.IFS(E1001&gt;49,"50+",E1001&gt;39,"40-49",E1001&gt;29,"30-39",E1001&gt;19,"20-29")</f>
        <v>20-29</v>
      </c>
      <c r="AI1001" s="24" t="str" cm="1">
        <f t="array" aca="1" ref="AI1001" ca="1">_xlfn.IFS(AG1001&gt;10,"10+",AG1001&gt;4,"5-10 YIL",AG1001&gt;2,"3-5 YIL",AG1001&gt;0.9,"1-3 YIL",AG1001&lt;1,"0-1 YIL")</f>
        <v>1-3 YIL</v>
      </c>
      <c r="AJ1001">
        <f t="shared" si="46"/>
        <v>2025</v>
      </c>
      <c r="AK1001" t="e">
        <f t="shared" si="47"/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selection activeCell="F11" sqref="F11"/>
    </sheetView>
  </sheetViews>
  <sheetFormatPr defaultRowHeight="14.4" x14ac:dyDescent="0.3"/>
  <cols>
    <col min="1" max="1" width="26.109375" bestFit="1" customWidth="1"/>
    <col min="2" max="2" width="11.6640625" bestFit="1" customWidth="1"/>
    <col min="3" max="3" width="13.6640625" bestFit="1" customWidth="1"/>
    <col min="4" max="4" width="18.77734375" bestFit="1" customWidth="1"/>
    <col min="5" max="5" width="23.44140625" bestFit="1" customWidth="1"/>
    <col min="6" max="6" width="28.44140625" bestFit="1" customWidth="1"/>
  </cols>
  <sheetData>
    <row r="1" spans="1:6" x14ac:dyDescent="0.3">
      <c r="A1" s="29" t="s">
        <v>1501</v>
      </c>
      <c r="B1" s="30"/>
    </row>
    <row r="2" spans="1:6" x14ac:dyDescent="0.3">
      <c r="A2" s="17" t="s">
        <v>1502</v>
      </c>
      <c r="B2" s="17">
        <f>COUNTIF('01_Personel_Verisi'!S:S,"Aktif")</f>
        <v>868</v>
      </c>
      <c r="D2" s="17" t="s">
        <v>1539</v>
      </c>
      <c r="E2" s="19">
        <f>(COUNTIFS('01_Personel_Verisi'!C:C,"Kadın",'01_Personel_Verisi'!S:S,"Aktif")/B2)*100</f>
        <v>42.857142857142854</v>
      </c>
    </row>
    <row r="3" spans="1:6" x14ac:dyDescent="0.3">
      <c r="A3" s="17" t="s">
        <v>1503</v>
      </c>
      <c r="B3" s="17">
        <f>COUNTIF('01_Personel_Verisi'!S:S,"Pasif")</f>
        <v>132</v>
      </c>
      <c r="D3" s="17" t="s">
        <v>1535</v>
      </c>
      <c r="E3" s="18">
        <f>AVERAGEA('01_Personel_Verisi'!AC:AC)</f>
        <v>3.046953046953047</v>
      </c>
    </row>
    <row r="4" spans="1:6" x14ac:dyDescent="0.3">
      <c r="A4" s="17" t="s">
        <v>1504</v>
      </c>
      <c r="B4" s="25">
        <f>B3/((B2+B3+B2)/2)</f>
        <v>0.14132762312633834</v>
      </c>
      <c r="D4" s="17" t="s">
        <v>1536</v>
      </c>
      <c r="E4" s="18">
        <f>AVERAGEA('01_Personel_Verisi'!AD:AD)</f>
        <v>14.553446553446554</v>
      </c>
    </row>
    <row r="5" spans="1:6" x14ac:dyDescent="0.3">
      <c r="A5" s="17" t="s">
        <v>1505</v>
      </c>
      <c r="B5" s="19">
        <f>AVERAGEIFS('01_Personel_Verisi'!E:E,'01_Personel_Verisi'!S:S,"Aktif")</f>
        <v>31.813364055299541</v>
      </c>
      <c r="D5" s="17" t="s">
        <v>1537</v>
      </c>
      <c r="E5" s="17">
        <f>(B2/(B2+B3))*100</f>
        <v>86.8</v>
      </c>
    </row>
    <row r="6" spans="1:6" x14ac:dyDescent="0.3">
      <c r="A6" s="17" t="s">
        <v>1506</v>
      </c>
      <c r="B6" s="19">
        <f ca="1">AVERAGEIFS('01_Personel_Verisi'!AG:AG,'01_Personel_Verisi'!S:S,"Aktif")</f>
        <v>4.6094470046082954</v>
      </c>
      <c r="D6" s="17" t="s">
        <v>1538</v>
      </c>
      <c r="E6" s="18">
        <f>((COUNTIF('01_Personel_Verisi'!AK:AK,"2026"))/((B2+B2+(COUNTIF('01_Personel_Verisi'!AK:AK,"2026")))/2)*100)*2</f>
        <v>9.4488188976377945</v>
      </c>
      <c r="F6" s="36" t="s">
        <v>1541</v>
      </c>
    </row>
    <row r="7" spans="1:6" x14ac:dyDescent="0.3">
      <c r="A7" s="17" t="s">
        <v>1508</v>
      </c>
      <c r="B7" s="20">
        <f>AVERAGEIFS('01_Personel_Verisi'!T:T,'01_Personel_Verisi'!S:S,"Aktif")</f>
        <v>48463.133640552995</v>
      </c>
    </row>
    <row r="8" spans="1:6" x14ac:dyDescent="0.3">
      <c r="A8" s="17" t="s">
        <v>1509</v>
      </c>
      <c r="B8" s="17">
        <f>SUM('01_Personel_Verisi'!V:V)</f>
        <v>15160</v>
      </c>
    </row>
    <row r="9" spans="1:6" x14ac:dyDescent="0.3">
      <c r="A9" s="17" t="s">
        <v>1510</v>
      </c>
      <c r="B9" s="17">
        <f>SUM('01_Personel_Verisi'!Y:Y,'01_Personel_Verisi'!AA:AA,'01_Personel_Verisi'!AB:AB)</f>
        <v>1038</v>
      </c>
    </row>
    <row r="11" spans="1:6" x14ac:dyDescent="0.3">
      <c r="A11" s="21" t="s">
        <v>1511</v>
      </c>
      <c r="B11" s="22" t="s">
        <v>1512</v>
      </c>
      <c r="C11" s="22" t="s">
        <v>1508</v>
      </c>
      <c r="D11" s="22" t="s">
        <v>1509</v>
      </c>
      <c r="E11" s="22" t="s">
        <v>1513</v>
      </c>
    </row>
    <row r="12" spans="1:6" x14ac:dyDescent="0.3">
      <c r="A12" s="22" t="s">
        <v>139</v>
      </c>
      <c r="B12" s="17">
        <f>COUNTIFS('01_Personel_Verisi'!I:I,"Bilgi Teknolojileri",'01_Personel_Verisi'!S:S,"Aktif")</f>
        <v>85</v>
      </c>
      <c r="C12" s="20">
        <f>AVERAGEIFS('01_Personel_Verisi'!T:T,'01_Personel_Verisi'!I:I,"Bilgi Teknolojileri",'01_Personel_Verisi'!S:S,"Aktif")</f>
        <v>78830.588235294112</v>
      </c>
      <c r="D12" s="17">
        <f>SUMIFS('01_Personel_Verisi'!V:V,'01_Personel_Verisi'!I:I,"Bilgi Teknolojileri")</f>
        <v>498</v>
      </c>
      <c r="E12" s="18">
        <f>AVERAGEIF('01_Personel_Verisi'!I:I,"Bilgi Teknolojileri",'01_Personel_Verisi'!AC:AC)</f>
        <v>3.1122448979591835</v>
      </c>
    </row>
    <row r="13" spans="1:6" x14ac:dyDescent="0.3">
      <c r="A13" s="22" t="s">
        <v>36</v>
      </c>
      <c r="B13" s="17">
        <f>COUNTIFS('01_Personel_Verisi'!I:I,"Üretim &amp; Operasyon",'01_Personel_Verisi'!S:S,"Aktif")</f>
        <v>431</v>
      </c>
      <c r="C13" s="20">
        <f>AVERAGEIFS('01_Personel_Verisi'!T:T,'01_Personel_Verisi'!I:I,"Üretim &amp; Operasyon",'01_Personel_Verisi'!S:S,"Aktif")</f>
        <v>33196.51972157773</v>
      </c>
      <c r="D13" s="17">
        <f>SUMIFS('01_Personel_Verisi'!V:V,'01_Personel_Verisi'!I:I,"Üretim &amp; Operasyon")</f>
        <v>13137</v>
      </c>
      <c r="E13" s="18">
        <f>AVERAGEIF('01_Personel_Verisi'!I:I,"Üretim &amp; Operasyon",'01_Personel_Verisi'!AC:AC)</f>
        <v>3.0803212851405624</v>
      </c>
    </row>
    <row r="14" spans="1:6" x14ac:dyDescent="0.3">
      <c r="A14" s="22" t="s">
        <v>61</v>
      </c>
      <c r="B14" s="17">
        <f>COUNTIFS('01_Personel_Verisi'!I:I,"Satış &amp; Pazarlama",'01_Personel_Verisi'!S:S,"Aktif")</f>
        <v>176</v>
      </c>
      <c r="C14" s="20">
        <f>AVERAGEIFS('01_Personel_Verisi'!T:T,'01_Personel_Verisi'!I:I,"Satış &amp; Pazarlama",'01_Personel_Verisi'!S:S,"Aktif")</f>
        <v>57699.431818181816</v>
      </c>
      <c r="D14" s="17">
        <f>SUMIFS('01_Personel_Verisi'!V:V,'01_Personel_Verisi'!I:I,"Satış &amp; Pazarlama")</f>
        <v>556</v>
      </c>
      <c r="E14" s="18">
        <f>AVERAGEIF('01_Personel_Verisi'!I:I,"Satış &amp; Pazarlama",'01_Personel_Verisi'!AC:AC)</f>
        <v>3.0245098039215685</v>
      </c>
    </row>
    <row r="15" spans="1:6" x14ac:dyDescent="0.3">
      <c r="A15" s="22" t="s">
        <v>148</v>
      </c>
      <c r="B15" s="17">
        <f>COUNTIFS('01_Personel_Verisi'!I:I,"İnsan Kaynakları",'01_Personel_Verisi'!S:S,"Aktif")</f>
        <v>66</v>
      </c>
      <c r="C15" s="20">
        <f>AVERAGEIFS('01_Personel_Verisi'!T:T,'01_Personel_Verisi'!I:I,"İnsan Kaynakları",'01_Personel_Verisi'!S:S,"Aktif")</f>
        <v>57328.78787878788</v>
      </c>
      <c r="D15" s="17">
        <f>SUMIFS('01_Personel_Verisi'!V:V,'01_Personel_Verisi'!I:I,"İnsan Kaynakları")</f>
        <v>351</v>
      </c>
      <c r="E15" s="18">
        <f>AVERAGEIF('01_Personel_Verisi'!I:I,"İnsan Kaynakları",'01_Personel_Verisi'!AC:AC)</f>
        <v>2.8933333333333335</v>
      </c>
    </row>
    <row r="16" spans="1:6" x14ac:dyDescent="0.3">
      <c r="A16" s="22" t="s">
        <v>70</v>
      </c>
      <c r="B16" s="17">
        <f>COUNTIFS('01_Personel_Verisi'!I:I,"Finans &amp; Muhasebe",'01_Personel_Verisi'!S:S,"Aktif")</f>
        <v>110</v>
      </c>
      <c r="C16" s="20">
        <f>AVERAGEIFS('01_Personel_Verisi'!T:T,'01_Personel_Verisi'!I:I,"Finans &amp; Muhasebe",'01_Personel_Verisi'!S:S,"Aktif")</f>
        <v>64717.272727272728</v>
      </c>
      <c r="D16" s="17">
        <f>SUMIFS('01_Personel_Verisi'!V:V,'01_Personel_Verisi'!I:I,"Finans &amp; Muhasebe")</f>
        <v>618</v>
      </c>
      <c r="E16" s="18">
        <f>AVERAGEIF('01_Personel_Verisi'!I:I,"Finans &amp; Muhasebe",'01_Personel_Verisi'!AC:AC)</f>
        <v>3.016</v>
      </c>
    </row>
    <row r="18" spans="1:5" x14ac:dyDescent="0.3">
      <c r="A18" s="29" t="s">
        <v>1516</v>
      </c>
      <c r="B18" s="30"/>
      <c r="D18" s="29" t="s">
        <v>1521</v>
      </c>
      <c r="E18" s="30"/>
    </row>
    <row r="19" spans="1:5" x14ac:dyDescent="0.3">
      <c r="A19" s="22" t="s">
        <v>1517</v>
      </c>
      <c r="B19" s="17">
        <f>COUNTIFS('01_Personel_Verisi'!AH:AH,"20-29",'01_Personel_Verisi'!S:S,"Aktif")</f>
        <v>499</v>
      </c>
      <c r="D19" s="17" t="s">
        <v>1522</v>
      </c>
      <c r="E19" s="17">
        <f ca="1">COUNTIFS('01_Personel_Verisi'!AI:AI,"0-1 YIL",'01_Personel_Verisi'!S:S,"Aktif")</f>
        <v>106</v>
      </c>
    </row>
    <row r="20" spans="1:5" x14ac:dyDescent="0.3">
      <c r="A20" s="22" t="s">
        <v>1518</v>
      </c>
      <c r="B20" s="17">
        <f>COUNTIFS('01_Personel_Verisi'!AH:AH,"30-39",'01_Personel_Verisi'!S:S,"Aktif")</f>
        <v>174</v>
      </c>
      <c r="D20" s="17" t="s">
        <v>1523</v>
      </c>
      <c r="E20" s="17">
        <f ca="1">COUNTIFS('01_Personel_Verisi'!AI:AI,"1-3 YIL",'01_Personel_Verisi'!S:S,"Aktif")</f>
        <v>235</v>
      </c>
    </row>
    <row r="21" spans="1:5" x14ac:dyDescent="0.3">
      <c r="A21" s="22" t="s">
        <v>1519</v>
      </c>
      <c r="B21" s="17">
        <f>COUNTIFS('01_Personel_Verisi'!AH:AH,"40-49",'01_Personel_Verisi'!S:S,"Aktif")</f>
        <v>165</v>
      </c>
      <c r="D21" s="17" t="s">
        <v>1524</v>
      </c>
      <c r="E21" s="17">
        <f ca="1">COUNTIFS('01_Personel_Verisi'!AI:AI,"3-5 YIL",'01_Personel_Verisi'!S:S,"Aktif")</f>
        <v>187</v>
      </c>
    </row>
    <row r="22" spans="1:5" x14ac:dyDescent="0.3">
      <c r="A22" s="22" t="s">
        <v>1520</v>
      </c>
      <c r="B22" s="17">
        <f>COUNTIFS('01_Personel_Verisi'!AH:AH,"50+",'01_Personel_Verisi'!S:S,"Aktif")</f>
        <v>30</v>
      </c>
      <c r="D22" s="17" t="s">
        <v>1525</v>
      </c>
      <c r="E22" s="17">
        <f ca="1">COUNTIFS('01_Personel_Verisi'!AI:AI,"5-10 YIL",'01_Personel_Verisi'!S:S,"Aktif")</f>
        <v>243</v>
      </c>
    </row>
    <row r="23" spans="1:5" x14ac:dyDescent="0.3">
      <c r="D23" s="17" t="s">
        <v>1526</v>
      </c>
      <c r="E23" s="17">
        <f ca="1">COUNTIFS('01_Personel_Verisi'!AI:AI,"10+",'01_Personel_Verisi'!S:S,"Aktif")</f>
        <v>97</v>
      </c>
    </row>
  </sheetData>
  <mergeCells count="3">
    <mergeCell ref="A1:B1"/>
    <mergeCell ref="A18:B18"/>
    <mergeCell ref="D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69"/>
  <sheetViews>
    <sheetView zoomScaleNormal="100" workbookViewId="0">
      <selection activeCell="G3" sqref="G3"/>
    </sheetView>
  </sheetViews>
  <sheetFormatPr defaultRowHeight="14.4" x14ac:dyDescent="0.3"/>
  <cols>
    <col min="1" max="1" width="20.88671875" bestFit="1" customWidth="1"/>
    <col min="2" max="2" width="10.5546875" bestFit="1" customWidth="1"/>
    <col min="3" max="3" width="18" bestFit="1" customWidth="1"/>
    <col min="5" max="5" width="14.77734375" style="15" bestFit="1" customWidth="1"/>
    <col min="6" max="6" width="10.5546875" bestFit="1" customWidth="1"/>
    <col min="7" max="7" width="12.5546875" bestFit="1" customWidth="1"/>
    <col min="8" max="8" width="5" bestFit="1" customWidth="1"/>
    <col min="9" max="9" width="17.77734375" bestFit="1" customWidth="1"/>
    <col min="10" max="10" width="19.21875" bestFit="1" customWidth="1"/>
    <col min="11" max="871" width="16.109375" bestFit="1" customWidth="1"/>
    <col min="872" max="872" width="12.5546875" bestFit="1" customWidth="1"/>
  </cols>
  <sheetData>
    <row r="1" spans="1:8" x14ac:dyDescent="0.3">
      <c r="A1" s="26" t="s">
        <v>18</v>
      </c>
      <c r="B1" t="s">
        <v>56</v>
      </c>
      <c r="E1"/>
      <c r="G1" s="26" t="s">
        <v>1533</v>
      </c>
      <c r="H1" t="s">
        <v>1530</v>
      </c>
    </row>
    <row r="2" spans="1:8" x14ac:dyDescent="0.3">
      <c r="E2"/>
      <c r="G2" s="27">
        <v>2008</v>
      </c>
      <c r="H2" s="33">
        <v>9</v>
      </c>
    </row>
    <row r="3" spans="1:8" x14ac:dyDescent="0.3">
      <c r="A3" s="26" t="s">
        <v>8</v>
      </c>
      <c r="B3" t="s">
        <v>1530</v>
      </c>
      <c r="C3" t="s">
        <v>1529</v>
      </c>
      <c r="E3"/>
      <c r="G3" s="27">
        <v>2009</v>
      </c>
      <c r="H3" s="33">
        <v>9</v>
      </c>
    </row>
    <row r="4" spans="1:8" x14ac:dyDescent="0.3">
      <c r="A4" s="27" t="s">
        <v>139</v>
      </c>
      <c r="B4" s="33">
        <v>85</v>
      </c>
      <c r="C4" s="28">
        <v>78830.588235294112</v>
      </c>
      <c r="E4"/>
      <c r="G4" s="27">
        <v>2010</v>
      </c>
      <c r="H4" s="33">
        <v>8</v>
      </c>
    </row>
    <row r="5" spans="1:8" x14ac:dyDescent="0.3">
      <c r="A5" s="27" t="s">
        <v>70</v>
      </c>
      <c r="B5" s="33">
        <v>110</v>
      </c>
      <c r="C5" s="28">
        <v>64717.272727272728</v>
      </c>
      <c r="E5"/>
      <c r="G5" s="27">
        <v>2011</v>
      </c>
      <c r="H5" s="33">
        <v>12</v>
      </c>
    </row>
    <row r="6" spans="1:8" x14ac:dyDescent="0.3">
      <c r="A6" s="27" t="s">
        <v>148</v>
      </c>
      <c r="B6" s="33">
        <v>66</v>
      </c>
      <c r="C6" s="28">
        <v>57328.78787878788</v>
      </c>
      <c r="E6"/>
      <c r="G6" s="27">
        <v>2012</v>
      </c>
      <c r="H6" s="33">
        <v>12</v>
      </c>
    </row>
    <row r="7" spans="1:8" x14ac:dyDescent="0.3">
      <c r="A7" s="27" t="s">
        <v>61</v>
      </c>
      <c r="B7" s="33">
        <v>176</v>
      </c>
      <c r="C7" s="28">
        <v>57699.431818181816</v>
      </c>
      <c r="E7"/>
      <c r="G7" s="27">
        <v>2013</v>
      </c>
      <c r="H7" s="33">
        <v>10</v>
      </c>
    </row>
    <row r="8" spans="1:8" x14ac:dyDescent="0.3">
      <c r="A8" s="27" t="s">
        <v>36</v>
      </c>
      <c r="B8" s="33">
        <v>431</v>
      </c>
      <c r="C8" s="28">
        <v>33196.51972157773</v>
      </c>
      <c r="E8"/>
      <c r="G8" s="27">
        <v>2014</v>
      </c>
      <c r="H8" s="33">
        <v>38</v>
      </c>
    </row>
    <row r="9" spans="1:8" x14ac:dyDescent="0.3">
      <c r="A9" s="27" t="s">
        <v>1528</v>
      </c>
      <c r="B9" s="33">
        <v>868</v>
      </c>
      <c r="C9" s="28">
        <v>48463.133640552995</v>
      </c>
      <c r="E9"/>
      <c r="G9" s="27">
        <v>2015</v>
      </c>
      <c r="H9" s="33">
        <v>35</v>
      </c>
    </row>
    <row r="10" spans="1:8" x14ac:dyDescent="0.3">
      <c r="E10"/>
      <c r="G10" s="27">
        <v>2016</v>
      </c>
      <c r="H10" s="33">
        <v>45</v>
      </c>
    </row>
    <row r="11" spans="1:8" x14ac:dyDescent="0.3">
      <c r="E11"/>
      <c r="G11" s="27">
        <v>2017</v>
      </c>
      <c r="H11" s="33">
        <v>48</v>
      </c>
    </row>
    <row r="12" spans="1:8" x14ac:dyDescent="0.3">
      <c r="E12"/>
      <c r="G12" s="27">
        <v>2018</v>
      </c>
      <c r="H12" s="33">
        <v>48</v>
      </c>
    </row>
    <row r="13" spans="1:8" x14ac:dyDescent="0.3">
      <c r="E13"/>
      <c r="G13" s="27">
        <v>2019</v>
      </c>
      <c r="H13" s="33">
        <v>43</v>
      </c>
    </row>
    <row r="14" spans="1:8" x14ac:dyDescent="0.3">
      <c r="E14"/>
      <c r="G14" s="27">
        <v>2020</v>
      </c>
      <c r="H14" s="33">
        <v>53</v>
      </c>
    </row>
    <row r="15" spans="1:8" x14ac:dyDescent="0.3">
      <c r="E15"/>
      <c r="G15" s="27">
        <v>2021</v>
      </c>
      <c r="H15" s="33">
        <v>31</v>
      </c>
    </row>
    <row r="16" spans="1:8" x14ac:dyDescent="0.3">
      <c r="E16"/>
      <c r="G16" s="27">
        <v>2022</v>
      </c>
      <c r="H16" s="33">
        <v>114</v>
      </c>
    </row>
    <row r="17" spans="1:10" x14ac:dyDescent="0.3">
      <c r="E17"/>
      <c r="G17" s="27">
        <v>2023</v>
      </c>
      <c r="H17" s="33">
        <v>146</v>
      </c>
    </row>
    <row r="18" spans="1:10" x14ac:dyDescent="0.3">
      <c r="E18"/>
      <c r="G18" s="27">
        <v>2024</v>
      </c>
      <c r="H18" s="33">
        <v>140</v>
      </c>
    </row>
    <row r="19" spans="1:10" x14ac:dyDescent="0.3">
      <c r="E19"/>
      <c r="G19" s="27">
        <v>2025</v>
      </c>
      <c r="H19" s="33">
        <v>135</v>
      </c>
    </row>
    <row r="20" spans="1:10" x14ac:dyDescent="0.3">
      <c r="E20"/>
      <c r="G20" s="27">
        <v>2026</v>
      </c>
      <c r="H20" s="33">
        <v>64</v>
      </c>
    </row>
    <row r="21" spans="1:10" x14ac:dyDescent="0.3">
      <c r="E21"/>
      <c r="G21" s="27" t="s">
        <v>1528</v>
      </c>
      <c r="H21" s="33">
        <v>1000</v>
      </c>
    </row>
    <row r="22" spans="1:10" x14ac:dyDescent="0.3">
      <c r="E22"/>
    </row>
    <row r="23" spans="1:10" x14ac:dyDescent="0.3">
      <c r="E23"/>
    </row>
    <row r="24" spans="1:10" x14ac:dyDescent="0.3">
      <c r="E24"/>
    </row>
    <row r="25" spans="1:10" x14ac:dyDescent="0.3">
      <c r="E25"/>
    </row>
    <row r="26" spans="1:10" x14ac:dyDescent="0.3">
      <c r="E26"/>
    </row>
    <row r="27" spans="1:10" x14ac:dyDescent="0.3">
      <c r="A27" s="26" t="s">
        <v>18</v>
      </c>
      <c r="B27" t="s">
        <v>43</v>
      </c>
      <c r="E27"/>
      <c r="I27" s="26" t="s">
        <v>28</v>
      </c>
      <c r="J27" t="s">
        <v>1534</v>
      </c>
    </row>
    <row r="28" spans="1:10" x14ac:dyDescent="0.3">
      <c r="E28"/>
      <c r="I28" s="34">
        <v>1</v>
      </c>
      <c r="J28" s="35">
        <v>11.403508771929825</v>
      </c>
    </row>
    <row r="29" spans="1:10" x14ac:dyDescent="0.3">
      <c r="A29" s="26" t="s">
        <v>1527</v>
      </c>
      <c r="B29" t="s">
        <v>1531</v>
      </c>
      <c r="E29"/>
      <c r="I29" s="34">
        <v>2</v>
      </c>
      <c r="J29" s="35">
        <v>10.187050359712231</v>
      </c>
    </row>
    <row r="30" spans="1:10" x14ac:dyDescent="0.3">
      <c r="A30" s="27" t="s">
        <v>566</v>
      </c>
      <c r="B30" s="33">
        <v>3</v>
      </c>
      <c r="E30"/>
      <c r="I30" s="34">
        <v>3</v>
      </c>
      <c r="J30" s="35">
        <v>10.731977818853974</v>
      </c>
    </row>
    <row r="31" spans="1:10" x14ac:dyDescent="0.3">
      <c r="A31" s="27" t="s">
        <v>177</v>
      </c>
      <c r="B31" s="33">
        <v>29</v>
      </c>
      <c r="E31"/>
      <c r="I31" s="34">
        <v>4</v>
      </c>
      <c r="J31" s="35">
        <v>25.291479820627803</v>
      </c>
    </row>
    <row r="32" spans="1:10" x14ac:dyDescent="0.3">
      <c r="A32" s="27" t="s">
        <v>53</v>
      </c>
      <c r="B32" s="33">
        <v>74</v>
      </c>
      <c r="E32"/>
      <c r="I32" s="34">
        <v>5</v>
      </c>
      <c r="J32" s="35">
        <v>26.4</v>
      </c>
    </row>
    <row r="33" spans="1:10" x14ac:dyDescent="0.3">
      <c r="A33" s="27" t="s">
        <v>121</v>
      </c>
      <c r="B33" s="33">
        <v>16</v>
      </c>
      <c r="E33"/>
      <c r="I33" s="34" t="s">
        <v>1528</v>
      </c>
      <c r="J33" s="35">
        <v>14.568</v>
      </c>
    </row>
    <row r="34" spans="1:10" x14ac:dyDescent="0.3">
      <c r="A34" s="27" t="s">
        <v>42</v>
      </c>
      <c r="B34" s="33">
        <v>10</v>
      </c>
      <c r="E34"/>
    </row>
    <row r="35" spans="1:10" x14ac:dyDescent="0.3">
      <c r="A35" s="27" t="s">
        <v>1528</v>
      </c>
      <c r="B35" s="33">
        <v>132</v>
      </c>
      <c r="E35"/>
    </row>
    <row r="36" spans="1:10" x14ac:dyDescent="0.3">
      <c r="E36"/>
    </row>
    <row r="37" spans="1:10" x14ac:dyDescent="0.3">
      <c r="E37"/>
    </row>
    <row r="38" spans="1:10" x14ac:dyDescent="0.3">
      <c r="E38"/>
    </row>
    <row r="39" spans="1:10" x14ac:dyDescent="0.3">
      <c r="E39"/>
    </row>
    <row r="40" spans="1:10" x14ac:dyDescent="0.3">
      <c r="E40"/>
    </row>
    <row r="41" spans="1:10" x14ac:dyDescent="0.3">
      <c r="E41"/>
    </row>
    <row r="42" spans="1:10" x14ac:dyDescent="0.3">
      <c r="E42"/>
    </row>
    <row r="43" spans="1:10" x14ac:dyDescent="0.3">
      <c r="E43"/>
    </row>
    <row r="44" spans="1:10" x14ac:dyDescent="0.3">
      <c r="E44"/>
    </row>
    <row r="45" spans="1:10" x14ac:dyDescent="0.3">
      <c r="E45"/>
    </row>
    <row r="46" spans="1:10" x14ac:dyDescent="0.3">
      <c r="E46"/>
    </row>
    <row r="47" spans="1:10" x14ac:dyDescent="0.3">
      <c r="E47"/>
    </row>
    <row r="48" spans="1:10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  <row r="333" spans="5:5" x14ac:dyDescent="0.3">
      <c r="E333"/>
    </row>
    <row r="334" spans="5:5" x14ac:dyDescent="0.3">
      <c r="E334"/>
    </row>
    <row r="335" spans="5:5" x14ac:dyDescent="0.3">
      <c r="E335"/>
    </row>
    <row r="336" spans="5:5" x14ac:dyDescent="0.3">
      <c r="E336"/>
    </row>
    <row r="337" spans="5:5" x14ac:dyDescent="0.3">
      <c r="E337"/>
    </row>
    <row r="338" spans="5:5" x14ac:dyDescent="0.3">
      <c r="E338"/>
    </row>
    <row r="339" spans="5:5" x14ac:dyDescent="0.3">
      <c r="E339"/>
    </row>
    <row r="340" spans="5:5" x14ac:dyDescent="0.3">
      <c r="E340"/>
    </row>
    <row r="341" spans="5:5" x14ac:dyDescent="0.3">
      <c r="E341"/>
    </row>
    <row r="342" spans="5:5" x14ac:dyDescent="0.3">
      <c r="E342"/>
    </row>
    <row r="343" spans="5:5" x14ac:dyDescent="0.3">
      <c r="E343"/>
    </row>
    <row r="344" spans="5:5" x14ac:dyDescent="0.3">
      <c r="E344"/>
    </row>
    <row r="345" spans="5:5" x14ac:dyDescent="0.3">
      <c r="E345"/>
    </row>
    <row r="346" spans="5:5" x14ac:dyDescent="0.3">
      <c r="E346"/>
    </row>
    <row r="347" spans="5:5" x14ac:dyDescent="0.3">
      <c r="E347"/>
    </row>
    <row r="348" spans="5:5" x14ac:dyDescent="0.3">
      <c r="E348"/>
    </row>
    <row r="349" spans="5:5" x14ac:dyDescent="0.3">
      <c r="E349"/>
    </row>
    <row r="350" spans="5:5" x14ac:dyDescent="0.3">
      <c r="E350"/>
    </row>
    <row r="351" spans="5:5" x14ac:dyDescent="0.3">
      <c r="E351"/>
    </row>
    <row r="352" spans="5:5" x14ac:dyDescent="0.3">
      <c r="E352"/>
    </row>
    <row r="353" spans="5:5" x14ac:dyDescent="0.3">
      <c r="E353"/>
    </row>
    <row r="354" spans="5:5" x14ac:dyDescent="0.3">
      <c r="E354"/>
    </row>
    <row r="355" spans="5:5" x14ac:dyDescent="0.3">
      <c r="E355"/>
    </row>
    <row r="356" spans="5:5" x14ac:dyDescent="0.3">
      <c r="E356"/>
    </row>
    <row r="357" spans="5:5" x14ac:dyDescent="0.3">
      <c r="E357"/>
    </row>
    <row r="358" spans="5:5" x14ac:dyDescent="0.3">
      <c r="E358"/>
    </row>
    <row r="359" spans="5:5" x14ac:dyDescent="0.3">
      <c r="E359"/>
    </row>
    <row r="360" spans="5:5" x14ac:dyDescent="0.3">
      <c r="E360"/>
    </row>
    <row r="361" spans="5:5" x14ac:dyDescent="0.3">
      <c r="E361"/>
    </row>
    <row r="362" spans="5:5" x14ac:dyDescent="0.3">
      <c r="E362"/>
    </row>
    <row r="363" spans="5:5" x14ac:dyDescent="0.3">
      <c r="E363"/>
    </row>
    <row r="364" spans="5:5" x14ac:dyDescent="0.3">
      <c r="E364"/>
    </row>
    <row r="365" spans="5:5" x14ac:dyDescent="0.3">
      <c r="E365"/>
    </row>
    <row r="366" spans="5:5" x14ac:dyDescent="0.3">
      <c r="E366"/>
    </row>
    <row r="367" spans="5:5" x14ac:dyDescent="0.3">
      <c r="E367"/>
    </row>
    <row r="368" spans="5:5" x14ac:dyDescent="0.3">
      <c r="E368"/>
    </row>
    <row r="369" spans="5:5" x14ac:dyDescent="0.3">
      <c r="E369"/>
    </row>
    <row r="370" spans="5:5" x14ac:dyDescent="0.3">
      <c r="E370"/>
    </row>
    <row r="371" spans="5:5" x14ac:dyDescent="0.3">
      <c r="E371"/>
    </row>
    <row r="372" spans="5:5" x14ac:dyDescent="0.3">
      <c r="E372"/>
    </row>
    <row r="373" spans="5:5" x14ac:dyDescent="0.3">
      <c r="E373"/>
    </row>
    <row r="374" spans="5:5" x14ac:dyDescent="0.3">
      <c r="E374"/>
    </row>
    <row r="375" spans="5:5" x14ac:dyDescent="0.3">
      <c r="E375"/>
    </row>
    <row r="376" spans="5:5" x14ac:dyDescent="0.3">
      <c r="E376"/>
    </row>
    <row r="377" spans="5:5" x14ac:dyDescent="0.3">
      <c r="E377"/>
    </row>
    <row r="378" spans="5:5" x14ac:dyDescent="0.3">
      <c r="E378"/>
    </row>
    <row r="379" spans="5:5" x14ac:dyDescent="0.3">
      <c r="E379"/>
    </row>
    <row r="380" spans="5:5" x14ac:dyDescent="0.3">
      <c r="E380"/>
    </row>
    <row r="381" spans="5:5" x14ac:dyDescent="0.3">
      <c r="E381"/>
    </row>
    <row r="382" spans="5:5" x14ac:dyDescent="0.3">
      <c r="E382"/>
    </row>
    <row r="383" spans="5:5" x14ac:dyDescent="0.3">
      <c r="E383"/>
    </row>
    <row r="384" spans="5:5" x14ac:dyDescent="0.3">
      <c r="E384"/>
    </row>
    <row r="385" spans="5:5" x14ac:dyDescent="0.3">
      <c r="E385"/>
    </row>
    <row r="386" spans="5:5" x14ac:dyDescent="0.3">
      <c r="E386"/>
    </row>
    <row r="387" spans="5:5" x14ac:dyDescent="0.3">
      <c r="E387"/>
    </row>
    <row r="388" spans="5:5" x14ac:dyDescent="0.3">
      <c r="E388"/>
    </row>
    <row r="389" spans="5:5" x14ac:dyDescent="0.3">
      <c r="E389"/>
    </row>
    <row r="390" spans="5:5" x14ac:dyDescent="0.3">
      <c r="E390"/>
    </row>
    <row r="391" spans="5:5" x14ac:dyDescent="0.3">
      <c r="E391"/>
    </row>
    <row r="392" spans="5:5" x14ac:dyDescent="0.3">
      <c r="E392"/>
    </row>
    <row r="393" spans="5:5" x14ac:dyDescent="0.3">
      <c r="E393"/>
    </row>
    <row r="394" spans="5:5" x14ac:dyDescent="0.3">
      <c r="E394"/>
    </row>
    <row r="395" spans="5:5" x14ac:dyDescent="0.3">
      <c r="E395"/>
    </row>
    <row r="396" spans="5:5" x14ac:dyDescent="0.3">
      <c r="E396"/>
    </row>
    <row r="397" spans="5:5" x14ac:dyDescent="0.3">
      <c r="E397"/>
    </row>
    <row r="398" spans="5:5" x14ac:dyDescent="0.3">
      <c r="E398"/>
    </row>
    <row r="399" spans="5:5" x14ac:dyDescent="0.3">
      <c r="E399"/>
    </row>
    <row r="400" spans="5:5" x14ac:dyDescent="0.3">
      <c r="E400"/>
    </row>
    <row r="401" spans="5:5" x14ac:dyDescent="0.3">
      <c r="E401"/>
    </row>
    <row r="402" spans="5:5" x14ac:dyDescent="0.3">
      <c r="E402"/>
    </row>
    <row r="403" spans="5:5" x14ac:dyDescent="0.3">
      <c r="E403"/>
    </row>
    <row r="404" spans="5:5" x14ac:dyDescent="0.3">
      <c r="E404"/>
    </row>
    <row r="405" spans="5:5" x14ac:dyDescent="0.3">
      <c r="E405"/>
    </row>
    <row r="406" spans="5:5" x14ac:dyDescent="0.3">
      <c r="E406"/>
    </row>
    <row r="407" spans="5:5" x14ac:dyDescent="0.3">
      <c r="E407"/>
    </row>
    <row r="408" spans="5:5" x14ac:dyDescent="0.3">
      <c r="E408"/>
    </row>
    <row r="409" spans="5:5" x14ac:dyDescent="0.3">
      <c r="E409"/>
    </row>
    <row r="410" spans="5:5" x14ac:dyDescent="0.3">
      <c r="E410"/>
    </row>
    <row r="411" spans="5:5" x14ac:dyDescent="0.3">
      <c r="E411"/>
    </row>
    <row r="412" spans="5:5" x14ac:dyDescent="0.3">
      <c r="E412"/>
    </row>
    <row r="413" spans="5:5" x14ac:dyDescent="0.3">
      <c r="E413"/>
    </row>
    <row r="414" spans="5:5" x14ac:dyDescent="0.3">
      <c r="E414"/>
    </row>
    <row r="415" spans="5:5" x14ac:dyDescent="0.3">
      <c r="E415"/>
    </row>
    <row r="416" spans="5:5" x14ac:dyDescent="0.3">
      <c r="E416"/>
    </row>
    <row r="417" spans="5:5" x14ac:dyDescent="0.3">
      <c r="E417"/>
    </row>
    <row r="418" spans="5:5" x14ac:dyDescent="0.3">
      <c r="E418"/>
    </row>
    <row r="419" spans="5:5" x14ac:dyDescent="0.3">
      <c r="E419"/>
    </row>
    <row r="420" spans="5:5" x14ac:dyDescent="0.3">
      <c r="E420"/>
    </row>
    <row r="421" spans="5:5" x14ac:dyDescent="0.3">
      <c r="E421"/>
    </row>
    <row r="422" spans="5:5" x14ac:dyDescent="0.3">
      <c r="E422"/>
    </row>
    <row r="423" spans="5:5" x14ac:dyDescent="0.3">
      <c r="E423"/>
    </row>
    <row r="424" spans="5:5" x14ac:dyDescent="0.3">
      <c r="E424"/>
    </row>
    <row r="425" spans="5:5" x14ac:dyDescent="0.3">
      <c r="E425"/>
    </row>
    <row r="426" spans="5:5" x14ac:dyDescent="0.3">
      <c r="E426"/>
    </row>
    <row r="427" spans="5:5" x14ac:dyDescent="0.3">
      <c r="E427"/>
    </row>
    <row r="428" spans="5:5" x14ac:dyDescent="0.3">
      <c r="E428"/>
    </row>
    <row r="429" spans="5:5" x14ac:dyDescent="0.3">
      <c r="E429"/>
    </row>
    <row r="430" spans="5:5" x14ac:dyDescent="0.3">
      <c r="E430"/>
    </row>
    <row r="431" spans="5:5" x14ac:dyDescent="0.3">
      <c r="E431"/>
    </row>
    <row r="432" spans="5:5" x14ac:dyDescent="0.3">
      <c r="E432"/>
    </row>
    <row r="433" spans="5:5" x14ac:dyDescent="0.3">
      <c r="E433"/>
    </row>
    <row r="434" spans="5:5" x14ac:dyDescent="0.3">
      <c r="E434"/>
    </row>
    <row r="435" spans="5:5" x14ac:dyDescent="0.3">
      <c r="E435"/>
    </row>
    <row r="436" spans="5:5" x14ac:dyDescent="0.3">
      <c r="E436"/>
    </row>
    <row r="437" spans="5:5" x14ac:dyDescent="0.3">
      <c r="E437"/>
    </row>
    <row r="438" spans="5:5" x14ac:dyDescent="0.3">
      <c r="E438"/>
    </row>
    <row r="439" spans="5:5" x14ac:dyDescent="0.3">
      <c r="E439"/>
    </row>
    <row r="440" spans="5:5" x14ac:dyDescent="0.3">
      <c r="E440"/>
    </row>
    <row r="441" spans="5:5" x14ac:dyDescent="0.3">
      <c r="E441"/>
    </row>
    <row r="442" spans="5:5" x14ac:dyDescent="0.3">
      <c r="E442"/>
    </row>
    <row r="443" spans="5:5" x14ac:dyDescent="0.3">
      <c r="E443"/>
    </row>
    <row r="444" spans="5:5" x14ac:dyDescent="0.3">
      <c r="E444"/>
    </row>
    <row r="445" spans="5:5" x14ac:dyDescent="0.3">
      <c r="E445"/>
    </row>
    <row r="446" spans="5:5" x14ac:dyDescent="0.3">
      <c r="E446"/>
    </row>
    <row r="447" spans="5:5" x14ac:dyDescent="0.3">
      <c r="E447"/>
    </row>
    <row r="448" spans="5:5" x14ac:dyDescent="0.3">
      <c r="E448"/>
    </row>
    <row r="449" spans="5:5" x14ac:dyDescent="0.3">
      <c r="E449"/>
    </row>
    <row r="450" spans="5:5" x14ac:dyDescent="0.3">
      <c r="E450"/>
    </row>
    <row r="451" spans="5:5" x14ac:dyDescent="0.3">
      <c r="E451"/>
    </row>
    <row r="452" spans="5:5" x14ac:dyDescent="0.3">
      <c r="E452"/>
    </row>
    <row r="453" spans="5:5" x14ac:dyDescent="0.3">
      <c r="E453"/>
    </row>
    <row r="454" spans="5:5" x14ac:dyDescent="0.3">
      <c r="E454"/>
    </row>
    <row r="455" spans="5:5" x14ac:dyDescent="0.3">
      <c r="E455"/>
    </row>
    <row r="456" spans="5:5" x14ac:dyDescent="0.3">
      <c r="E456"/>
    </row>
    <row r="457" spans="5:5" x14ac:dyDescent="0.3">
      <c r="E457"/>
    </row>
    <row r="458" spans="5:5" x14ac:dyDescent="0.3">
      <c r="E458"/>
    </row>
    <row r="459" spans="5:5" x14ac:dyDescent="0.3">
      <c r="E459"/>
    </row>
    <row r="460" spans="5:5" x14ac:dyDescent="0.3">
      <c r="E460"/>
    </row>
    <row r="461" spans="5:5" x14ac:dyDescent="0.3">
      <c r="E461"/>
    </row>
    <row r="462" spans="5:5" x14ac:dyDescent="0.3">
      <c r="E462"/>
    </row>
    <row r="463" spans="5:5" x14ac:dyDescent="0.3">
      <c r="E463"/>
    </row>
    <row r="464" spans="5:5" x14ac:dyDescent="0.3">
      <c r="E464"/>
    </row>
    <row r="465" spans="5:5" x14ac:dyDescent="0.3">
      <c r="E465"/>
    </row>
    <row r="466" spans="5:5" x14ac:dyDescent="0.3">
      <c r="E466"/>
    </row>
    <row r="467" spans="5:5" x14ac:dyDescent="0.3">
      <c r="E467"/>
    </row>
    <row r="468" spans="5:5" x14ac:dyDescent="0.3">
      <c r="E468"/>
    </row>
    <row r="469" spans="5:5" x14ac:dyDescent="0.3">
      <c r="E469"/>
    </row>
    <row r="470" spans="5:5" x14ac:dyDescent="0.3">
      <c r="E470"/>
    </row>
    <row r="471" spans="5:5" x14ac:dyDescent="0.3">
      <c r="E471"/>
    </row>
    <row r="472" spans="5:5" x14ac:dyDescent="0.3">
      <c r="E472"/>
    </row>
    <row r="473" spans="5:5" x14ac:dyDescent="0.3">
      <c r="E473"/>
    </row>
    <row r="474" spans="5:5" x14ac:dyDescent="0.3">
      <c r="E474"/>
    </row>
    <row r="475" spans="5:5" x14ac:dyDescent="0.3">
      <c r="E475"/>
    </row>
    <row r="476" spans="5:5" x14ac:dyDescent="0.3">
      <c r="E476"/>
    </row>
    <row r="477" spans="5:5" x14ac:dyDescent="0.3">
      <c r="E477"/>
    </row>
    <row r="478" spans="5:5" x14ac:dyDescent="0.3">
      <c r="E478"/>
    </row>
    <row r="479" spans="5:5" x14ac:dyDescent="0.3">
      <c r="E479"/>
    </row>
    <row r="480" spans="5:5" x14ac:dyDescent="0.3">
      <c r="E480"/>
    </row>
    <row r="481" spans="5:5" x14ac:dyDescent="0.3">
      <c r="E481"/>
    </row>
    <row r="482" spans="5:5" x14ac:dyDescent="0.3">
      <c r="E482"/>
    </row>
    <row r="483" spans="5:5" x14ac:dyDescent="0.3">
      <c r="E483"/>
    </row>
    <row r="484" spans="5:5" x14ac:dyDescent="0.3">
      <c r="E484"/>
    </row>
    <row r="485" spans="5:5" x14ac:dyDescent="0.3">
      <c r="E485"/>
    </row>
    <row r="486" spans="5:5" x14ac:dyDescent="0.3">
      <c r="E486"/>
    </row>
    <row r="487" spans="5:5" x14ac:dyDescent="0.3">
      <c r="E487"/>
    </row>
    <row r="488" spans="5:5" x14ac:dyDescent="0.3">
      <c r="E488"/>
    </row>
    <row r="489" spans="5:5" x14ac:dyDescent="0.3">
      <c r="E489"/>
    </row>
    <row r="490" spans="5:5" x14ac:dyDescent="0.3">
      <c r="E490"/>
    </row>
    <row r="491" spans="5:5" x14ac:dyDescent="0.3">
      <c r="E491"/>
    </row>
    <row r="492" spans="5:5" x14ac:dyDescent="0.3">
      <c r="E492"/>
    </row>
    <row r="493" spans="5:5" x14ac:dyDescent="0.3">
      <c r="E493"/>
    </row>
    <row r="494" spans="5:5" x14ac:dyDescent="0.3">
      <c r="E494"/>
    </row>
    <row r="495" spans="5:5" x14ac:dyDescent="0.3">
      <c r="E495"/>
    </row>
    <row r="496" spans="5:5" x14ac:dyDescent="0.3">
      <c r="E496"/>
    </row>
    <row r="497" spans="5:5" x14ac:dyDescent="0.3">
      <c r="E497"/>
    </row>
    <row r="498" spans="5:5" x14ac:dyDescent="0.3">
      <c r="E498"/>
    </row>
    <row r="499" spans="5:5" x14ac:dyDescent="0.3">
      <c r="E499"/>
    </row>
    <row r="500" spans="5:5" x14ac:dyDescent="0.3">
      <c r="E500"/>
    </row>
    <row r="501" spans="5:5" x14ac:dyDescent="0.3">
      <c r="E501"/>
    </row>
    <row r="502" spans="5:5" x14ac:dyDescent="0.3">
      <c r="E502"/>
    </row>
    <row r="503" spans="5:5" x14ac:dyDescent="0.3">
      <c r="E503"/>
    </row>
    <row r="504" spans="5:5" x14ac:dyDescent="0.3">
      <c r="E504"/>
    </row>
    <row r="505" spans="5:5" x14ac:dyDescent="0.3">
      <c r="E505"/>
    </row>
    <row r="506" spans="5:5" x14ac:dyDescent="0.3">
      <c r="E506"/>
    </row>
    <row r="507" spans="5:5" x14ac:dyDescent="0.3">
      <c r="E507"/>
    </row>
    <row r="508" spans="5:5" x14ac:dyDescent="0.3">
      <c r="E508"/>
    </row>
    <row r="509" spans="5:5" x14ac:dyDescent="0.3">
      <c r="E509"/>
    </row>
    <row r="510" spans="5:5" x14ac:dyDescent="0.3">
      <c r="E510"/>
    </row>
    <row r="511" spans="5:5" x14ac:dyDescent="0.3">
      <c r="E511"/>
    </row>
    <row r="512" spans="5:5" x14ac:dyDescent="0.3">
      <c r="E512"/>
    </row>
    <row r="513" spans="5:5" x14ac:dyDescent="0.3">
      <c r="E513"/>
    </row>
    <row r="514" spans="5:5" x14ac:dyDescent="0.3">
      <c r="E514"/>
    </row>
    <row r="515" spans="5:5" x14ac:dyDescent="0.3">
      <c r="E515"/>
    </row>
    <row r="516" spans="5:5" x14ac:dyDescent="0.3">
      <c r="E516"/>
    </row>
    <row r="517" spans="5:5" x14ac:dyDescent="0.3">
      <c r="E517"/>
    </row>
    <row r="518" spans="5:5" x14ac:dyDescent="0.3">
      <c r="E518"/>
    </row>
    <row r="519" spans="5:5" x14ac:dyDescent="0.3">
      <c r="E519"/>
    </row>
    <row r="520" spans="5:5" x14ac:dyDescent="0.3">
      <c r="E520"/>
    </row>
    <row r="521" spans="5:5" x14ac:dyDescent="0.3">
      <c r="E521"/>
    </row>
    <row r="522" spans="5:5" x14ac:dyDescent="0.3">
      <c r="E522"/>
    </row>
    <row r="523" spans="5:5" x14ac:dyDescent="0.3">
      <c r="E523"/>
    </row>
    <row r="524" spans="5:5" x14ac:dyDescent="0.3">
      <c r="E524"/>
    </row>
    <row r="525" spans="5:5" x14ac:dyDescent="0.3">
      <c r="E525"/>
    </row>
    <row r="526" spans="5:5" x14ac:dyDescent="0.3">
      <c r="E526"/>
    </row>
    <row r="527" spans="5:5" x14ac:dyDescent="0.3">
      <c r="E527"/>
    </row>
    <row r="528" spans="5:5" x14ac:dyDescent="0.3">
      <c r="E528"/>
    </row>
    <row r="529" spans="5:5" x14ac:dyDescent="0.3">
      <c r="E529"/>
    </row>
    <row r="530" spans="5:5" x14ac:dyDescent="0.3">
      <c r="E530"/>
    </row>
    <row r="531" spans="5:5" x14ac:dyDescent="0.3">
      <c r="E531"/>
    </row>
    <row r="532" spans="5:5" x14ac:dyDescent="0.3">
      <c r="E532"/>
    </row>
    <row r="533" spans="5:5" x14ac:dyDescent="0.3">
      <c r="E533"/>
    </row>
    <row r="534" spans="5:5" x14ac:dyDescent="0.3">
      <c r="E534"/>
    </row>
    <row r="535" spans="5:5" x14ac:dyDescent="0.3">
      <c r="E535"/>
    </row>
    <row r="536" spans="5:5" x14ac:dyDescent="0.3">
      <c r="E536"/>
    </row>
    <row r="537" spans="5:5" x14ac:dyDescent="0.3">
      <c r="E537"/>
    </row>
    <row r="538" spans="5:5" x14ac:dyDescent="0.3">
      <c r="E538"/>
    </row>
    <row r="539" spans="5:5" x14ac:dyDescent="0.3">
      <c r="E539"/>
    </row>
    <row r="540" spans="5:5" x14ac:dyDescent="0.3">
      <c r="E540"/>
    </row>
    <row r="541" spans="5:5" x14ac:dyDescent="0.3">
      <c r="E541"/>
    </row>
    <row r="542" spans="5:5" x14ac:dyDescent="0.3">
      <c r="E542"/>
    </row>
    <row r="543" spans="5:5" x14ac:dyDescent="0.3">
      <c r="E543"/>
    </row>
    <row r="544" spans="5:5" x14ac:dyDescent="0.3">
      <c r="E544"/>
    </row>
    <row r="545" spans="5:5" x14ac:dyDescent="0.3">
      <c r="E545"/>
    </row>
    <row r="546" spans="5:5" x14ac:dyDescent="0.3">
      <c r="E546"/>
    </row>
    <row r="547" spans="5:5" x14ac:dyDescent="0.3">
      <c r="E547"/>
    </row>
    <row r="548" spans="5:5" x14ac:dyDescent="0.3">
      <c r="E548"/>
    </row>
    <row r="549" spans="5:5" x14ac:dyDescent="0.3">
      <c r="E549"/>
    </row>
    <row r="550" spans="5:5" x14ac:dyDescent="0.3">
      <c r="E550"/>
    </row>
    <row r="551" spans="5:5" x14ac:dyDescent="0.3">
      <c r="E551"/>
    </row>
    <row r="552" spans="5:5" x14ac:dyDescent="0.3">
      <c r="E552"/>
    </row>
    <row r="553" spans="5:5" x14ac:dyDescent="0.3">
      <c r="E553"/>
    </row>
    <row r="554" spans="5:5" x14ac:dyDescent="0.3">
      <c r="E554"/>
    </row>
    <row r="555" spans="5:5" x14ac:dyDescent="0.3">
      <c r="E555"/>
    </row>
    <row r="556" spans="5:5" x14ac:dyDescent="0.3">
      <c r="E556"/>
    </row>
    <row r="557" spans="5:5" x14ac:dyDescent="0.3">
      <c r="E557"/>
    </row>
    <row r="558" spans="5:5" x14ac:dyDescent="0.3">
      <c r="E558"/>
    </row>
    <row r="559" spans="5:5" x14ac:dyDescent="0.3">
      <c r="E559"/>
    </row>
    <row r="560" spans="5:5" x14ac:dyDescent="0.3">
      <c r="E560"/>
    </row>
    <row r="561" spans="5:5" x14ac:dyDescent="0.3">
      <c r="E561"/>
    </row>
    <row r="562" spans="5:5" x14ac:dyDescent="0.3">
      <c r="E562"/>
    </row>
    <row r="563" spans="5:5" x14ac:dyDescent="0.3">
      <c r="E563"/>
    </row>
    <row r="564" spans="5:5" x14ac:dyDescent="0.3">
      <c r="E564"/>
    </row>
    <row r="565" spans="5:5" x14ac:dyDescent="0.3">
      <c r="E565"/>
    </row>
    <row r="566" spans="5:5" x14ac:dyDescent="0.3">
      <c r="E566"/>
    </row>
    <row r="567" spans="5:5" x14ac:dyDescent="0.3">
      <c r="E567"/>
    </row>
    <row r="568" spans="5:5" x14ac:dyDescent="0.3">
      <c r="E568"/>
    </row>
    <row r="569" spans="5:5" x14ac:dyDescent="0.3">
      <c r="E569"/>
    </row>
    <row r="570" spans="5:5" x14ac:dyDescent="0.3">
      <c r="E570"/>
    </row>
    <row r="571" spans="5:5" x14ac:dyDescent="0.3">
      <c r="E571"/>
    </row>
    <row r="572" spans="5:5" x14ac:dyDescent="0.3">
      <c r="E572"/>
    </row>
    <row r="573" spans="5:5" x14ac:dyDescent="0.3">
      <c r="E573"/>
    </row>
    <row r="574" spans="5:5" x14ac:dyDescent="0.3">
      <c r="E574"/>
    </row>
    <row r="575" spans="5:5" x14ac:dyDescent="0.3">
      <c r="E575"/>
    </row>
    <row r="576" spans="5:5" x14ac:dyDescent="0.3">
      <c r="E576"/>
    </row>
    <row r="577" spans="5:5" x14ac:dyDescent="0.3">
      <c r="E577"/>
    </row>
    <row r="578" spans="5:5" x14ac:dyDescent="0.3">
      <c r="E578"/>
    </row>
    <row r="579" spans="5:5" x14ac:dyDescent="0.3">
      <c r="E579"/>
    </row>
    <row r="580" spans="5:5" x14ac:dyDescent="0.3">
      <c r="E580"/>
    </row>
    <row r="581" spans="5:5" x14ac:dyDescent="0.3">
      <c r="E581"/>
    </row>
    <row r="582" spans="5:5" x14ac:dyDescent="0.3">
      <c r="E582"/>
    </row>
    <row r="583" spans="5:5" x14ac:dyDescent="0.3">
      <c r="E583"/>
    </row>
    <row r="584" spans="5:5" x14ac:dyDescent="0.3">
      <c r="E584"/>
    </row>
    <row r="585" spans="5:5" x14ac:dyDescent="0.3">
      <c r="E585"/>
    </row>
    <row r="586" spans="5:5" x14ac:dyDescent="0.3">
      <c r="E586"/>
    </row>
    <row r="587" spans="5:5" x14ac:dyDescent="0.3">
      <c r="E587"/>
    </row>
    <row r="588" spans="5:5" x14ac:dyDescent="0.3">
      <c r="E588"/>
    </row>
    <row r="589" spans="5:5" x14ac:dyDescent="0.3">
      <c r="E589"/>
    </row>
    <row r="590" spans="5:5" x14ac:dyDescent="0.3">
      <c r="E590"/>
    </row>
    <row r="591" spans="5:5" x14ac:dyDescent="0.3">
      <c r="E591"/>
    </row>
    <row r="592" spans="5:5" x14ac:dyDescent="0.3">
      <c r="E592"/>
    </row>
    <row r="593" spans="5:5" x14ac:dyDescent="0.3">
      <c r="E593"/>
    </row>
    <row r="594" spans="5:5" x14ac:dyDescent="0.3">
      <c r="E594"/>
    </row>
    <row r="595" spans="5:5" x14ac:dyDescent="0.3">
      <c r="E595"/>
    </row>
    <row r="596" spans="5:5" x14ac:dyDescent="0.3">
      <c r="E596"/>
    </row>
    <row r="597" spans="5:5" x14ac:dyDescent="0.3">
      <c r="E597"/>
    </row>
    <row r="598" spans="5:5" x14ac:dyDescent="0.3">
      <c r="E598"/>
    </row>
    <row r="599" spans="5:5" x14ac:dyDescent="0.3">
      <c r="E599"/>
    </row>
    <row r="600" spans="5:5" x14ac:dyDescent="0.3">
      <c r="E600"/>
    </row>
    <row r="601" spans="5:5" x14ac:dyDescent="0.3">
      <c r="E601"/>
    </row>
    <row r="602" spans="5:5" x14ac:dyDescent="0.3">
      <c r="E602"/>
    </row>
    <row r="603" spans="5:5" x14ac:dyDescent="0.3">
      <c r="E603"/>
    </row>
    <row r="604" spans="5:5" x14ac:dyDescent="0.3">
      <c r="E604"/>
    </row>
    <row r="605" spans="5:5" x14ac:dyDescent="0.3">
      <c r="E605"/>
    </row>
    <row r="606" spans="5:5" x14ac:dyDescent="0.3">
      <c r="E606"/>
    </row>
    <row r="607" spans="5:5" x14ac:dyDescent="0.3">
      <c r="E607"/>
    </row>
    <row r="608" spans="5:5" x14ac:dyDescent="0.3">
      <c r="E608"/>
    </row>
    <row r="609" spans="5:5" x14ac:dyDescent="0.3">
      <c r="E609"/>
    </row>
    <row r="610" spans="5:5" x14ac:dyDescent="0.3">
      <c r="E610"/>
    </row>
    <row r="611" spans="5:5" x14ac:dyDescent="0.3">
      <c r="E611"/>
    </row>
    <row r="612" spans="5:5" x14ac:dyDescent="0.3">
      <c r="E612"/>
    </row>
    <row r="613" spans="5:5" x14ac:dyDescent="0.3">
      <c r="E613"/>
    </row>
    <row r="614" spans="5:5" x14ac:dyDescent="0.3">
      <c r="E614"/>
    </row>
    <row r="615" spans="5:5" x14ac:dyDescent="0.3">
      <c r="E615"/>
    </row>
    <row r="616" spans="5:5" x14ac:dyDescent="0.3">
      <c r="E616"/>
    </row>
    <row r="617" spans="5:5" x14ac:dyDescent="0.3">
      <c r="E617"/>
    </row>
    <row r="618" spans="5:5" x14ac:dyDescent="0.3">
      <c r="E618"/>
    </row>
    <row r="619" spans="5:5" x14ac:dyDescent="0.3">
      <c r="E619"/>
    </row>
    <row r="620" spans="5:5" x14ac:dyDescent="0.3">
      <c r="E620"/>
    </row>
    <row r="621" spans="5:5" x14ac:dyDescent="0.3">
      <c r="E621"/>
    </row>
    <row r="622" spans="5:5" x14ac:dyDescent="0.3">
      <c r="E622"/>
    </row>
    <row r="623" spans="5:5" x14ac:dyDescent="0.3">
      <c r="E623"/>
    </row>
    <row r="624" spans="5:5" x14ac:dyDescent="0.3">
      <c r="E624"/>
    </row>
    <row r="625" spans="5:5" x14ac:dyDescent="0.3">
      <c r="E625"/>
    </row>
    <row r="626" spans="5:5" x14ac:dyDescent="0.3">
      <c r="E626"/>
    </row>
    <row r="627" spans="5:5" x14ac:dyDescent="0.3">
      <c r="E627"/>
    </row>
    <row r="628" spans="5:5" x14ac:dyDescent="0.3">
      <c r="E628"/>
    </row>
    <row r="629" spans="5:5" x14ac:dyDescent="0.3">
      <c r="E629"/>
    </row>
    <row r="630" spans="5:5" x14ac:dyDescent="0.3">
      <c r="E630"/>
    </row>
    <row r="631" spans="5:5" x14ac:dyDescent="0.3">
      <c r="E631"/>
    </row>
    <row r="632" spans="5:5" x14ac:dyDescent="0.3">
      <c r="E632"/>
    </row>
    <row r="633" spans="5:5" x14ac:dyDescent="0.3">
      <c r="E633"/>
    </row>
    <row r="634" spans="5:5" x14ac:dyDescent="0.3">
      <c r="E634"/>
    </row>
    <row r="635" spans="5:5" x14ac:dyDescent="0.3">
      <c r="E635"/>
    </row>
    <row r="636" spans="5:5" x14ac:dyDescent="0.3">
      <c r="E636"/>
    </row>
    <row r="637" spans="5:5" x14ac:dyDescent="0.3">
      <c r="E637"/>
    </row>
    <row r="638" spans="5:5" x14ac:dyDescent="0.3">
      <c r="E638"/>
    </row>
    <row r="639" spans="5:5" x14ac:dyDescent="0.3">
      <c r="E639"/>
    </row>
    <row r="640" spans="5:5" x14ac:dyDescent="0.3">
      <c r="E640"/>
    </row>
    <row r="641" spans="5:5" x14ac:dyDescent="0.3">
      <c r="E641"/>
    </row>
    <row r="642" spans="5:5" x14ac:dyDescent="0.3">
      <c r="E642"/>
    </row>
    <row r="643" spans="5:5" x14ac:dyDescent="0.3">
      <c r="E643"/>
    </row>
    <row r="644" spans="5:5" x14ac:dyDescent="0.3">
      <c r="E644"/>
    </row>
    <row r="645" spans="5:5" x14ac:dyDescent="0.3">
      <c r="E645"/>
    </row>
    <row r="646" spans="5:5" x14ac:dyDescent="0.3">
      <c r="E646"/>
    </row>
    <row r="647" spans="5:5" x14ac:dyDescent="0.3">
      <c r="E647"/>
    </row>
    <row r="648" spans="5:5" x14ac:dyDescent="0.3">
      <c r="E648"/>
    </row>
    <row r="649" spans="5:5" x14ac:dyDescent="0.3">
      <c r="E649"/>
    </row>
    <row r="650" spans="5:5" x14ac:dyDescent="0.3">
      <c r="E650"/>
    </row>
    <row r="651" spans="5:5" x14ac:dyDescent="0.3">
      <c r="E651"/>
    </row>
    <row r="652" spans="5:5" x14ac:dyDescent="0.3">
      <c r="E652"/>
    </row>
    <row r="653" spans="5:5" x14ac:dyDescent="0.3">
      <c r="E653"/>
    </row>
    <row r="654" spans="5:5" x14ac:dyDescent="0.3">
      <c r="E654"/>
    </row>
    <row r="655" spans="5:5" x14ac:dyDescent="0.3">
      <c r="E655"/>
    </row>
    <row r="656" spans="5:5" x14ac:dyDescent="0.3">
      <c r="E656"/>
    </row>
    <row r="657" spans="5:5" x14ac:dyDescent="0.3">
      <c r="E657"/>
    </row>
    <row r="658" spans="5:5" x14ac:dyDescent="0.3">
      <c r="E658"/>
    </row>
    <row r="659" spans="5:5" x14ac:dyDescent="0.3">
      <c r="E659"/>
    </row>
    <row r="660" spans="5:5" x14ac:dyDescent="0.3">
      <c r="E660"/>
    </row>
    <row r="661" spans="5:5" x14ac:dyDescent="0.3">
      <c r="E661"/>
    </row>
    <row r="662" spans="5:5" x14ac:dyDescent="0.3">
      <c r="E662"/>
    </row>
    <row r="663" spans="5:5" x14ac:dyDescent="0.3">
      <c r="E663"/>
    </row>
    <row r="664" spans="5:5" x14ac:dyDescent="0.3">
      <c r="E664"/>
    </row>
    <row r="665" spans="5:5" x14ac:dyDescent="0.3">
      <c r="E665"/>
    </row>
    <row r="666" spans="5:5" x14ac:dyDescent="0.3">
      <c r="E666"/>
    </row>
    <row r="667" spans="5:5" x14ac:dyDescent="0.3">
      <c r="E667"/>
    </row>
    <row r="668" spans="5:5" x14ac:dyDescent="0.3">
      <c r="E668"/>
    </row>
    <row r="669" spans="5:5" x14ac:dyDescent="0.3">
      <c r="E669"/>
    </row>
    <row r="670" spans="5:5" x14ac:dyDescent="0.3">
      <c r="E670"/>
    </row>
    <row r="671" spans="5:5" x14ac:dyDescent="0.3">
      <c r="E671"/>
    </row>
    <row r="672" spans="5:5" x14ac:dyDescent="0.3">
      <c r="E672"/>
    </row>
    <row r="673" spans="5:5" x14ac:dyDescent="0.3">
      <c r="E673"/>
    </row>
    <row r="674" spans="5:5" x14ac:dyDescent="0.3">
      <c r="E674"/>
    </row>
    <row r="675" spans="5:5" x14ac:dyDescent="0.3">
      <c r="E675"/>
    </row>
    <row r="676" spans="5:5" x14ac:dyDescent="0.3">
      <c r="E676"/>
    </row>
    <row r="677" spans="5:5" x14ac:dyDescent="0.3">
      <c r="E677"/>
    </row>
    <row r="678" spans="5:5" x14ac:dyDescent="0.3">
      <c r="E678"/>
    </row>
    <row r="679" spans="5:5" x14ac:dyDescent="0.3">
      <c r="E679"/>
    </row>
    <row r="680" spans="5:5" x14ac:dyDescent="0.3">
      <c r="E680"/>
    </row>
    <row r="681" spans="5:5" x14ac:dyDescent="0.3">
      <c r="E681"/>
    </row>
    <row r="682" spans="5:5" x14ac:dyDescent="0.3">
      <c r="E682"/>
    </row>
    <row r="683" spans="5:5" x14ac:dyDescent="0.3">
      <c r="E683"/>
    </row>
    <row r="684" spans="5:5" x14ac:dyDescent="0.3">
      <c r="E684"/>
    </row>
    <row r="685" spans="5:5" x14ac:dyDescent="0.3">
      <c r="E685"/>
    </row>
    <row r="686" spans="5:5" x14ac:dyDescent="0.3">
      <c r="E686"/>
    </row>
    <row r="687" spans="5:5" x14ac:dyDescent="0.3">
      <c r="E687"/>
    </row>
    <row r="688" spans="5:5" x14ac:dyDescent="0.3">
      <c r="E688"/>
    </row>
    <row r="689" spans="5:5" x14ac:dyDescent="0.3">
      <c r="E689"/>
    </row>
    <row r="690" spans="5:5" x14ac:dyDescent="0.3">
      <c r="E690"/>
    </row>
    <row r="691" spans="5:5" x14ac:dyDescent="0.3">
      <c r="E691"/>
    </row>
    <row r="692" spans="5:5" x14ac:dyDescent="0.3">
      <c r="E692"/>
    </row>
    <row r="693" spans="5:5" x14ac:dyDescent="0.3">
      <c r="E693"/>
    </row>
    <row r="694" spans="5:5" x14ac:dyDescent="0.3">
      <c r="E694"/>
    </row>
    <row r="695" spans="5:5" x14ac:dyDescent="0.3">
      <c r="E695"/>
    </row>
    <row r="696" spans="5:5" x14ac:dyDescent="0.3">
      <c r="E696"/>
    </row>
    <row r="697" spans="5:5" x14ac:dyDescent="0.3">
      <c r="E697"/>
    </row>
    <row r="698" spans="5:5" x14ac:dyDescent="0.3">
      <c r="E698"/>
    </row>
    <row r="699" spans="5:5" x14ac:dyDescent="0.3">
      <c r="E699"/>
    </row>
    <row r="700" spans="5:5" x14ac:dyDescent="0.3">
      <c r="E700"/>
    </row>
    <row r="701" spans="5:5" x14ac:dyDescent="0.3">
      <c r="E701"/>
    </row>
    <row r="702" spans="5:5" x14ac:dyDescent="0.3">
      <c r="E702"/>
    </row>
    <row r="703" spans="5:5" x14ac:dyDescent="0.3">
      <c r="E703"/>
    </row>
    <row r="704" spans="5:5" x14ac:dyDescent="0.3">
      <c r="E704"/>
    </row>
    <row r="705" spans="5:5" x14ac:dyDescent="0.3">
      <c r="E705"/>
    </row>
    <row r="706" spans="5:5" x14ac:dyDescent="0.3">
      <c r="E706"/>
    </row>
    <row r="707" spans="5:5" x14ac:dyDescent="0.3">
      <c r="E707"/>
    </row>
    <row r="708" spans="5:5" x14ac:dyDescent="0.3">
      <c r="E708"/>
    </row>
    <row r="709" spans="5:5" x14ac:dyDescent="0.3">
      <c r="E709"/>
    </row>
    <row r="710" spans="5:5" x14ac:dyDescent="0.3">
      <c r="E710"/>
    </row>
    <row r="711" spans="5:5" x14ac:dyDescent="0.3">
      <c r="E711"/>
    </row>
    <row r="712" spans="5:5" x14ac:dyDescent="0.3">
      <c r="E712"/>
    </row>
    <row r="713" spans="5:5" x14ac:dyDescent="0.3">
      <c r="E713"/>
    </row>
    <row r="714" spans="5:5" x14ac:dyDescent="0.3">
      <c r="E714"/>
    </row>
    <row r="715" spans="5:5" x14ac:dyDescent="0.3">
      <c r="E715"/>
    </row>
    <row r="716" spans="5:5" x14ac:dyDescent="0.3">
      <c r="E716"/>
    </row>
    <row r="717" spans="5:5" x14ac:dyDescent="0.3">
      <c r="E717"/>
    </row>
    <row r="718" spans="5:5" x14ac:dyDescent="0.3">
      <c r="E718"/>
    </row>
    <row r="719" spans="5:5" x14ac:dyDescent="0.3">
      <c r="E719"/>
    </row>
    <row r="720" spans="5:5" x14ac:dyDescent="0.3">
      <c r="E720"/>
    </row>
    <row r="721" spans="5:5" x14ac:dyDescent="0.3">
      <c r="E721"/>
    </row>
    <row r="722" spans="5:5" x14ac:dyDescent="0.3">
      <c r="E722"/>
    </row>
    <row r="723" spans="5:5" x14ac:dyDescent="0.3">
      <c r="E723"/>
    </row>
    <row r="724" spans="5:5" x14ac:dyDescent="0.3">
      <c r="E724"/>
    </row>
    <row r="725" spans="5:5" x14ac:dyDescent="0.3">
      <c r="E725"/>
    </row>
    <row r="726" spans="5:5" x14ac:dyDescent="0.3">
      <c r="E726"/>
    </row>
    <row r="727" spans="5:5" x14ac:dyDescent="0.3">
      <c r="E727"/>
    </row>
    <row r="728" spans="5:5" x14ac:dyDescent="0.3">
      <c r="E728"/>
    </row>
    <row r="729" spans="5:5" x14ac:dyDescent="0.3">
      <c r="E729"/>
    </row>
    <row r="730" spans="5:5" x14ac:dyDescent="0.3">
      <c r="E730"/>
    </row>
    <row r="731" spans="5:5" x14ac:dyDescent="0.3">
      <c r="E731"/>
    </row>
    <row r="732" spans="5:5" x14ac:dyDescent="0.3">
      <c r="E732"/>
    </row>
    <row r="733" spans="5:5" x14ac:dyDescent="0.3">
      <c r="E733"/>
    </row>
    <row r="734" spans="5:5" x14ac:dyDescent="0.3">
      <c r="E734"/>
    </row>
    <row r="735" spans="5:5" x14ac:dyDescent="0.3">
      <c r="E735"/>
    </row>
    <row r="736" spans="5:5" x14ac:dyDescent="0.3">
      <c r="E736"/>
    </row>
    <row r="737" spans="5:5" x14ac:dyDescent="0.3">
      <c r="E737"/>
    </row>
    <row r="738" spans="5:5" x14ac:dyDescent="0.3">
      <c r="E738"/>
    </row>
    <row r="739" spans="5:5" x14ac:dyDescent="0.3">
      <c r="E739"/>
    </row>
    <row r="740" spans="5:5" x14ac:dyDescent="0.3">
      <c r="E740"/>
    </row>
    <row r="741" spans="5:5" x14ac:dyDescent="0.3">
      <c r="E741"/>
    </row>
    <row r="742" spans="5:5" x14ac:dyDescent="0.3">
      <c r="E742"/>
    </row>
    <row r="743" spans="5:5" x14ac:dyDescent="0.3">
      <c r="E743"/>
    </row>
    <row r="744" spans="5:5" x14ac:dyDescent="0.3">
      <c r="E744"/>
    </row>
    <row r="745" spans="5:5" x14ac:dyDescent="0.3">
      <c r="E745"/>
    </row>
    <row r="746" spans="5:5" x14ac:dyDescent="0.3">
      <c r="E746"/>
    </row>
    <row r="747" spans="5:5" x14ac:dyDescent="0.3">
      <c r="E747"/>
    </row>
    <row r="748" spans="5:5" x14ac:dyDescent="0.3">
      <c r="E748"/>
    </row>
    <row r="749" spans="5:5" x14ac:dyDescent="0.3">
      <c r="E749"/>
    </row>
    <row r="750" spans="5:5" x14ac:dyDescent="0.3">
      <c r="E750"/>
    </row>
    <row r="751" spans="5:5" x14ac:dyDescent="0.3">
      <c r="E751"/>
    </row>
    <row r="752" spans="5:5" x14ac:dyDescent="0.3">
      <c r="E752"/>
    </row>
    <row r="753" spans="5:5" x14ac:dyDescent="0.3">
      <c r="E753"/>
    </row>
    <row r="754" spans="5:5" x14ac:dyDescent="0.3">
      <c r="E754"/>
    </row>
    <row r="755" spans="5:5" x14ac:dyDescent="0.3">
      <c r="E755"/>
    </row>
    <row r="756" spans="5:5" x14ac:dyDescent="0.3">
      <c r="E756"/>
    </row>
    <row r="757" spans="5:5" x14ac:dyDescent="0.3">
      <c r="E757"/>
    </row>
    <row r="758" spans="5:5" x14ac:dyDescent="0.3">
      <c r="E758"/>
    </row>
    <row r="759" spans="5:5" x14ac:dyDescent="0.3">
      <c r="E759"/>
    </row>
    <row r="760" spans="5:5" x14ac:dyDescent="0.3">
      <c r="E760"/>
    </row>
    <row r="761" spans="5:5" x14ac:dyDescent="0.3">
      <c r="E761"/>
    </row>
    <row r="762" spans="5:5" x14ac:dyDescent="0.3">
      <c r="E762"/>
    </row>
    <row r="763" spans="5:5" x14ac:dyDescent="0.3">
      <c r="E763"/>
    </row>
    <row r="764" spans="5:5" x14ac:dyDescent="0.3">
      <c r="E764"/>
    </row>
    <row r="765" spans="5:5" x14ac:dyDescent="0.3">
      <c r="E765"/>
    </row>
    <row r="766" spans="5:5" x14ac:dyDescent="0.3">
      <c r="E766"/>
    </row>
    <row r="767" spans="5:5" x14ac:dyDescent="0.3">
      <c r="E767"/>
    </row>
    <row r="768" spans="5:5" x14ac:dyDescent="0.3">
      <c r="E768"/>
    </row>
    <row r="769" spans="5:5" x14ac:dyDescent="0.3">
      <c r="E769"/>
    </row>
    <row r="770" spans="5:5" x14ac:dyDescent="0.3">
      <c r="E770"/>
    </row>
    <row r="771" spans="5:5" x14ac:dyDescent="0.3">
      <c r="E771"/>
    </row>
    <row r="772" spans="5:5" x14ac:dyDescent="0.3">
      <c r="E772"/>
    </row>
    <row r="773" spans="5:5" x14ac:dyDescent="0.3">
      <c r="E773"/>
    </row>
    <row r="774" spans="5:5" x14ac:dyDescent="0.3">
      <c r="E774"/>
    </row>
    <row r="775" spans="5:5" x14ac:dyDescent="0.3">
      <c r="E775"/>
    </row>
    <row r="776" spans="5:5" x14ac:dyDescent="0.3">
      <c r="E776"/>
    </row>
    <row r="777" spans="5:5" x14ac:dyDescent="0.3">
      <c r="E777"/>
    </row>
    <row r="778" spans="5:5" x14ac:dyDescent="0.3">
      <c r="E778"/>
    </row>
    <row r="779" spans="5:5" x14ac:dyDescent="0.3">
      <c r="E779"/>
    </row>
    <row r="780" spans="5:5" x14ac:dyDescent="0.3">
      <c r="E780"/>
    </row>
    <row r="781" spans="5:5" x14ac:dyDescent="0.3">
      <c r="E781"/>
    </row>
    <row r="782" spans="5:5" x14ac:dyDescent="0.3">
      <c r="E782"/>
    </row>
    <row r="783" spans="5:5" x14ac:dyDescent="0.3">
      <c r="E783"/>
    </row>
    <row r="784" spans="5:5" x14ac:dyDescent="0.3">
      <c r="E784"/>
    </row>
    <row r="785" spans="5:5" x14ac:dyDescent="0.3">
      <c r="E785"/>
    </row>
    <row r="786" spans="5:5" x14ac:dyDescent="0.3">
      <c r="E786"/>
    </row>
    <row r="787" spans="5:5" x14ac:dyDescent="0.3">
      <c r="E787"/>
    </row>
    <row r="788" spans="5:5" x14ac:dyDescent="0.3">
      <c r="E788"/>
    </row>
    <row r="789" spans="5:5" x14ac:dyDescent="0.3">
      <c r="E789"/>
    </row>
    <row r="790" spans="5:5" x14ac:dyDescent="0.3">
      <c r="E790"/>
    </row>
    <row r="791" spans="5:5" x14ac:dyDescent="0.3">
      <c r="E791"/>
    </row>
    <row r="792" spans="5:5" x14ac:dyDescent="0.3">
      <c r="E792"/>
    </row>
    <row r="793" spans="5:5" x14ac:dyDescent="0.3">
      <c r="E793"/>
    </row>
    <row r="794" spans="5:5" x14ac:dyDescent="0.3">
      <c r="E794"/>
    </row>
    <row r="795" spans="5:5" x14ac:dyDescent="0.3">
      <c r="E795"/>
    </row>
    <row r="796" spans="5:5" x14ac:dyDescent="0.3">
      <c r="E796"/>
    </row>
    <row r="797" spans="5:5" x14ac:dyDescent="0.3">
      <c r="E797"/>
    </row>
    <row r="798" spans="5:5" x14ac:dyDescent="0.3">
      <c r="E798"/>
    </row>
    <row r="799" spans="5:5" x14ac:dyDescent="0.3">
      <c r="E799"/>
    </row>
    <row r="800" spans="5:5" x14ac:dyDescent="0.3">
      <c r="E800"/>
    </row>
    <row r="801" spans="5:5" x14ac:dyDescent="0.3">
      <c r="E801"/>
    </row>
    <row r="802" spans="5:5" x14ac:dyDescent="0.3">
      <c r="E802"/>
    </row>
    <row r="803" spans="5:5" x14ac:dyDescent="0.3">
      <c r="E803"/>
    </row>
    <row r="804" spans="5:5" x14ac:dyDescent="0.3">
      <c r="E804"/>
    </row>
    <row r="805" spans="5:5" x14ac:dyDescent="0.3">
      <c r="E805"/>
    </row>
    <row r="806" spans="5:5" x14ac:dyDescent="0.3">
      <c r="E806"/>
    </row>
    <row r="807" spans="5:5" x14ac:dyDescent="0.3">
      <c r="E807"/>
    </row>
    <row r="808" spans="5:5" x14ac:dyDescent="0.3">
      <c r="E808"/>
    </row>
    <row r="809" spans="5:5" x14ac:dyDescent="0.3">
      <c r="E809"/>
    </row>
    <row r="810" spans="5:5" x14ac:dyDescent="0.3">
      <c r="E810"/>
    </row>
    <row r="811" spans="5:5" x14ac:dyDescent="0.3">
      <c r="E811"/>
    </row>
    <row r="812" spans="5:5" x14ac:dyDescent="0.3">
      <c r="E812"/>
    </row>
    <row r="813" spans="5:5" x14ac:dyDescent="0.3">
      <c r="E813"/>
    </row>
    <row r="814" spans="5:5" x14ac:dyDescent="0.3">
      <c r="E814"/>
    </row>
    <row r="815" spans="5:5" x14ac:dyDescent="0.3">
      <c r="E815"/>
    </row>
    <row r="816" spans="5:5" x14ac:dyDescent="0.3">
      <c r="E816"/>
    </row>
    <row r="817" spans="5:5" x14ac:dyDescent="0.3">
      <c r="E817"/>
    </row>
    <row r="818" spans="5:5" x14ac:dyDescent="0.3">
      <c r="E818"/>
    </row>
    <row r="819" spans="5:5" x14ac:dyDescent="0.3">
      <c r="E819"/>
    </row>
    <row r="820" spans="5:5" x14ac:dyDescent="0.3">
      <c r="E820"/>
    </row>
    <row r="821" spans="5:5" x14ac:dyDescent="0.3">
      <c r="E821"/>
    </row>
    <row r="822" spans="5:5" x14ac:dyDescent="0.3">
      <c r="E822"/>
    </row>
    <row r="823" spans="5:5" x14ac:dyDescent="0.3">
      <c r="E823"/>
    </row>
    <row r="824" spans="5:5" x14ac:dyDescent="0.3">
      <c r="E824"/>
    </row>
    <row r="825" spans="5:5" x14ac:dyDescent="0.3">
      <c r="E825"/>
    </row>
    <row r="826" spans="5:5" x14ac:dyDescent="0.3">
      <c r="E826"/>
    </row>
    <row r="827" spans="5:5" x14ac:dyDescent="0.3">
      <c r="E827"/>
    </row>
    <row r="828" spans="5:5" x14ac:dyDescent="0.3">
      <c r="E828"/>
    </row>
    <row r="829" spans="5:5" x14ac:dyDescent="0.3">
      <c r="E829"/>
    </row>
    <row r="830" spans="5:5" x14ac:dyDescent="0.3">
      <c r="E830"/>
    </row>
    <row r="831" spans="5:5" x14ac:dyDescent="0.3">
      <c r="E831"/>
    </row>
    <row r="832" spans="5:5" x14ac:dyDescent="0.3">
      <c r="E832"/>
    </row>
    <row r="833" spans="5:5" x14ac:dyDescent="0.3">
      <c r="E833"/>
    </row>
    <row r="834" spans="5:5" x14ac:dyDescent="0.3">
      <c r="E834"/>
    </row>
    <row r="835" spans="5:5" x14ac:dyDescent="0.3">
      <c r="E835"/>
    </row>
    <row r="836" spans="5:5" x14ac:dyDescent="0.3">
      <c r="E836"/>
    </row>
    <row r="837" spans="5:5" x14ac:dyDescent="0.3">
      <c r="E837"/>
    </row>
    <row r="838" spans="5:5" x14ac:dyDescent="0.3">
      <c r="E838"/>
    </row>
    <row r="839" spans="5:5" x14ac:dyDescent="0.3">
      <c r="E839"/>
    </row>
    <row r="840" spans="5:5" x14ac:dyDescent="0.3">
      <c r="E840"/>
    </row>
    <row r="841" spans="5:5" x14ac:dyDescent="0.3">
      <c r="E841"/>
    </row>
    <row r="842" spans="5:5" x14ac:dyDescent="0.3">
      <c r="E842"/>
    </row>
    <row r="843" spans="5:5" x14ac:dyDescent="0.3">
      <c r="E843"/>
    </row>
    <row r="844" spans="5:5" x14ac:dyDescent="0.3">
      <c r="E844"/>
    </row>
    <row r="845" spans="5:5" x14ac:dyDescent="0.3">
      <c r="E845"/>
    </row>
    <row r="846" spans="5:5" x14ac:dyDescent="0.3">
      <c r="E846"/>
    </row>
    <row r="847" spans="5:5" x14ac:dyDescent="0.3">
      <c r="E847"/>
    </row>
    <row r="848" spans="5:5" x14ac:dyDescent="0.3">
      <c r="E848"/>
    </row>
    <row r="849" spans="5:5" x14ac:dyDescent="0.3">
      <c r="E849"/>
    </row>
    <row r="850" spans="5:5" x14ac:dyDescent="0.3">
      <c r="E850"/>
    </row>
    <row r="851" spans="5:5" x14ac:dyDescent="0.3">
      <c r="E851"/>
    </row>
    <row r="852" spans="5:5" x14ac:dyDescent="0.3">
      <c r="E852"/>
    </row>
    <row r="853" spans="5:5" x14ac:dyDescent="0.3">
      <c r="E853"/>
    </row>
    <row r="854" spans="5:5" x14ac:dyDescent="0.3">
      <c r="E854"/>
    </row>
    <row r="855" spans="5:5" x14ac:dyDescent="0.3">
      <c r="E855"/>
    </row>
    <row r="856" spans="5:5" x14ac:dyDescent="0.3">
      <c r="E856"/>
    </row>
    <row r="857" spans="5:5" x14ac:dyDescent="0.3">
      <c r="E857"/>
    </row>
    <row r="858" spans="5:5" x14ac:dyDescent="0.3">
      <c r="E858"/>
    </row>
    <row r="859" spans="5:5" x14ac:dyDescent="0.3">
      <c r="E859"/>
    </row>
    <row r="860" spans="5:5" x14ac:dyDescent="0.3">
      <c r="E860"/>
    </row>
    <row r="861" spans="5:5" x14ac:dyDescent="0.3">
      <c r="E861"/>
    </row>
    <row r="862" spans="5:5" x14ac:dyDescent="0.3">
      <c r="E862"/>
    </row>
    <row r="863" spans="5:5" x14ac:dyDescent="0.3">
      <c r="E863"/>
    </row>
    <row r="864" spans="5:5" x14ac:dyDescent="0.3">
      <c r="E864"/>
    </row>
    <row r="865" spans="5:5" x14ac:dyDescent="0.3">
      <c r="E865"/>
    </row>
    <row r="866" spans="5:5" x14ac:dyDescent="0.3">
      <c r="E866"/>
    </row>
    <row r="867" spans="5:5" x14ac:dyDescent="0.3">
      <c r="E867"/>
    </row>
    <row r="868" spans="5:5" x14ac:dyDescent="0.3">
      <c r="E868"/>
    </row>
    <row r="869" spans="5:5" x14ac:dyDescent="0.3">
      <c r="E869"/>
    </row>
  </sheetData>
  <pageMargins left="0.75" right="0.75" top="1" bottom="1" header="0.5" footer="0.5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showGridLines="0" topLeftCell="A4" zoomScale="70" zoomScaleNormal="70" workbookViewId="0">
      <selection activeCell="I8" sqref="I8"/>
    </sheetView>
  </sheetViews>
  <sheetFormatPr defaultRowHeight="13.8" x14ac:dyDescent="0.25"/>
  <cols>
    <col min="1" max="1" width="8.88671875" style="39"/>
    <col min="2" max="2" width="11.21875" style="39" bestFit="1" customWidth="1"/>
    <col min="3" max="3" width="8.88671875" style="39"/>
    <col min="4" max="4" width="11.33203125" style="39" customWidth="1"/>
    <col min="5" max="7" width="8.88671875" style="39"/>
    <col min="8" max="8" width="10.77734375" style="39" bestFit="1" customWidth="1"/>
    <col min="9" max="9" width="8.88671875" style="39"/>
    <col min="10" max="10" width="14.88671875" style="39" bestFit="1" customWidth="1"/>
    <col min="11" max="11" width="8.88671875" style="39"/>
    <col min="12" max="12" width="16.77734375" style="39" bestFit="1" customWidth="1"/>
    <col min="13" max="13" width="8.88671875" style="39"/>
    <col min="14" max="14" width="12.88671875" style="39" customWidth="1"/>
    <col min="15" max="16384" width="8.88671875" style="39"/>
  </cols>
  <sheetData>
    <row r="1" spans="1:14" x14ac:dyDescent="0.25">
      <c r="A1" s="37" t="s">
        <v>1483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x14ac:dyDescent="0.25">
      <c r="B4" s="40" t="s">
        <v>1484</v>
      </c>
      <c r="D4" s="40" t="s">
        <v>1485</v>
      </c>
      <c r="F4" s="40" t="s">
        <v>1486</v>
      </c>
      <c r="H4" s="40" t="s">
        <v>1487</v>
      </c>
      <c r="J4" s="40" t="s">
        <v>1488</v>
      </c>
      <c r="L4" s="40" t="s">
        <v>1489</v>
      </c>
      <c r="N4" s="40" t="s">
        <v>1544</v>
      </c>
    </row>
    <row r="5" spans="1:14" ht="15.6" customHeight="1" x14ac:dyDescent="0.25">
      <c r="B5" s="41">
        <f>'02_Hesaplamalar'!B2</f>
        <v>868</v>
      </c>
      <c r="D5" s="42">
        <f>'02_Hesaplamalar'!B4</f>
        <v>0.14132762312633834</v>
      </c>
      <c r="F5" s="43">
        <f>'02_Hesaplamalar'!B5</f>
        <v>31.813364055299541</v>
      </c>
      <c r="H5" s="43">
        <f ca="1">'02_Hesaplamalar'!B6</f>
        <v>4.6094470046082954</v>
      </c>
      <c r="J5" s="44">
        <f>'02_Hesaplamalar'!B7</f>
        <v>48463.133640552995</v>
      </c>
      <c r="L5" s="41">
        <f>'02_Hesaplamalar'!B8</f>
        <v>15160</v>
      </c>
      <c r="N5" s="41">
        <f>'02_Hesaplamalar'!B9</f>
        <v>1038</v>
      </c>
    </row>
    <row r="6" spans="1:14" ht="15.6" customHeight="1" x14ac:dyDescent="0.25">
      <c r="A6" s="47"/>
      <c r="D6" s="48"/>
      <c r="F6" s="49"/>
      <c r="H6" s="49"/>
      <c r="J6" s="50"/>
      <c r="L6" s="47"/>
      <c r="N6" s="47"/>
    </row>
    <row r="8" spans="1:14" x14ac:dyDescent="0.25">
      <c r="B8" s="51"/>
      <c r="C8" s="53" t="s">
        <v>1542</v>
      </c>
      <c r="D8" s="53"/>
      <c r="E8" s="53"/>
      <c r="F8" s="55">
        <f>'02_Hesaplamalar'!E6</f>
        <v>9.4488188976377945</v>
      </c>
      <c r="G8" s="54" t="s">
        <v>1543</v>
      </c>
      <c r="L8" s="52" t="s">
        <v>1545</v>
      </c>
      <c r="M8" s="55">
        <f>'02_Hesaplamalar'!E2</f>
        <v>42.857142857142854</v>
      </c>
      <c r="N8" s="54" t="s">
        <v>1543</v>
      </c>
    </row>
    <row r="9" spans="1:14" ht="28.2" customHeight="1" x14ac:dyDescent="0.25">
      <c r="B9" s="45"/>
      <c r="F9" s="46"/>
    </row>
  </sheetData>
  <mergeCells count="1">
    <mergeCell ref="A1:N2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D13" sqref="D13"/>
    </sheetView>
  </sheetViews>
  <sheetFormatPr defaultRowHeight="14.4" x14ac:dyDescent="0.3"/>
  <sheetData>
    <row r="1" spans="1:2" ht="21" x14ac:dyDescent="0.4">
      <c r="A1" s="10" t="s">
        <v>1490</v>
      </c>
    </row>
    <row r="3" spans="1:2" x14ac:dyDescent="0.3">
      <c r="A3" t="s">
        <v>1491</v>
      </c>
    </row>
    <row r="4" spans="1:2" x14ac:dyDescent="0.3">
      <c r="A4" t="s">
        <v>1492</v>
      </c>
    </row>
    <row r="6" spans="1:2" x14ac:dyDescent="0.3">
      <c r="A6" s="11" t="s">
        <v>1493</v>
      </c>
      <c r="B6" t="s">
        <v>1494</v>
      </c>
    </row>
    <row r="7" spans="1:2" x14ac:dyDescent="0.3">
      <c r="A7" s="11" t="s">
        <v>1495</v>
      </c>
      <c r="B7" t="s">
        <v>1496</v>
      </c>
    </row>
    <row r="8" spans="1:2" x14ac:dyDescent="0.3">
      <c r="A8" s="11" t="s">
        <v>1497</v>
      </c>
      <c r="B8" t="s">
        <v>1498</v>
      </c>
    </row>
    <row r="9" spans="1:2" x14ac:dyDescent="0.3">
      <c r="A9" s="11" t="s">
        <v>1499</v>
      </c>
      <c r="B9" t="s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01_Personel_Verisi</vt:lpstr>
      <vt:lpstr>02_Hesaplamalar</vt:lpstr>
      <vt:lpstr>03_Pivotlar</vt:lpstr>
      <vt:lpstr>04_Dashboard</vt:lpstr>
      <vt:lpstr>05_Dokumantasyon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b70 13</cp:lastModifiedBy>
  <dcterms:created xsi:type="dcterms:W3CDTF">2026-06-27T19:34:43Z</dcterms:created>
  <dcterms:modified xsi:type="dcterms:W3CDTF">2026-07-02T19:22:52Z</dcterms:modified>
</cp:coreProperties>
</file>